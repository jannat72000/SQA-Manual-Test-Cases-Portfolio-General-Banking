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685" sheetId="1" r:id="rId4"/>
    <sheet state="visible" name="19805" sheetId="2" r:id="rId5"/>
    <sheet state="visible" name="NCC" sheetId="3" r:id="rId6"/>
    <sheet state="visible" name="Cheque Requisition" sheetId="4" r:id="rId7"/>
  </sheets>
  <definedNames/>
  <calcPr/>
  <extLst>
    <ext uri="GoogleSheetsCustomDataVersion2">
      <go:sheetsCustomData xmlns:go="http://customooxmlschemas.google.com/" r:id="rId8" roundtripDataChecksum="dXoLeAwyM2fFzoA6HmvD/A5xRZR+J+lYrkKIsGFvifE="/>
    </ext>
  </extLst>
</workbook>
</file>

<file path=xl/sharedStrings.xml><?xml version="1.0" encoding="utf-8"?>
<sst xmlns="http://schemas.openxmlformats.org/spreadsheetml/2006/main" count="750" uniqueCount="406">
  <si>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</si>
  <si>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</si>
  <si>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</si>
  <si>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</si>
  <si>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</si>
  <si>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</si>
  <si>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</si>
  <si>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</si>
  <si>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</si>
  <si>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</si>
  <si>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</si>
  <si>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</si>
  <si>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</si>
  <si>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</si>
  <si>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Test Case Developed By</t>
  </si>
  <si>
    <t>FAIL</t>
  </si>
  <si>
    <t>Jannat</t>
  </si>
  <si>
    <t>Medium</t>
  </si>
  <si>
    <t>Developer Name (TL)</t>
  </si>
  <si>
    <t>Debit Card Requisition using a incative account configure</t>
  </si>
  <si>
    <t>Test Case Reviewed By</t>
  </si>
  <si>
    <t>NT</t>
  </si>
  <si>
    <t>Low</t>
  </si>
  <si>
    <t>Test Executed by</t>
  </si>
  <si>
    <t>MITS ID</t>
  </si>
  <si>
    <t>TOTAL</t>
  </si>
  <si>
    <t>Issue Accepted</t>
  </si>
  <si>
    <t>Req ID</t>
  </si>
  <si>
    <t>Requirement Description</t>
  </si>
  <si>
    <t>TC ID</t>
  </si>
  <si>
    <t>Test Case Description</t>
  </si>
  <si>
    <t>Category</t>
  </si>
  <si>
    <t>Test Steps</t>
  </si>
  <si>
    <t>Test Data</t>
  </si>
  <si>
    <t>Expected Result</t>
  </si>
  <si>
    <t>Actual Result</t>
  </si>
  <si>
    <t>QA Status</t>
  </si>
  <si>
    <t>Tested By</t>
  </si>
  <si>
    <t>QA Remarks</t>
  </si>
  <si>
    <t>Dev Status</t>
  </si>
  <si>
    <t>Developed By</t>
  </si>
  <si>
    <t>Dev Remarks</t>
  </si>
  <si>
    <t>Updated QA Status</t>
  </si>
  <si>
    <t>CHQ-TC-001</t>
  </si>
  <si>
    <t>Verify Cheque Requisition for an Inactive CASA account with insufficient balance when Block on Failure is ON</t>
  </si>
  <si>
    <t>1. Set ALLOW_INACTIVE_ACCOUNT_FOR_CHEQUE_REQUISITION = YES.
2. Configure Cheque charge &gt; 0.
3. Enable Block on Failure.
4. Select Inactive CASA account A4.
5. Initiate and submit Cheque Requisition.</t>
  </si>
  <si>
    <t>0021120763434 : Inactive, Balance 500
Charge: 700
Block on Failure: ON</t>
  </si>
  <si>
    <t>Cheque Requisition should be allowed despite insufficient balance, and charge should be processed according to the existing Block on Failure mechanism.</t>
  </si>
  <si>
    <t>TC-001</t>
  </si>
  <si>
    <t>Verify Debit Card Requisition for an Inactive CASA account when ALLOW_INACTIVE_ACCOUNT_FOR_CARD_REQUISITION is enabled</t>
  </si>
  <si>
    <t>1. Set ALLOW_INACTIVE_ACCOUNT_FOR_CARD_REQUISITION = YES.
2. Select an Inactive CASA account.
3. Initiate Debit Card Requisition.
4. Submit the requisition.</t>
  </si>
  <si>
    <t>Parameter: YES
Account: 9904020001239 
Status: Inactive</t>
  </si>
  <si>
    <t>System should allow Debit Card Requisition for the Inactive CASA account subject to the configured charge handling rules.</t>
  </si>
  <si>
    <t xml:space="preserve">As expected inactive CASA is allowed for debit card requisition   </t>
  </si>
  <si>
    <t>CHQ-TC-002</t>
  </si>
  <si>
    <t>Verify Cheque Requisition for an Inactive CASA account with sufficient balance when Block on Failure is ON</t>
  </si>
  <si>
    <t>1. Set configuration = YES.
2. Configure Cheque charge &gt; 0.
3. Enable Block on Failure.
4. Select Inactive CASA account A3.
5. Initiate and submit Cheque Requisition.</t>
  </si>
  <si>
    <t>A3: Inactive, Balance 500
Charge: 100
Block on Failure: ON</t>
  </si>
  <si>
    <t>Cheque Requisition should be allowed and charge should be processed according to the existing Block on Failure mechanism.</t>
  </si>
  <si>
    <t>CHQ-TC-003</t>
  </si>
  <si>
    <t>Verify Cheque Requisition restriction for an Inactive CASA account with sufficient balance when Block on Failure is OFF</t>
  </si>
  <si>
    <t>1. Set configuration = YES.
2. Configure Cheque charge &gt; 0.
3. Disable Block on Failure.
4. Select Inactive CASA account A3.
5. Initiate and submit Cheque Requisition.</t>
  </si>
  <si>
    <t>A3: Inactive, Balance 500
Charge: 100
Block on Failure: OFF</t>
  </si>
  <si>
    <t>Cheque Requisition should be restricted because the account is Inactive, even though sufficient balance is available.</t>
  </si>
  <si>
    <t>Verify both Weightage and Special Profit Rate fields are displayed when configuration is Y + RATE</t>
  </si>
  <si>
    <t>CHQ-TC-004</t>
  </si>
  <si>
    <t>Verify Cheque Requisition for an Active CASA account with insufficient balance when Block on Failure is ON</t>
  </si>
  <si>
    <t>1. Set configuration = YES.
2. Configure Cheque charge &gt; 0.
3. Enable Block on Failure.
4. Select Active CASA account A2.
5. Initiate and submit Cheque Requisition.</t>
  </si>
  <si>
    <t>1. Set IS_SHOW_WEIGHTAGE_WITH_PSR = Y.
2. Set IS_PSR_WEIGHTAGE_RATE = RATE.
3. Navigate to Special Profit Rate UI.
4. Open Create/Add screen.</t>
  </si>
  <si>
    <t>A2: Active, Balance 50
Charge: 100
Block on Failure: ON</t>
  </si>
  <si>
    <t>Cheque Requisition should be allowed despite insufficient balance and charge should follow the existing Block on Failure mechanism.</t>
  </si>
  <si>
    <t>Y + RATE</t>
  </si>
  <si>
    <t>Weightage and Special Profit Rate fields should be displayed in the Special Profit Rate UI.</t>
  </si>
  <si>
    <t>as ecpected</t>
  </si>
  <si>
    <r>
      <rPr>
        <rFont val="Arial"/>
        <color rgb="FF1155CC"/>
        <u/>
      </rPr>
      <t>https://prnt.sc/ByQ2fv16Ry7f</t>
    </r>
    <r>
      <rPr>
        <rFont val="Arial"/>
      </rPr>
      <t xml:space="preserve">   </t>
    </r>
    <r>
      <rPr>
        <rFont val="Arial"/>
        <color rgb="FF1155CC"/>
        <u/>
      </rPr>
      <t>https://prnt.sc/akB_ZTZzEREh</t>
    </r>
    <r>
      <rPr>
        <rFont val="Arial"/>
      </rPr>
      <t xml:space="preserve"> </t>
    </r>
    <r>
      <rPr>
        <rFont val="Arial"/>
        <color rgb="FF1155CC"/>
        <u/>
      </rPr>
      <t>https://prnt.sc/XT7ged0JzP3s</t>
    </r>
    <r>
      <rPr>
        <rFont val="Arial"/>
      </rPr>
      <t xml:space="preserve">  </t>
    </r>
    <r>
      <rPr>
        <rFont val="Arial"/>
        <color rgb="FF1155CC"/>
        <u/>
      </rPr>
      <t>https://prnt.sc/yWa6-m6Pq93h</t>
    </r>
    <r>
      <rPr>
        <rFont val="Arial"/>
      </rPr>
      <t xml:space="preserve">  </t>
    </r>
    <r>
      <rPr>
        <rFont val="Arial"/>
        <color rgb="FF1155CC"/>
        <u/>
      </rPr>
      <t>https://prnt.sc/0CJOJDFJhk9y</t>
    </r>
    <r>
      <rPr>
        <rFont val="Arial"/>
      </rPr>
      <t xml:space="preserve">  </t>
    </r>
    <r>
      <rPr>
        <rFont val="Arial"/>
        <color rgb="FF1155CC"/>
        <u/>
      </rPr>
      <t>https://prnt.sc/KwwXZP45cYG6</t>
    </r>
    <r>
      <rPr>
        <rFont val="Arial"/>
      </rPr>
      <t xml:space="preserve">  </t>
    </r>
    <r>
      <rPr>
        <rFont val="Arial"/>
        <color rgb="FF1155CC"/>
        <u/>
      </rPr>
      <t>https://prnt.sc/rfYrsWCB4sNT</t>
    </r>
    <r>
      <rPr>
        <rFont val="Arial"/>
      </rPr>
      <t xml:space="preserve"> </t>
    </r>
    <r>
      <rPr>
        <rFont val="Arial"/>
        <color rgb="FF1155CC"/>
        <u/>
      </rPr>
      <t>https://prnt.sc/y5qoe0DU_H1P</t>
    </r>
    <r>
      <rPr>
        <rFont val="Arial"/>
      </rPr>
      <t xml:space="preserve"> </t>
    </r>
  </si>
  <si>
    <t>CHQ-TC-005</t>
  </si>
  <si>
    <t>Verify Cheque Requisition for an Inactive CASA account with zero charge and sufficient balance</t>
  </si>
  <si>
    <t>1. Set configuration = YES.
2. Configure Cheque charge = 0.
3. Select Inactive CASA account A3.
4. Initiate and submit Cheque Requisition.</t>
  </si>
  <si>
    <t>A3: Inactive, Balance 500
Charge: 0</t>
  </si>
  <si>
    <t>Cheque Requisition should be allowed because no charge recovery is required.</t>
  </si>
  <si>
    <t>https://prnt.sc/tvf2tKxd2soP</t>
  </si>
  <si>
    <t>CHQ-TC-006</t>
  </si>
  <si>
    <t>Verify Cheque Requisition for an Inactive CASA account with zero charge and insufficient balance</t>
  </si>
  <si>
    <t>1. Set configuration = YES.
2. Configure Cheque charge = 0.
3. Select Inactive CASA account A5/A4.
4. Initiate and submit Cheque Requisition.</t>
  </si>
  <si>
    <t>A5: Inactive, Balance 0
Charge: 0</t>
  </si>
  <si>
    <t>Cheque Requisition should be allowed regardless of insufficient/zero available balance because the charge amount is 0.</t>
  </si>
  <si>
    <t>CHQ-TC-007</t>
  </si>
  <si>
    <t>Verify Cheque Requisition for an Active CASA account with sufficient balance when Block on Failure is OFF</t>
  </si>
  <si>
    <t>1. Set configuration = YES.
2. Configure Cheque charge &gt; 0.
3. Disable Block on Failure.
4. Select Active CASA account A1.
5. Initiate and submit Cheque Requisition.
6. Verify account balance/transaction.</t>
  </si>
  <si>
    <t>A1: Active, Balance 500
Charge: 100
Block on Failure: OFF</t>
  </si>
  <si>
    <t>Cheque Requisition should be allowed. The applicable charge should be deducted/recovered and the transaction should be completed successfully.</t>
  </si>
  <si>
    <t>TC-002</t>
  </si>
  <si>
    <t>Verify Debit Card Requisition when no Debit Card charge is configured for an Inactive CASA account</t>
  </si>
  <si>
    <t>CHQ-TC-008</t>
  </si>
  <si>
    <t>Verify Cheque Requisition restriction for an Active CASA account with insufficient balance when Block on Failure is OFF</t>
  </si>
  <si>
    <t>1. Set parameter = YES.
2. Do not configure Debit Card charge.
3. Select Inactive CASA account 
4. Initiate Debit Card Requisition.
5. Submit.</t>
  </si>
  <si>
    <t>1. Set configuration = YES.
2. Configure Cheque charge &gt; 0.
3. Disable Block on Failure.
4. Select Active CASA account A2.
5. Initiate and submit Cheque Requisition.</t>
  </si>
  <si>
    <t>Parameter: YES
Account: 7012020000029 
Status: Inactive
Balance: 0
Charge: Not Configured</t>
  </si>
  <si>
    <t>A2: Active, Balance 50
Charge: 100
Block on Failure: OFF</t>
  </si>
  <si>
    <t>Debit Card Requisition should be allowed successfully without any constraint or charge-related error.</t>
  </si>
  <si>
    <t>Cheque Requisition should be restricted because sufficient available balance is not available for immediate charge recovery.</t>
  </si>
  <si>
    <t>Verify only Weightage field is displayed when configuration is Y + WEIGHTAGE</t>
  </si>
  <si>
    <t>1. Set IS_SHOW_WEIGHTAGE_WITH_PSR = Y.
2. Set IS_PSR_WEIGHTAGE_RATE = WEIGHTAGE.
3. Navigate to Special Profit Rate UI.
4. Open Create/Add screen.</t>
  </si>
  <si>
    <t>Y + WEIGHTAGE</t>
  </si>
  <si>
    <t>Only Weightage field should be displayed. Special Profit Rate field should not be displayed.</t>
  </si>
  <si>
    <t>CHQ-TC-009</t>
  </si>
  <si>
    <t>Verify Cheque Requisition for an Active CASA account with zero charge and sufficient balance</t>
  </si>
  <si>
    <t>1. Set configuration = YES.
2. Configure Cheque charge = 0.
3. Select Active CASA account A1.
4. Initiate and submit Cheque Requisition.</t>
  </si>
  <si>
    <t>A1: Active, Balance 500
Charge: 0</t>
  </si>
  <si>
    <t>https://prnt.sc/qapUkBHhU31k</t>
  </si>
  <si>
    <t>CHQ-TC-010</t>
  </si>
  <si>
    <t>Verify Cheque Requisition for an Active CASA account with zero charge and insufficient balance</t>
  </si>
  <si>
    <t>1. Set configuration = YES.
2. Configure Cheque charge = 0.
3. Select Active CASA account A2.
4. Initiate and submit Cheque Requisition.</t>
  </si>
  <si>
    <t>A2: Active, Balance 50
Charge: 0</t>
  </si>
  <si>
    <t>Cheque Requisition should be allowed regardless of insufficient balance because the charge amount is 0.</t>
  </si>
  <si>
    <t>CHQ-TC-011</t>
  </si>
  <si>
    <t>Verify Cheque Requisition restriction for an Inactive CASA account with insufficient balance when Block on Failure is OFF</t>
  </si>
  <si>
    <t>1. Set configuration = YES.
2. Configure Cheque charge &gt; 0.
3. Disable Block on Failure.
4. Select Inactive CASA account A4/A5.
5. Initiate and submit Cheque Requisition.</t>
  </si>
  <si>
    <t>A4: Inactive, Balance 50
Charge: 100
Block on Failure: OFF</t>
  </si>
  <si>
    <t>Cheque Requisition should be restricted because the account is Inactive and available balance is insufficient.</t>
  </si>
  <si>
    <t>Verify only Special Profit Sharing Ratio (PSR) field is displayed when configuration is Y + PSR</t>
  </si>
  <si>
    <t>1. Set IS_SHOW_WEIGHTAGE_WITH_PSR = Y.
2. Set IS_PSR_WEIGHTAGE_RATE = PSR.
3. Navigate to Special Profit Rate UI.
4. Open Create/Add screen.</t>
  </si>
  <si>
    <t>Y + PSR</t>
  </si>
  <si>
    <t>Only Special Profit Sharing Ratio field should be displayed. Weightage and Special Profit Rate fields should not be displayed.</t>
  </si>
  <si>
    <t>https://prnt.sc/-tHRj_XDC4iN</t>
  </si>
  <si>
    <r>
      <rPr>
        <rFont val="Arial"/>
        <color rgb="FF1155CC"/>
        <u/>
      </rPr>
      <t>https://prnt.sc/y4SRn6UHkskR</t>
    </r>
    <r>
      <rPr>
        <rFont val="Arial"/>
        <color rgb="FF1F1F1F"/>
      </rPr>
      <t xml:space="preserve"> </t>
    </r>
    <r>
      <rPr>
        <rFont val="Arial"/>
        <color rgb="FF1155CC"/>
        <u/>
      </rPr>
      <t>https://prnt.sc/qulFoiMYrnIp</t>
    </r>
    <r>
      <rPr>
        <rFont val="Arial"/>
        <color rgb="FF1F1F1F"/>
      </rPr>
      <t xml:space="preserve">  </t>
    </r>
    <r>
      <rPr>
        <rFont val="Arial"/>
        <color rgb="FF1155CC"/>
        <u/>
      </rPr>
      <t>https://prnt.sc/gmBm7pURxqWT</t>
    </r>
    <r>
      <rPr>
        <rFont val="Arial"/>
        <color rgb="FF1F1F1F"/>
      </rPr>
      <t xml:space="preserve">  </t>
    </r>
    <r>
      <rPr>
        <rFont val="Arial"/>
        <color rgb="FF1155CC"/>
        <u/>
      </rPr>
      <t>https://prnt.sc/hetVhcarFr1s</t>
    </r>
    <r>
      <rPr>
        <rFont val="Arial"/>
        <color rgb="FF1F1F1F"/>
      </rPr>
      <t xml:space="preserve">  </t>
    </r>
    <r>
      <rPr>
        <rFont val="Arial"/>
        <color rgb="FF1155CC"/>
        <u/>
      </rPr>
      <t>https://prnt.sc/Aro1fdrzxDq-</t>
    </r>
    <r>
      <rPr>
        <rFont val="Arial"/>
        <color rgb="FF1F1F1F"/>
      </rPr>
      <t xml:space="preserve">  </t>
    </r>
    <r>
      <rPr>
        <rFont val="Arial"/>
        <color rgb="FF1155CC"/>
        <u/>
      </rPr>
      <t>https://prnt.sc/sJuNkicWZbGO</t>
    </r>
    <r>
      <rPr>
        <rFont val="Arial"/>
        <color rgb="FF1F1F1F"/>
      </rPr>
      <t xml:space="preserve">   </t>
    </r>
    <r>
      <rPr>
        <rFont val="Arial"/>
        <color rgb="FF1155CC"/>
        <u/>
      </rPr>
      <t>https://prnt.sc/Fsr2PqYLLXWA</t>
    </r>
    <r>
      <rPr>
        <rFont val="Arial"/>
        <color rgb="FF1F1F1F"/>
      </rPr>
      <t xml:space="preserve">  </t>
    </r>
    <r>
      <rPr>
        <rFont val="Arial"/>
        <color rgb="FF1155CC"/>
        <u/>
      </rPr>
      <t>https://prnt.sc/bwwc2KZUcw3_</t>
    </r>
    <r>
      <rPr>
        <rFont val="Arial"/>
        <color rgb="FF1F1F1F"/>
      </rPr>
      <t xml:space="preserve"> </t>
    </r>
    <r>
      <rPr>
        <rFont val="Arial"/>
        <color rgb="FF1155CC"/>
        <u/>
      </rPr>
      <t>https://prnt.sc/WT1yib7rAKB7</t>
    </r>
    <r>
      <rPr>
        <rFont val="Arial"/>
      </rPr>
      <t xml:space="preserve"> </t>
    </r>
  </si>
  <si>
    <t>Verify only Special Profit Sharing Ratio (PSR) field is displayed when configuration is N + PSR</t>
  </si>
  <si>
    <t>1. Set IS_SHOW_WEIGHTAGE_WITH_PSR = N.
2. Set IS_PSR_WEIGHTAGE_RATE = PSR.
3. Navigate to Special Profit Rate UI.
4. Open Create/Add screen.</t>
  </si>
  <si>
    <t>N + PSR</t>
  </si>
  <si>
    <t>Only Special Profit Sharing Ratio field should be displayed</t>
  </si>
  <si>
    <t>https://prnt.sc/9MnDnq0FpEjN</t>
  </si>
  <si>
    <r>
      <rPr>
        <rFont val="Arial"/>
        <color rgb="FF1155CC"/>
        <u/>
      </rPr>
      <t>https://prnt.sc/2mHB8AOJcXoR</t>
    </r>
    <r>
      <rPr>
        <rFont val="Arial"/>
        <color rgb="FF1F1F1F"/>
      </rPr>
      <t xml:space="preserve">  </t>
    </r>
    <r>
      <rPr>
        <rFont val="Arial"/>
        <color rgb="FF1155CC"/>
        <u/>
      </rPr>
      <t>https://prnt.sc/uKm2n8BlZ8oH</t>
    </r>
    <r>
      <rPr>
        <rFont val="Arial"/>
        <color rgb="FF1F1F1F"/>
      </rPr>
      <t xml:space="preserve">   </t>
    </r>
    <r>
      <rPr>
        <rFont val="Arial"/>
        <color rgb="FF1155CC"/>
        <u/>
      </rPr>
      <t>https://prnt.sc/0F2PeE_Xxp_U</t>
    </r>
    <r>
      <rPr>
        <rFont val="Arial"/>
      </rPr>
      <t xml:space="preserve">  </t>
    </r>
    <r>
      <rPr>
        <rFont val="Arial"/>
        <color rgb="FF1155CC"/>
        <u/>
      </rPr>
      <t>https://prnt.sc/2GtnY07lCgDk</t>
    </r>
    <r>
      <rPr>
        <rFont val="Arial"/>
      </rPr>
      <t xml:space="preserve">   </t>
    </r>
    <r>
      <rPr>
        <rFont val="Arial"/>
        <color rgb="FF1155CC"/>
        <u/>
      </rPr>
      <t>https://prnt.sc/f-Iqz8VJXNKA</t>
    </r>
    <r>
      <rPr>
        <rFont val="Arial"/>
      </rPr>
      <t xml:space="preserve">   </t>
    </r>
    <r>
      <rPr>
        <rFont val="Arial"/>
        <color rgb="FF1155CC"/>
        <u/>
      </rPr>
      <t>https://prnt.sc/PgT92Od5aV3o</t>
    </r>
    <r>
      <rPr>
        <rFont val="Arial"/>
      </rPr>
      <t xml:space="preserve">  </t>
    </r>
    <r>
      <rPr>
        <rFont val="Arial"/>
        <color rgb="FF1155CC"/>
        <u/>
      </rPr>
      <t>https://prnt.sc/wWoWx_VrmDDP</t>
    </r>
    <r>
      <rPr>
        <rFont val="Arial"/>
      </rPr>
      <t xml:space="preserve">  </t>
    </r>
    <r>
      <rPr>
        <rFont val="Arial"/>
        <color rgb="FF1155CC"/>
        <u/>
      </rPr>
      <t>https://prnt.sc/y7-Mt2HkSZO3</t>
    </r>
    <r>
      <rPr>
        <rFont val="Arial"/>
      </rPr>
      <t xml:space="preserve">   </t>
    </r>
    <r>
      <rPr>
        <rFont val="Arial"/>
        <color rgb="FF1155CC"/>
        <u/>
      </rPr>
      <t>https://prnt.sc/St1LDM8yIKej</t>
    </r>
    <r>
      <rPr>
        <rFont val="Arial"/>
      </rPr>
      <t xml:space="preserve">   </t>
    </r>
    <r>
      <rPr>
        <rFont val="Arial"/>
        <color rgb="FF1155CC"/>
        <u/>
      </rPr>
      <t>https://prnt.sc/KHV4Q5tdOe8f</t>
    </r>
    <r>
      <rPr>
        <rFont val="Arial"/>
      </rPr>
      <t xml:space="preserve"> </t>
    </r>
  </si>
  <si>
    <t>TC-003</t>
  </si>
  <si>
    <t>Verify Debit Card Requisition when Debit Card charge is configured as 0 for an Inactive CASA account</t>
  </si>
  <si>
    <t>1. Set parameter = YES.
2. Configure Debit Card charge 
3. Select Inactive CASA account 
4. Initiate and submit Debit Card Requisition.</t>
  </si>
  <si>
    <t>Account: 7012020000029 
Balance: 0
Charge: 0</t>
  </si>
  <si>
    <t>Requisition should be allowed regardless of the Inactive status and zero available balance. No constraint or charge-related error should occur.</t>
  </si>
  <si>
    <t>Accounts
A1: Active 9901200000024 + Balance 4440 
A2: Active  9904140000328 + Balance  500
A3: Inactive 9904020001239 + Balance 100000 
A4: Inactive  0021120763434 + Balance 500
A5: Inactive  9901200000032+ Balance 0</t>
  </si>
  <si>
    <t>Verify only Special Profit Rate field is displayed when configuration is N + RATE</t>
  </si>
  <si>
    <t>1. Set IS_SHOW_WEIGHTAGE_WITH_PSR = N.
2. Set IS_PSR_WEIGHTAGE_RATE = RATE.
3. Navigate to Special Profit Rate UI.
4. Open Create/Add screen.</t>
  </si>
  <si>
    <t>N + RATE</t>
  </si>
  <si>
    <t>Only Special Profit Rate field should be displayed. Weightage and PSR fields should not be displayed.</t>
  </si>
  <si>
    <t>as expected</t>
  </si>
  <si>
    <t>https://prnt.sc/YQ1fNVhZl33j</t>
  </si>
  <si>
    <t>1. Set parameter = YES.
2. Do not configure Debit Card charge.
3. Select Inactive CASA account 9901200000032.
4. Initiate Debit Card Requisition.
5. Submit.</t>
  </si>
  <si>
    <t>Parameter: YES
Account: 9901200000032
Status: Inactive
Balance: 0
Charge: Not Configured</t>
  </si>
  <si>
    <r>
      <rPr>
        <rFont val="Arial"/>
        <color rgb="FF1155CC"/>
        <u/>
      </rPr>
      <t>https://prnt.sc/bVel-3aUGj5T</t>
    </r>
    <r>
      <rPr>
        <rFont val="Arial"/>
        <color rgb="FF1F1F1F"/>
      </rPr>
      <t xml:space="preserve">  </t>
    </r>
    <r>
      <rPr>
        <rFont val="Arial"/>
        <color rgb="FF1155CC"/>
        <u/>
      </rPr>
      <t>https://prnt.sc/UsrUm5LNl4d_</t>
    </r>
    <r>
      <rPr>
        <rFont val="Arial"/>
        <color rgb="FF1F1F1F"/>
      </rPr>
      <t xml:space="preserve">   </t>
    </r>
    <r>
      <rPr>
        <rFont val="Arial"/>
        <color rgb="FF1155CC"/>
        <u/>
      </rPr>
      <t>https://prnt.sc/I-Z25iFsib1O</t>
    </r>
    <r>
      <rPr>
        <rFont val="Arial"/>
      </rPr>
      <t xml:space="preserve">  </t>
    </r>
    <r>
      <rPr>
        <rFont val="Arial"/>
        <color rgb="FF1155CC"/>
        <u/>
      </rPr>
      <t>https://prnt.sc/Up62IQJ12v-c</t>
    </r>
    <r>
      <rPr>
        <rFont val="Arial"/>
      </rPr>
      <t xml:space="preserve">  </t>
    </r>
    <r>
      <rPr>
        <rFont val="Arial"/>
        <color rgb="FF1155CC"/>
        <u/>
      </rPr>
      <t>https://prnt.sc/buV27is2sNuF</t>
    </r>
    <r>
      <rPr>
        <rFont val="Arial"/>
      </rPr>
      <t xml:space="preserve">  </t>
    </r>
    <r>
      <rPr>
        <rFont val="Arial"/>
        <color rgb="FF1155CC"/>
        <u/>
      </rPr>
      <t>https://prnt.sc/tzC305hcqDcc</t>
    </r>
    <r>
      <rPr>
        <rFont val="Arial"/>
      </rPr>
      <t xml:space="preserve">  </t>
    </r>
    <r>
      <rPr>
        <rFont val="Arial"/>
        <color rgb="FF1155CC"/>
        <u/>
      </rPr>
      <t>https://prnt.sc/VO9wYlf_BAje</t>
    </r>
    <r>
      <rPr>
        <rFont val="Arial"/>
      </rPr>
      <t xml:space="preserve">   </t>
    </r>
    <r>
      <rPr>
        <rFont val="Arial"/>
        <color rgb="FF1155CC"/>
        <u/>
      </rPr>
      <t>https://prnt.sc/dZrBgbV5iIwV</t>
    </r>
    <r>
      <rPr>
        <rFont val="Arial"/>
      </rPr>
      <t xml:space="preserve">  </t>
    </r>
    <r>
      <rPr>
        <rFont val="Arial"/>
        <color rgb="FF1155CC"/>
        <u/>
      </rPr>
      <t>https://prnt.sc/T7egaWCGYZFi</t>
    </r>
    <r>
      <rPr>
        <rFont val="Arial"/>
      </rPr>
      <t xml:space="preserve"> </t>
    </r>
  </si>
  <si>
    <t>Verify only Weightage field is displayed when configuration is N + WEIGHTAGE</t>
  </si>
  <si>
    <t>1. Set IS_SHOW_WEIGHTAGE_WITH_PSR = N.
2. Set IS_PSR_WEIGHTAGE_RATE = WEIGHTAGE.
3. Navigate to Special Profit Rate UI.
4. Open Create/Add screen.</t>
  </si>
  <si>
    <t>N + WEIGHTAGE</t>
  </si>
  <si>
    <t>Only Weightage field should be displayed.</t>
  </si>
  <si>
    <t>https://prnt.sc/JxgtLSRM0sxG</t>
  </si>
  <si>
    <t>TC-004</t>
  </si>
  <si>
    <t>Verify Debit Card Requisition for an Inactive CASA account with sufficient balance when Block on Failure is enabled</t>
  </si>
  <si>
    <t>1. Set parameter = YES.
2. Configure Debit Card charge 
3. Enable Block on Failure.
4. Select Inactive CASA account 
5. Initiate and submit requisition.</t>
  </si>
  <si>
    <t>Account: Inactive 7012020000012 
Charge: 500
Balance: 1000
Block on Failure: ON</t>
  </si>
  <si>
    <t>Requisition should be allowed and charge should be processed according to the existing Block on Failure mechanism.</t>
  </si>
  <si>
    <t>Success!
Card requisition submitted successfully.  Charge amount blocked for inactive account.  Card requisition created successfully.</t>
  </si>
  <si>
    <r>
      <rPr>
        <rFont val="Arial"/>
        <color rgb="FF1155CC"/>
        <u/>
      </rPr>
      <t>https://prnt.sc/fy8QLnsQkbgF</t>
    </r>
    <r>
      <rPr>
        <rFont val="Arial"/>
        <color rgb="FF1F1F1F"/>
      </rPr>
      <t xml:space="preserve"> </t>
    </r>
    <r>
      <rPr>
        <rFont val="Arial"/>
        <color rgb="FF1155CC"/>
        <u/>
      </rPr>
      <t>https://prnt.sc/1k9Qxvjiwljf</t>
    </r>
    <r>
      <rPr>
        <rFont val="Arial"/>
        <color rgb="FF1F1F1F"/>
      </rPr>
      <t xml:space="preserve">   </t>
    </r>
    <r>
      <rPr>
        <rFont val="Arial"/>
        <color rgb="FF1155CC"/>
        <u/>
      </rPr>
      <t>https://prnt.sc/CuldvNoZoe6C</t>
    </r>
    <r>
      <rPr>
        <rFont val="Arial"/>
      </rPr>
      <t xml:space="preserve">   </t>
    </r>
    <r>
      <rPr>
        <rFont val="Arial"/>
        <color rgb="FF1155CC"/>
        <u/>
      </rPr>
      <t>https://prnt.sc/uPvrJPYjhbMl</t>
    </r>
    <r>
      <rPr>
        <rFont val="Arial"/>
      </rPr>
      <t xml:space="preserve">  </t>
    </r>
    <r>
      <rPr>
        <rFont val="Arial"/>
        <color rgb="FF1155CC"/>
        <u/>
      </rPr>
      <t>https://prnt.sc/WZpTAWgSFGt4</t>
    </r>
    <r>
      <rPr>
        <rFont val="Arial"/>
      </rPr>
      <t xml:space="preserve">   </t>
    </r>
    <r>
      <rPr>
        <rFont val="Arial"/>
        <color rgb="FF1155CC"/>
        <u/>
      </rPr>
      <t>https://prnt.sc/pWvLoz9DpVr8</t>
    </r>
    <r>
      <rPr>
        <rFont val="Arial"/>
      </rPr>
      <t xml:space="preserve">   </t>
    </r>
    <r>
      <rPr>
        <rFont val="Arial"/>
        <color rgb="FF1155CC"/>
        <u/>
      </rPr>
      <t>https://prnt.sc/auWxsDwCmK7w</t>
    </r>
    <r>
      <rPr>
        <rFont val="Arial"/>
      </rPr>
      <t xml:space="preserve">   </t>
    </r>
    <r>
      <rPr>
        <rFont val="Arial"/>
        <color rgb="FF1155CC"/>
        <u/>
      </rPr>
      <t>https://prnt.sc/L9ZolyNtqX8F</t>
    </r>
    <r>
      <rPr>
        <rFont val="Arial"/>
      </rPr>
      <t xml:space="preserve">  </t>
    </r>
  </si>
  <si>
    <t>Verify Create operation with Y + RATE configuration</t>
  </si>
  <si>
    <t>1. Configure Y + RATE.
2. Open Special Profit Rate Create screen.
3. Enter valid values in Weightage and Special Profit Rate.
4. Click Save/Create.</t>
  </si>
  <si>
    <t>Weightage = valid value
Special Profit Rate = valid value</t>
  </si>
  <si>
    <t>Record should be created successfully with both Weightage and Special Profit Rate values saved correctly.</t>
  </si>
  <si>
    <r>
      <rPr>
        <rFont val="Arial"/>
        <color rgb="FF1155CC"/>
        <u/>
      </rPr>
      <t>https://prnt.sc/iMd0AhThTFCh</t>
    </r>
    <r>
      <rPr>
        <rFont val="Arial"/>
        <color rgb="FF1F1F1F"/>
      </rPr>
      <t xml:space="preserve">  </t>
    </r>
    <r>
      <rPr>
        <rFont val="Arial"/>
        <color rgb="FF1155CC"/>
        <u/>
      </rPr>
      <t>https://prnt.sc/6r4-58EKWbPk</t>
    </r>
    <r>
      <rPr>
        <rFont val="Arial"/>
        <color rgb="FF1F1F1F"/>
      </rPr>
      <t xml:space="preserve">  </t>
    </r>
    <r>
      <rPr>
        <rFont val="Arial"/>
        <color rgb="FF1155CC"/>
        <u/>
      </rPr>
      <t>https://prnt.sc/_vLmSYLM7hD5</t>
    </r>
    <r>
      <rPr>
        <rFont val="Arial"/>
      </rPr>
      <t xml:space="preserve">  </t>
    </r>
    <r>
      <rPr>
        <rFont val="Arial"/>
        <color rgb="FF1155CC"/>
        <u/>
      </rPr>
      <t>https://prnt.sc/S1UYJMc1Pb_W</t>
    </r>
    <r>
      <rPr>
        <rFont val="Arial"/>
      </rPr>
      <t xml:space="preserve">   </t>
    </r>
    <r>
      <rPr>
        <rFont val="Arial"/>
        <color rgb="FF1155CC"/>
        <u/>
      </rPr>
      <t>https://prnt.sc/r-eEeXaLbc7N</t>
    </r>
    <r>
      <rPr>
        <rFont val="Arial"/>
      </rPr>
      <t xml:space="preserve">  </t>
    </r>
  </si>
  <si>
    <t>1. Set parameter = YES.
2. Configure Debit Card charge = 0.
3. Select Inactive CASA account 9904020001305 .
4. Initiate and submit Debit Card Requisition.</t>
  </si>
  <si>
    <t>Account: 9904020001305 
Balance: 0
Charge: 0</t>
  </si>
  <si>
    <t>TC-005</t>
  </si>
  <si>
    <t>Verify Debit Card Requisition for an Inactive CASA account with insufficient balance when Block on Failure is enabled</t>
  </si>
  <si>
    <t>1. Set parameter = YES.
2. Configure charge
3. Enable Block on Failure.
4. Select Inactive CASA account 
5. Initiate and submit requisition.</t>
  </si>
  <si>
    <t>Account: 7012020000012 
Status: Inactive
Balance: 1000
Charge: 700
Block on Failure: ON</t>
  </si>
  <si>
    <t>Requisition should be allowed despite insufficient balance and inactive status. Charge should be processed according to the existing Block on Failure mechanism.</t>
  </si>
  <si>
    <t>Success!
Card requisition submitted successfully for Account 7012020000012, Voucher No: 2508081296882
Info!
Charge amount blocked for inactive account 7012020000012</t>
  </si>
  <si>
    <r>
      <rPr>
        <rFont val="Arial"/>
        <color rgb="FF1155CC"/>
        <u/>
      </rPr>
      <t>https://prnt.sc/u2k9kO7mwOTu</t>
    </r>
    <r>
      <rPr>
        <rFont val="Arial"/>
        <color rgb="FF1F1F1F"/>
      </rPr>
      <t xml:space="preserve">  </t>
    </r>
    <r>
      <rPr>
        <rFont val="Arial"/>
        <color rgb="FF1155CC"/>
        <u/>
      </rPr>
      <t>https://prnt.sc/JVAirHSB_kus</t>
    </r>
    <r>
      <rPr>
        <rFont val="Arial"/>
        <color rgb="FF1F1F1F"/>
      </rPr>
      <t xml:space="preserve">   </t>
    </r>
    <r>
      <rPr>
        <rFont val="Arial"/>
        <color rgb="FF1155CC"/>
        <u/>
      </rPr>
      <t>https://prnt.sc/TK_VXdBP2Ksz</t>
    </r>
    <r>
      <rPr>
        <rFont val="Arial"/>
      </rPr>
      <t xml:space="preserve">   </t>
    </r>
    <r>
      <rPr>
        <rFont val="Arial"/>
        <color rgb="FF1155CC"/>
        <u/>
      </rPr>
      <t>https://prnt.sc/CJ4lvkh8tsCW</t>
    </r>
    <r>
      <rPr>
        <rFont val="Arial"/>
      </rPr>
      <t xml:space="preserve">  </t>
    </r>
    <r>
      <rPr>
        <rFont val="Arial"/>
        <color rgb="FF1155CC"/>
        <u/>
      </rPr>
      <t>https://prnt.sc/KZU7hULzRm79</t>
    </r>
    <r>
      <rPr>
        <rFont val="Arial"/>
      </rPr>
      <t xml:space="preserve"> </t>
    </r>
  </si>
  <si>
    <r>
      <rPr>
        <rFont val="Arial"/>
        <color rgb="FF1155CC"/>
        <u/>
      </rPr>
      <t>https://prnt.sc/5MAZesDnKl3a</t>
    </r>
    <r>
      <rPr>
        <rFont val="Arial"/>
      </rPr>
      <t xml:space="preserve">  </t>
    </r>
    <r>
      <rPr>
        <rFont val="Arial"/>
        <color rgb="FF1155CC"/>
        <u/>
      </rPr>
      <t>https://prnt.sc/cUESi1vF2y8t</t>
    </r>
    <r>
      <rPr>
        <rFont val="Arial"/>
        <color rgb="FF1F1F1F"/>
      </rPr>
      <t xml:space="preserve">   </t>
    </r>
    <r>
      <rPr>
        <rFont val="Arial"/>
        <color rgb="FF1155CC"/>
        <u/>
      </rPr>
      <t>https://prnt.sc/Zx6cRVhljOZY</t>
    </r>
    <r>
      <rPr>
        <rFont val="Arial"/>
      </rPr>
      <t xml:space="preserve">    </t>
    </r>
    <r>
      <rPr>
        <rFont val="Arial"/>
        <color rgb="FF1155CC"/>
        <u/>
      </rPr>
      <t>https://prnt.sc/Y2Wtz_CNmhSI</t>
    </r>
    <r>
      <rPr>
        <rFont val="Arial"/>
      </rPr>
      <t xml:space="preserve">   </t>
    </r>
    <r>
      <rPr>
        <rFont val="Arial"/>
        <color rgb="FF1155CC"/>
        <u/>
      </rPr>
      <t>https://prnt.sc/G-DCKw46Kwgr</t>
    </r>
    <r>
      <rPr>
        <rFont val="Arial"/>
      </rPr>
      <t xml:space="preserve">  </t>
    </r>
    <r>
      <rPr>
        <rFont val="Arial"/>
        <color rgb="FF1155CC"/>
        <u/>
      </rPr>
      <t>https://prnt.sc/baZq4bs_7b8n</t>
    </r>
    <r>
      <rPr>
        <rFont val="Arial"/>
      </rPr>
      <t xml:space="preserve">  </t>
    </r>
    <r>
      <rPr>
        <rFont val="Arial"/>
        <color rgb="FF1155CC"/>
        <u/>
      </rPr>
      <t>https://prnt.sc/z_OZ4SI7vjVW</t>
    </r>
    <r>
      <rPr>
        <rFont val="Arial"/>
      </rPr>
      <t xml:space="preserve">   </t>
    </r>
    <r>
      <rPr>
        <rFont val="Arial"/>
        <color rgb="FF1155CC"/>
        <u/>
      </rPr>
      <t>https://prnt.sc/hPzx_u-4Zr-q</t>
    </r>
    <r>
      <rPr>
        <rFont val="Arial"/>
      </rPr>
      <t xml:space="preserve">   </t>
    </r>
    <r>
      <rPr>
        <rFont val="Arial"/>
        <color rgb="FF1155CC"/>
        <u/>
      </rPr>
      <t>https://prnt.sc/BmMDV1iys24L</t>
    </r>
    <r>
      <rPr>
        <rFont val="Arial"/>
      </rPr>
      <t xml:space="preserve"> </t>
    </r>
  </si>
  <si>
    <t>Account: Inactive 0021120763434 
Charge: 20
Balance: 500
Block on Failure: ON</t>
  </si>
  <si>
    <r>
      <rPr>
        <rFont val="Arial"/>
        <color rgb="FF1155CC"/>
        <u/>
      </rPr>
      <t>https://prnt.sc/8OhYs9BBRBD2</t>
    </r>
    <r>
      <rPr>
        <rFont val="Arial"/>
        <color rgb="FF1F1F1F"/>
      </rPr>
      <t xml:space="preserve"> </t>
    </r>
    <r>
      <rPr>
        <rFont val="Arial"/>
        <color rgb="FF1155CC"/>
        <u/>
      </rPr>
      <t>https://prnt.sc/Qei-SvEAumKS</t>
    </r>
    <r>
      <rPr>
        <rFont val="Arial"/>
        <color rgb="FF1F1F1F"/>
      </rPr>
      <t xml:space="preserve">  </t>
    </r>
    <r>
      <rPr>
        <rFont val="Arial"/>
        <color rgb="FF1155CC"/>
        <u/>
      </rPr>
      <t>https://prnt.sc/wXGZXV7pDkWv</t>
    </r>
    <r>
      <rPr>
        <rFont val="Arial"/>
        <color rgb="FF1F1F1F"/>
      </rPr>
      <t xml:space="preserve">  </t>
    </r>
    <r>
      <rPr>
        <rFont val="Arial"/>
        <color rgb="FF1155CC"/>
        <u/>
      </rPr>
      <t>https://prnt.sc/Ozavz5WhUfkO</t>
    </r>
    <r>
      <rPr>
        <rFont val="Arial"/>
        <color rgb="FF1F1F1F"/>
      </rPr>
      <t xml:space="preserve">  </t>
    </r>
    <r>
      <rPr>
        <rFont val="Arial"/>
        <color rgb="FF1155CC"/>
        <u/>
      </rPr>
      <t>https://prnt.sc/R_lYIFvy9w-F</t>
    </r>
    <r>
      <rPr>
        <rFont val="Arial"/>
        <color rgb="FF1F1F1F"/>
      </rPr>
      <t xml:space="preserve">   </t>
    </r>
    <r>
      <rPr>
        <rFont val="Arial"/>
        <color rgb="FF1155CC"/>
        <u/>
      </rPr>
      <t>https://prnt.sc/0oMWaQxHk19H</t>
    </r>
    <r>
      <rPr>
        <rFont val="Arial"/>
        <color rgb="FF1F1F1F"/>
      </rPr>
      <t xml:space="preserve">   </t>
    </r>
    <r>
      <rPr>
        <rFont val="Arial"/>
        <color rgb="FF1155CC"/>
        <u/>
      </rPr>
      <t>https://prnt.sc/uczhVApT3kme</t>
    </r>
    <r>
      <rPr>
        <rFont val="Arial"/>
        <color rgb="FF1F1F1F"/>
      </rPr>
      <t xml:space="preserve">  </t>
    </r>
    <r>
      <rPr>
        <rFont val="Arial"/>
        <color rgb="FF1155CC"/>
        <u/>
      </rPr>
      <t>https://prnt.sc/AFJUFHvSD4Lx</t>
    </r>
    <r>
      <rPr>
        <rFont val="Arial"/>
        <color rgb="FF1F1F1F"/>
      </rPr>
      <t xml:space="preserve"> </t>
    </r>
  </si>
  <si>
    <t>Verify Create operation with Y + WEIGHTAGE configuration</t>
  </si>
  <si>
    <t>1. Configure Y + WEIGHTAGE.
2. Open Create screen.
3. Enter valid Weightage value.
4. Click Save/Create.</t>
  </si>
  <si>
    <t>Weightage = valid value</t>
  </si>
  <si>
    <t>Record should be created successfully with Weightage. Special Profit Rate field should not be required/displayed.</t>
  </si>
  <si>
    <t>TC-006</t>
  </si>
  <si>
    <t>Verify Debit Card Requisition for an Active CASA account with sufficient balance when Block on Failure is disabled</t>
  </si>
  <si>
    <t>1. Set parameter = YES.
2. Configure charge 
3. Disable Block on Failure.
4. Select Active CASA account 
5. Initiate and submit requisition.</t>
  </si>
  <si>
    <t>Account: 7011510000011 
Status: Active
Balance: 3000
Charge: 500
Block on Failure: OFF</t>
  </si>
  <si>
    <t>System should immediately recover the charge and allow Debit Card Requisition.</t>
  </si>
  <si>
    <t>Success!
Card requisition submitted successfully for Account 7011510000011</t>
  </si>
  <si>
    <r>
      <rPr>
        <rFont val="Arial"/>
        <color rgb="FF1155CC"/>
        <u/>
      </rPr>
      <t>https://prnt.sc/XUZSu0iW_hlQ</t>
    </r>
    <r>
      <rPr>
        <rFont val="Arial"/>
        <color rgb="FF1F1F1F"/>
      </rPr>
      <t xml:space="preserve">  </t>
    </r>
    <r>
      <rPr>
        <rFont val="Arial"/>
        <color rgb="FF1155CC"/>
        <u/>
      </rPr>
      <t>https://prnt.sc/hYi45eMhLQJl</t>
    </r>
    <r>
      <rPr>
        <rFont val="Arial"/>
        <color rgb="FF1F1F1F"/>
      </rPr>
      <t xml:space="preserve"> </t>
    </r>
    <r>
      <rPr>
        <rFont val="Arial"/>
        <color rgb="FF1155CC"/>
        <u/>
      </rPr>
      <t>https://prnt.sc/e19DfulniOvO</t>
    </r>
    <r>
      <rPr>
        <rFont val="Arial"/>
      </rPr>
      <t xml:space="preserve">   </t>
    </r>
    <r>
      <rPr>
        <rFont val="Arial"/>
        <color rgb="FF1155CC"/>
        <u/>
      </rPr>
      <t>https://prnt.sc/7smiQkv2akhK</t>
    </r>
    <r>
      <rPr>
        <rFont val="Arial"/>
      </rPr>
      <t xml:space="preserve">  </t>
    </r>
    <r>
      <rPr>
        <rFont val="Arial"/>
        <color rgb="FF1155CC"/>
        <u/>
      </rPr>
      <t>https://prnt.sc/OcUmJR7N3TLh</t>
    </r>
    <r>
      <rPr>
        <rFont val="Arial"/>
      </rPr>
      <t xml:space="preserve">  </t>
    </r>
    <r>
      <rPr>
        <rFont val="Arial"/>
        <color rgb="FF1155CC"/>
        <u/>
      </rPr>
      <t>https://prnt.sc/w8HlZruqrV4v</t>
    </r>
    <r>
      <rPr>
        <rFont val="Arial"/>
      </rPr>
      <t xml:space="preserve">   </t>
    </r>
    <r>
      <rPr>
        <rFont val="Arial"/>
        <color rgb="FF1155CC"/>
        <u/>
      </rPr>
      <t>https://prnt.sc/0tXjAED_VLhi</t>
    </r>
    <r>
      <rPr>
        <rFont val="Arial"/>
      </rPr>
      <t xml:space="preserve">   </t>
    </r>
    <r>
      <rPr>
        <rFont val="Arial"/>
        <color rgb="FF1155CC"/>
        <u/>
      </rPr>
      <t>https://prnt.sc/L8WOiJSs-azn</t>
    </r>
    <r>
      <rPr>
        <rFont val="Arial"/>
      </rPr>
      <t xml:space="preserve"> </t>
    </r>
  </si>
  <si>
    <t xml:space="preserve">"Accounts
A1: Active 9901200000024 + Balance 4440 
A2: Active  9904140000328 + Balance  500
A3: Inactive 9904020001239 + Balance 100000 
A4: Inactive  0021120763434 + Balance 500
A5: Inactive  9901200000032+ Balance 0"        </t>
  </si>
  <si>
    <r>
      <rPr>
        <rFont val="Arial"/>
        <color rgb="FF1155CC"/>
        <u/>
      </rPr>
      <t xml:space="preserve">https://prnt.sc/6lq6LY2DU_sQ </t>
    </r>
    <r>
      <rPr>
        <rFont val="Arial"/>
        <color rgb="FF1F1F1F"/>
      </rPr>
      <t xml:space="preserve"> </t>
    </r>
    <r>
      <rPr>
        <rFont val="Arial"/>
        <color rgb="FF1155CC"/>
        <u/>
      </rPr>
      <t>https://prnt.sc/C3nWlUO0cnhs</t>
    </r>
    <r>
      <rPr>
        <rFont val="Arial"/>
        <color rgb="FF1F1F1F"/>
      </rPr>
      <t xml:space="preserve">  </t>
    </r>
    <r>
      <rPr>
        <rFont val="Arial"/>
        <color rgb="FF1155CC"/>
        <u/>
      </rPr>
      <t>https://prnt.sc/L6bFcQdz6Y4i</t>
    </r>
    <r>
      <rPr>
        <rFont val="Arial"/>
        <color rgb="FF1F1F1F"/>
      </rPr>
      <t xml:space="preserve">  </t>
    </r>
    <r>
      <rPr>
        <rFont val="Arial"/>
        <color rgb="FF1155CC"/>
        <u/>
      </rPr>
      <t>https://prnt.sc/LGc9YdCZw71V</t>
    </r>
    <r>
      <rPr>
        <rFont val="Arial"/>
        <color rgb="FF1F1F1F"/>
      </rPr>
      <t xml:space="preserve">  </t>
    </r>
    <r>
      <rPr>
        <rFont val="Arial"/>
        <color rgb="FF1155CC"/>
        <u/>
      </rPr>
      <t>https://prnt.sc/d2jz4fIvRBY2</t>
    </r>
    <r>
      <rPr>
        <rFont val="Arial"/>
        <color rgb="FF1F1F1F"/>
      </rPr>
      <t xml:space="preserve">  </t>
    </r>
    <r>
      <rPr>
        <rFont val="Arial"/>
        <color rgb="FF1155CC"/>
        <u/>
      </rPr>
      <t>https://prnt.sc/C5bH6LdhpcMM</t>
    </r>
    <r>
      <rPr>
        <rFont val="Arial"/>
        <color rgb="FF1F1F1F"/>
      </rPr>
      <t xml:space="preserve"> </t>
    </r>
    <r>
      <rPr>
        <rFont val="Arial"/>
        <color rgb="FF1155CC"/>
        <u/>
      </rPr>
      <t>https://prnt.sc/Vey3nZeZ_ozG</t>
    </r>
    <r>
      <rPr>
        <rFont val="Arial"/>
      </rPr>
      <t xml:space="preserve">   </t>
    </r>
    <r>
      <rPr>
        <rFont val="Arial"/>
        <color rgb="FF1155CC"/>
        <u/>
      </rPr>
      <t>https://prnt.sc/WFCfzX7yPsG2</t>
    </r>
    <r>
      <rPr>
        <rFont val="Arial"/>
      </rPr>
      <t xml:space="preserve">  </t>
    </r>
    <r>
      <rPr>
        <rFont val="Arial"/>
        <color rgb="FF1155CC"/>
        <u/>
      </rPr>
      <t>https://prnt.sc/06XtJCtWbpha</t>
    </r>
    <r>
      <rPr>
        <rFont val="Arial"/>
      </rPr>
      <t xml:space="preserve"> </t>
    </r>
  </si>
  <si>
    <t>Account: 0021120763434 
Status: Inactive
Balance: 500
Charge: 700
Block on Failure: ON</t>
  </si>
  <si>
    <t>Success!
Card requisition submitted successfully for Account 0021120763434, Voucher No: 26042863239777                      Info!
Charge amount blocked for inactive account 0021120763434</t>
  </si>
  <si>
    <r>
      <rPr>
        <rFont val="Arial"/>
        <color rgb="FF1155CC"/>
        <u/>
      </rPr>
      <t>https://prnt.sc/uz3RYklYPqIA</t>
    </r>
    <r>
      <rPr>
        <rFont val="Arial"/>
        <color rgb="FF1F1F1F"/>
      </rPr>
      <t xml:space="preserve">  </t>
    </r>
    <r>
      <rPr>
        <rFont val="Arial"/>
        <color rgb="FF1155CC"/>
        <u/>
      </rPr>
      <t>https://prnt.sc/ooEj8yYV00nK</t>
    </r>
    <r>
      <rPr>
        <rFont val="Arial"/>
        <color rgb="FF1F1F1F"/>
      </rPr>
      <t xml:space="preserve">   </t>
    </r>
    <r>
      <rPr>
        <rFont val="Arial"/>
        <color rgb="FF1155CC"/>
        <u/>
      </rPr>
      <t>https://prnt.sc/YaoAyG83TJeb</t>
    </r>
    <r>
      <rPr>
        <rFont val="Arial"/>
      </rPr>
      <t xml:space="preserve">   </t>
    </r>
    <r>
      <rPr>
        <rFont val="Arial"/>
        <color rgb="FF1155CC"/>
        <u/>
      </rPr>
      <t>https://prnt.sc/P6WPMmr56vOU</t>
    </r>
    <r>
      <rPr>
        <rFont val="Arial"/>
      </rPr>
      <t xml:space="preserve"> </t>
    </r>
    <r>
      <rPr>
        <rFont val="Arial"/>
        <color rgb="FF1155CC"/>
        <u/>
      </rPr>
      <t>https://prnt.sc/RRwFuddlOPRu</t>
    </r>
    <r>
      <rPr>
        <rFont val="Arial"/>
      </rPr>
      <t xml:space="preserve">  </t>
    </r>
    <r>
      <rPr>
        <rFont val="Arial"/>
        <color rgb="FF1155CC"/>
        <u/>
      </rPr>
      <t>https://prnt.sc/KnVDh2JX6TCZ</t>
    </r>
    <r>
      <rPr>
        <rFont val="Arial"/>
      </rPr>
      <t xml:space="preserve"> </t>
    </r>
  </si>
  <si>
    <t>Verify Create operation with Y + PSR configuration</t>
  </si>
  <si>
    <r>
      <rPr>
        <rFont val="Arial"/>
        <color rgb="FF1155CC"/>
        <u/>
      </rPr>
      <t>https://prnt.sc/oZio1Km04ArV</t>
    </r>
    <r>
      <rPr>
        <rFont val="Arial"/>
        <color rgb="FF1F1F1F"/>
      </rPr>
      <t xml:space="preserve">  </t>
    </r>
    <r>
      <rPr>
        <rFont val="Arial"/>
        <color rgb="FF1155CC"/>
        <u/>
      </rPr>
      <t>https://prnt.sc/MWeSXbqap14C</t>
    </r>
    <r>
      <rPr>
        <rFont val="Arial"/>
        <color rgb="FF1F1F1F"/>
      </rPr>
      <t xml:space="preserve">   </t>
    </r>
    <r>
      <rPr>
        <rFont val="Arial"/>
        <color rgb="FF1155CC"/>
        <u/>
      </rPr>
      <t>https://prnt.sc/qLGqj5I_6V3m</t>
    </r>
    <r>
      <rPr>
        <rFont val="Arial"/>
        <color rgb="FF1F1F1F"/>
      </rPr>
      <t xml:space="preserve">  </t>
    </r>
    <r>
      <rPr>
        <rFont val="Arial"/>
        <color rgb="FF1155CC"/>
        <u/>
      </rPr>
      <t>https://prnt.sc/CoDWn1KAOBFT</t>
    </r>
    <r>
      <rPr>
        <rFont val="Arial"/>
        <color rgb="FF1F1F1F"/>
      </rPr>
      <t xml:space="preserve">  </t>
    </r>
    <r>
      <rPr>
        <rFont val="Arial"/>
        <color rgb="FF1155CC"/>
        <u/>
      </rPr>
      <t>https://prnt.sc/Tl-bXey_nvqm</t>
    </r>
  </si>
  <si>
    <t>TC-007</t>
  </si>
  <si>
    <t>Verify Debit Card Requisition restriction for an Active CASA account with insufficient balance when Block on Failure is disabled</t>
  </si>
  <si>
    <t>1. Configure Y + PSR.
2. Open Create screen.
3. Enter valid PSR value.
4. Click Save/Create.</t>
  </si>
  <si>
    <t>1. Set parameter
2. Configure charge 
3. Disable Block on Failure.
4. Select Active CASA account 
5. Initiate and submit requisition.</t>
  </si>
  <si>
    <t>PSR = valid value</t>
  </si>
  <si>
    <t>Account: 7011060000015 
Status: Active
Balance: 1000
Charge: 1020
Block on Failure: OFF</t>
  </si>
  <si>
    <t>Record should be created successfully with Special Profit Sharing Ratio</t>
  </si>
  <si>
    <t>System should attempt immediate charge recovery and restrict the Debit Card Requisition because available balance is insufficient.</t>
  </si>
  <si>
    <t>Error!
Sufficient balance not available. available balance is 0 Tr Amount is : 1142.4 Acc No is 7011060000015 0 Exception log no :325314</t>
  </si>
  <si>
    <t>Account: 9901200000024 
Status: Active
Balance: 4,440
Charge: 500
Block on Failure: OFF</t>
  </si>
  <si>
    <t>Success!
Card requisition submitted successfully for Account 9901200000024, Voucher No: 26042863239781</t>
  </si>
  <si>
    <r>
      <rPr>
        <rFont val="Arial"/>
        <color rgb="FF1155CC"/>
        <u/>
      </rPr>
      <t>https://prnt.sc/xnrx9UcoFLQZ</t>
    </r>
    <r>
      <rPr>
        <rFont val="Arial"/>
        <color rgb="FF1F1F1F"/>
      </rPr>
      <t xml:space="preserve">  </t>
    </r>
    <r>
      <rPr>
        <rFont val="Arial"/>
        <color rgb="FF1155CC"/>
        <u/>
      </rPr>
      <t>https://prnt.sc/_0y4Lbc2YMfV</t>
    </r>
    <r>
      <rPr>
        <rFont val="Arial"/>
        <color rgb="FF1F1F1F"/>
      </rPr>
      <t xml:space="preserve"> </t>
    </r>
  </si>
  <si>
    <r>
      <rPr>
        <rFont val="Arial"/>
        <color rgb="FF1155CC"/>
        <u/>
      </rPr>
      <t>https://prnt.sc/Am9Y5r7oveDJ</t>
    </r>
    <r>
      <rPr>
        <rFont val="Arial"/>
        <color rgb="FF1F1F1F"/>
      </rPr>
      <t xml:space="preserve">  </t>
    </r>
    <r>
      <rPr>
        <rFont val="Arial"/>
        <color rgb="FF1155CC"/>
        <u/>
      </rPr>
      <t>https://prnt.sc/vRHlxGD-PYNv</t>
    </r>
    <r>
      <rPr>
        <rFont val="Arial"/>
        <color rgb="FF1F1F1F"/>
      </rPr>
      <t xml:space="preserve">  </t>
    </r>
    <r>
      <rPr>
        <rFont val="Arial"/>
        <color rgb="FF1155CC"/>
        <u/>
      </rPr>
      <t>https://prnt.sc/vxOXVh5ZGvC-</t>
    </r>
    <r>
      <rPr>
        <rFont val="Arial"/>
      </rPr>
      <t xml:space="preserve">   </t>
    </r>
    <r>
      <rPr>
        <rFont val="Arial"/>
        <color rgb="FF1155CC"/>
        <u/>
      </rPr>
      <t>https://prnt.sc/73d37SKKsAmj</t>
    </r>
    <r>
      <rPr>
        <rFont val="Arial"/>
      </rPr>
      <t xml:space="preserve">  </t>
    </r>
    <r>
      <rPr>
        <rFont val="Arial"/>
        <color rgb="FF1155CC"/>
        <u/>
      </rPr>
      <t>https://prnt.sc/BRswNCHU1Ze3</t>
    </r>
    <r>
      <rPr>
        <rFont val="Arial"/>
      </rPr>
      <t xml:space="preserve">  </t>
    </r>
    <r>
      <rPr>
        <rFont val="Arial"/>
        <color rgb="FF1155CC"/>
        <u/>
      </rPr>
      <t>https://prnt.sc/ArbarM49QCCZ</t>
    </r>
    <r>
      <rPr>
        <rFont val="Arial"/>
      </rPr>
      <t xml:space="preserve"> </t>
    </r>
  </si>
  <si>
    <t>TC-008</t>
  </si>
  <si>
    <t>Verify Debit Card Requisition restriction for an Inactive CASA account with sufficient balance when Block on Failure is disabled</t>
  </si>
  <si>
    <t>1. Set parameter = YES.
2. Configure charge 
3. Disable Block on Failure.
4. Select Inactive CASA account 
5. Initiate and submit requisition.</t>
  </si>
  <si>
    <t>Account: 7011010000024 
Status: Inactive
Balance: 3000
Charge: 500
Block on Failure: OFF</t>
  </si>
  <si>
    <t xml:space="preserve">System should restrict the Debit Card Requisition because the account is Inactive, even though sufficient balance is available.
</t>
  </si>
  <si>
    <r>
      <rPr>
        <rFont val="Arial"/>
        <color rgb="FF1155CC"/>
        <u/>
      </rPr>
      <t>https://prnt.sc/JRVw1GYidbL5</t>
    </r>
    <r>
      <rPr>
        <rFont val="Arial"/>
        <color rgb="FF1F1F1F"/>
      </rPr>
      <t xml:space="preserve"> </t>
    </r>
    <r>
      <rPr>
        <rFont val="Arial"/>
        <color rgb="FF1155CC"/>
        <u/>
      </rPr>
      <t>https://prnt.sc/T9ylLUvMS9U3</t>
    </r>
    <r>
      <rPr>
        <rFont val="Arial"/>
        <color rgb="FF1F1F1F"/>
      </rPr>
      <t xml:space="preserve">   </t>
    </r>
    <r>
      <rPr>
        <rFont val="Arial"/>
        <color rgb="FF1155CC"/>
        <u/>
      </rPr>
      <t>https://prnt.sc/h2YLNDkIzpro</t>
    </r>
    <r>
      <rPr>
        <rFont val="Arial"/>
      </rPr>
      <t xml:space="preserve">   </t>
    </r>
    <r>
      <rPr>
        <rFont val="Arial"/>
        <color rgb="FF1155CC"/>
        <u/>
      </rPr>
      <t>https://prnt.sc/4P1yS7ehk323</t>
    </r>
    <r>
      <rPr>
        <rFont val="Arial"/>
      </rPr>
      <t xml:space="preserve">   </t>
    </r>
    <r>
      <rPr>
        <rFont val="Arial"/>
        <color rgb="FF1155CC"/>
        <u/>
      </rPr>
      <t>https://prnt.sc/R6DI0CgpeXMS</t>
    </r>
    <r>
      <rPr>
        <rFont val="Arial"/>
      </rPr>
      <t xml:space="preserve"> </t>
    </r>
    <r>
      <rPr>
        <rFont val="Arial"/>
        <color rgb="FF1155CC"/>
        <u/>
      </rPr>
      <t>https://prnt.sc/StcNsEwLYp5s</t>
    </r>
    <r>
      <rPr>
        <rFont val="Arial"/>
      </rPr>
      <t xml:space="preserve">   </t>
    </r>
    <r>
      <rPr>
        <rFont val="Arial"/>
        <color rgb="FF1155CC"/>
        <u/>
      </rPr>
      <t>https://prnt.sc/W-6sE7SMjqT-</t>
    </r>
    <r>
      <rPr>
        <rFont val="Arial"/>
      </rPr>
      <t xml:space="preserve"> </t>
    </r>
  </si>
  <si>
    <t>Error!
Account 7011010000024 is not active.has status : INACTIVE Exception log no :325315</t>
  </si>
  <si>
    <t>Verify Create operation with N + RATE configuration</t>
  </si>
  <si>
    <t>1. Configure N + RATE.
2. Open Create screen.
3. Enter valid Special Profit Rate.
4. Click Save/Create.</t>
  </si>
  <si>
    <t>Special Profit Rate = valid value</t>
  </si>
  <si>
    <t>Record should be created successfully with Special Profit Rate.</t>
  </si>
  <si>
    <r>
      <rPr>
        <rFont val="Arial"/>
        <color rgb="FF1155CC"/>
        <u/>
      </rPr>
      <t>https://prnt.sc/i-8y3EWWLtAc</t>
    </r>
    <r>
      <rPr>
        <rFont val="Arial"/>
        <color rgb="FF1F1F1F"/>
      </rPr>
      <t xml:space="preserve"> </t>
    </r>
    <r>
      <rPr>
        <rFont val="Arial"/>
        <color rgb="FF1155CC"/>
        <u/>
      </rPr>
      <t>https://prnt.sc/JA51nqENpVBG</t>
    </r>
    <r>
      <rPr>
        <rFont val="Arial"/>
        <color rgb="FF1F1F1F"/>
      </rPr>
      <t xml:space="preserve">   </t>
    </r>
    <r>
      <rPr>
        <rFont val="Arial"/>
        <color rgb="FF1155CC"/>
        <u/>
      </rPr>
      <t>https://prnt.sc/HYARHb4RVv1f</t>
    </r>
    <r>
      <rPr>
        <rFont val="Arial"/>
        <color rgb="FF1F1F1F"/>
      </rPr>
      <t xml:space="preserve"> </t>
    </r>
  </si>
  <si>
    <t>Account: 9904140000328 
Status: Active
Balance: 444
Charge: 600
Block on Failure: OFF</t>
  </si>
  <si>
    <t>Error!
Transaction Amount: 680 is grater than account current balance: 444 Exception log no :22372776</t>
  </si>
  <si>
    <r>
      <rPr>
        <rFont val="Arial"/>
        <color rgb="FF1155CC"/>
        <u/>
      </rPr>
      <t>https://prnt.sc/suDiORmlcoVA</t>
    </r>
    <r>
      <rPr>
        <rFont val="Arial"/>
      </rPr>
      <t xml:space="preserve">  </t>
    </r>
    <r>
      <rPr>
        <rFont val="Arial"/>
        <color rgb="FF1155CC"/>
        <u/>
      </rPr>
      <t>https://prnt.sc/ovi8LswjgsYs</t>
    </r>
    <r>
      <rPr>
        <rFont val="Arial"/>
      </rPr>
      <t xml:space="preserve">   </t>
    </r>
    <r>
      <rPr>
        <rFont val="Arial"/>
        <color rgb="FF1155CC"/>
        <u/>
      </rPr>
      <t>https://prnt.sc/0yoYNULacb0K</t>
    </r>
    <r>
      <rPr>
        <rFont val="Arial"/>
      </rPr>
      <t xml:space="preserve">   </t>
    </r>
    <r>
      <rPr>
        <rFont val="Arial"/>
        <color rgb="FF1155CC"/>
        <u/>
      </rPr>
      <t>https://prnt.sc/cI1d8Ew8NI0U</t>
    </r>
    <r>
      <rPr>
        <rFont val="Arial"/>
      </rPr>
      <t xml:space="preserve"> </t>
    </r>
  </si>
  <si>
    <t>TC-009</t>
  </si>
  <si>
    <t>Verify Debit Card Requisition restriction for an Inactive CASA account with insufficient balance when Block on Failure is disabled</t>
  </si>
  <si>
    <r>
      <rPr>
        <rFont val="Arial"/>
        <color rgb="FF1155CC"/>
        <u/>
      </rPr>
      <t>https://prnt.sc/OY7Qz83hnlKz</t>
    </r>
    <r>
      <rPr>
        <rFont val="Arial"/>
        <color rgb="FF1F1F1F"/>
      </rPr>
      <t xml:space="preserve"> </t>
    </r>
    <r>
      <rPr>
        <rFont val="Arial"/>
        <color rgb="FF1155CC"/>
        <u/>
      </rPr>
      <t>https://prnt.sc/8iax1AO1VeeG</t>
    </r>
    <r>
      <rPr>
        <rFont val="Arial"/>
        <color rgb="FF1F1F1F"/>
      </rPr>
      <t xml:space="preserve">  </t>
    </r>
    <r>
      <rPr>
        <rFont val="Arial"/>
        <color rgb="FF1155CC"/>
        <u/>
      </rPr>
      <t>https://prnt.sc/3wHS6rKJWFDQ</t>
    </r>
    <r>
      <rPr>
        <rFont val="Arial"/>
      </rPr>
      <t xml:space="preserve">  </t>
    </r>
    <r>
      <rPr>
        <rFont val="Arial"/>
        <color rgb="FF1155CC"/>
        <u/>
      </rPr>
      <t>https://prnt.sc/dgFrpTn3NBiN</t>
    </r>
    <r>
      <rPr>
        <rFont val="Arial"/>
      </rPr>
      <t xml:space="preserve"> </t>
    </r>
  </si>
  <si>
    <t>1. Set parameter = YES.
2. Configure charge 
3. Disable Block on Failure.
4. Select Inactive CASA account
5. Initiate and submit requisition.</t>
  </si>
  <si>
    <t>Account: 7011010000024 
Status: Inactive
Balance: 3000
Charge: 3010
Block on Failure: OFF</t>
  </si>
  <si>
    <t>System should restrict the Debit Card Requisition because the account is Inactive and available balance is insufficient.</t>
  </si>
  <si>
    <t>Error!
Account 7011010000024 is not active.has status : INACTIVE Exception log no :325316</t>
  </si>
  <si>
    <t xml:space="preserve"> </t>
  </si>
  <si>
    <t>Account: 0021120763434 
Status: Inactive
Balance: 500
Charge: 300
Block on Failure: OFF</t>
  </si>
  <si>
    <t>Error!
Account 0021120763434 is not active.has status : INACTIVE Exception log no :22372774</t>
  </si>
  <si>
    <r>
      <rPr>
        <rFont val="Arial"/>
        <color rgb="FF1155CC"/>
        <u/>
      </rPr>
      <t>https://prnt.sc/dWIpm_kEQNzG</t>
    </r>
    <r>
      <rPr>
        <rFont val="Arial"/>
        <color rgb="FF1F1F1F"/>
      </rPr>
      <t xml:space="preserve"> </t>
    </r>
    <r>
      <rPr>
        <rFont val="Arial"/>
        <color rgb="FF1155CC"/>
        <u/>
      </rPr>
      <t>https://prnt.sc/m0cx1DDk5_TW</t>
    </r>
    <r>
      <rPr>
        <rFont val="Arial"/>
        <color rgb="FF1F1F1F"/>
      </rPr>
      <t xml:space="preserve">   </t>
    </r>
    <r>
      <rPr>
        <rFont val="Arial"/>
        <color rgb="FF1155CC"/>
        <u/>
      </rPr>
      <t>https://prnt.sc/B0fG11C3Ix1S</t>
    </r>
    <r>
      <rPr>
        <rFont val="Arial"/>
        <color rgb="FF1F1F1F"/>
      </rPr>
      <t xml:space="preserve">   </t>
    </r>
    <r>
      <rPr>
        <rFont val="Arial"/>
        <color rgb="FF1155CC"/>
        <u/>
      </rPr>
      <t>https://prnt.sc/QuGD-RfIA-7F</t>
    </r>
    <r>
      <rPr>
        <rFont val="Arial"/>
        <color rgb="FF1F1F1F"/>
      </rPr>
      <t xml:space="preserve"> </t>
    </r>
  </si>
  <si>
    <t>Verify Create operation with N + WEIGHTAGE configuration</t>
  </si>
  <si>
    <t>1. Configure N + WEIGHTAGE.
2. Open Create screen.
3. Enter valid Weightage.
4. Click Save/Create.</t>
  </si>
  <si>
    <t>Record should be created successfully with Weightage</t>
  </si>
  <si>
    <t>TC-010</t>
  </si>
  <si>
    <t>Verify Debit Card Requisition for an Active CASA account with zero charge and zero/insufficient balance</t>
  </si>
  <si>
    <t>1. Set parameter = YES.
2. Configure Debit Card charge 
3. Select Active CASA account 
4. Initiate and submit requisition.</t>
  </si>
  <si>
    <t>Account: 7011060000015 
Status: Active
Balance: 1000
Charge: 0</t>
  </si>
  <si>
    <t>Requisition should be allowed because no charge recovery is required.</t>
  </si>
  <si>
    <t>Success!
Card requisition submitted successfully for Account 7011060000015, Voucher No: 2508081296891</t>
  </si>
  <si>
    <r>
      <rPr>
        <rFont val="Arial"/>
        <color rgb="FF1155CC"/>
        <u/>
      </rPr>
      <t>https://prnt.sc/oBlbZ9AV8S89</t>
    </r>
    <r>
      <rPr>
        <rFont val="Arial"/>
        <color rgb="FF1F1F1F"/>
      </rPr>
      <t xml:space="preserve">   </t>
    </r>
    <r>
      <rPr>
        <rFont val="Arial"/>
        <color rgb="FF1155CC"/>
        <u/>
      </rPr>
      <t>https://prnt.sc/a6zkRD6dCLEK</t>
    </r>
    <r>
      <rPr>
        <rFont val="Arial"/>
      </rPr>
      <t xml:space="preserve">  </t>
    </r>
    <r>
      <rPr>
        <rFont val="Arial"/>
        <color rgb="FF1155CC"/>
        <u/>
      </rPr>
      <t>https://prnt.sc/eMxEE0-Ui46O</t>
    </r>
    <r>
      <rPr>
        <rFont val="Arial"/>
      </rPr>
      <t xml:space="preserve">  </t>
    </r>
    <r>
      <rPr>
        <rFont val="Arial"/>
        <color rgb="FF1155CC"/>
        <u/>
      </rPr>
      <t>https://prnt.sc/87Mov9GcCZZG</t>
    </r>
    <r>
      <rPr>
        <rFont val="Arial"/>
      </rPr>
      <t xml:space="preserve"> </t>
    </r>
  </si>
  <si>
    <r>
      <rPr>
        <rFont val="Arial"/>
        <color rgb="FF1155CC"/>
        <u/>
      </rPr>
      <t>https://prnt.sc/ZK2MCAeaWW9j</t>
    </r>
    <r>
      <rPr>
        <rFont val="Arial"/>
        <color rgb="FF1F1F1F"/>
      </rPr>
      <t xml:space="preserve">  </t>
    </r>
    <r>
      <rPr>
        <rFont val="Arial"/>
        <color rgb="FF1155CC"/>
        <u/>
      </rPr>
      <t>https://prnt.sc/9EStb8HvF9pf</t>
    </r>
    <r>
      <rPr>
        <rFont val="Arial"/>
        <color rgb="FF1F1F1F"/>
      </rPr>
      <t xml:space="preserve">   </t>
    </r>
    <r>
      <rPr>
        <rFont val="Arial"/>
        <color rgb="FF1155CC"/>
        <u/>
      </rPr>
      <t>https://prnt.sc/rAMhtMw6LKUm</t>
    </r>
    <r>
      <rPr>
        <rFont val="Arial"/>
        <color rgb="FF1F1F1F"/>
      </rPr>
      <t xml:space="preserve">   </t>
    </r>
    <r>
      <rPr>
        <rFont val="Arial"/>
        <color rgb="FF1155CC"/>
        <u/>
      </rPr>
      <t>https://prnt.sc/wMtC0UHstcGH</t>
    </r>
    <r>
      <rPr>
        <rFont val="Arial"/>
      </rPr>
      <t xml:space="preserve"> </t>
    </r>
  </si>
  <si>
    <t>Account: 0021120763434 
Status: Inactive
Balance: 500
Charge: 700
Block on Failure: OFF</t>
  </si>
  <si>
    <t>Error!
Account 0021120763434 is not active.has status : INACTIVE Exception log no :22372777</t>
  </si>
  <si>
    <t>Verify Create operation with N + PSR configuration</t>
  </si>
  <si>
    <r>
      <rPr>
        <rFont val="Arial"/>
        <color rgb="FF1155CC"/>
        <u/>
      </rPr>
      <t>https://prnt.sc/yhNSCdIcfLQt</t>
    </r>
    <r>
      <rPr>
        <rFont val="Arial"/>
      </rPr>
      <t xml:space="preserve">  </t>
    </r>
    <r>
      <rPr>
        <rFont val="Arial"/>
        <color rgb="FF1155CC"/>
        <u/>
      </rPr>
      <t>https://prnt.sc/_z6hOqfKSCwB</t>
    </r>
    <r>
      <rPr>
        <rFont val="Arial"/>
      </rPr>
      <t xml:space="preserve">  </t>
    </r>
    <r>
      <rPr>
        <rFont val="Arial"/>
        <color rgb="FF1155CC"/>
        <u/>
      </rPr>
      <t>https://prnt.sc/R_I3KRpEmRnI</t>
    </r>
    <r>
      <rPr>
        <rFont val="Arial"/>
      </rPr>
      <t xml:space="preserve">  </t>
    </r>
    <r>
      <rPr>
        <rFont val="Arial"/>
        <color rgb="FF1155CC"/>
        <u/>
      </rPr>
      <t>https://prnt.sc/7vVDw7PObUv_</t>
    </r>
    <r>
      <rPr>
        <rFont val="Arial"/>
      </rPr>
      <t xml:space="preserve">  </t>
    </r>
    <r>
      <rPr>
        <rFont val="Arial"/>
        <color rgb="FF1155CC"/>
        <u/>
      </rPr>
      <t>https://prnt.sc/qux8FdPMI18u</t>
    </r>
    <r>
      <rPr>
        <rFont val="Arial"/>
      </rPr>
      <t xml:space="preserve">  </t>
    </r>
    <r>
      <rPr>
        <rFont val="Arial"/>
        <color rgb="FF1155CC"/>
        <u/>
      </rPr>
      <t>https://prnt.sc/EVj6FSYANzuu</t>
    </r>
    <r>
      <rPr>
        <rFont val="Arial"/>
      </rPr>
      <t xml:space="preserve">  </t>
    </r>
    <r>
      <rPr>
        <rFont val="Arial"/>
        <color rgb="FF1155CC"/>
        <u/>
      </rPr>
      <t>https://prnt.sc/P7TE7f5e5STc</t>
    </r>
    <r>
      <rPr>
        <rFont val="Arial"/>
      </rPr>
      <t xml:space="preserve"> </t>
    </r>
  </si>
  <si>
    <t>1. Configure N + PSR.
2. Open Create screen.
3. Enter valid PSR value.
4. Click Save/Create.</t>
  </si>
  <si>
    <t>Record should be created successfully with Special Profit Sharing Ratio.</t>
  </si>
  <si>
    <r>
      <rPr>
        <rFont val="Arial"/>
        <color rgb="FF1155CC"/>
        <u/>
      </rPr>
      <t>https://prnt.sc/xHMihT2VCJNH</t>
    </r>
    <r>
      <rPr>
        <rFont val="Arial"/>
        <color rgb="FF1F1F1F"/>
      </rPr>
      <t xml:space="preserve">  </t>
    </r>
    <r>
      <rPr>
        <rFont val="Arial"/>
        <color rgb="FF1155CC"/>
        <u/>
      </rPr>
      <t>https://prnt.sc/NDHzQ6qkqIDL</t>
    </r>
    <r>
      <rPr>
        <rFont val="Arial"/>
        <color rgb="FF1F1F1F"/>
      </rPr>
      <t xml:space="preserve">   </t>
    </r>
    <r>
      <rPr>
        <rFont val="Arial"/>
        <color rgb="FF1155CC"/>
        <u/>
      </rPr>
      <t>https://prnt.sc/Z_UWdhSaRRLp</t>
    </r>
    <r>
      <rPr>
        <rFont val="Arial"/>
      </rPr>
      <t xml:space="preserve">   </t>
    </r>
    <r>
      <rPr>
        <rFont val="Arial"/>
        <color rgb="FF1155CC"/>
        <u/>
      </rPr>
      <t>https://prnt.sc/P1WBbWcgRBre</t>
    </r>
  </si>
  <si>
    <t>TC-011</t>
  </si>
  <si>
    <r>
      <rPr>
        <rFont val="Arial"/>
        <color rgb="FF1155CC"/>
        <u/>
      </rPr>
      <t>https://prnt.sc/q8Al-yvuqcuU</t>
    </r>
    <r>
      <rPr>
        <rFont val="Arial"/>
        <color rgb="FF1F1F1F"/>
      </rPr>
      <t xml:space="preserve"> </t>
    </r>
    <r>
      <rPr>
        <rFont val="Arial"/>
        <color rgb="FF1155CC"/>
        <u/>
      </rPr>
      <t>https://prnt.sc/DNp5H3SUZfA8</t>
    </r>
    <r>
      <rPr>
        <rFont val="Arial"/>
        <color rgb="FF1F1F1F"/>
      </rPr>
      <t xml:space="preserve">  </t>
    </r>
    <r>
      <rPr>
        <rFont val="Arial"/>
        <color rgb="FF1155CC"/>
        <u/>
      </rPr>
      <t>https://prnt.sc/z81TvSQXGjyo</t>
    </r>
    <r>
      <rPr>
        <rFont val="Arial"/>
      </rPr>
      <t xml:space="preserve"> </t>
    </r>
  </si>
  <si>
    <t>Verify Debit Card Requisition when available balance is exactly equal to the applicable charge</t>
  </si>
  <si>
    <t>Account: 9904140000328 
Status: Active
Balance: 50
Charge: 0</t>
  </si>
  <si>
    <t>1. Configure charge 
2. Disable Block on Failure.
3. Use an Active CASA account with available balance 
4. Initiate and submit requisition.</t>
  </si>
  <si>
    <t>Account: Active CASA  7011060000015 
Balance: 1,440
Charge: 1440
Block on Failure: OFF</t>
  </si>
  <si>
    <t>Requisition is  allowed because no charge recovery is required.</t>
  </si>
  <si>
    <t>System should consider the balance sufficient, recover the charge, and allow the requisition.</t>
  </si>
  <si>
    <t>Success!
Card requisition submitted successfully for Account 7011510000011, Voucher No: 2508081296896</t>
  </si>
  <si>
    <t>Verify Update operation for a record when configuration is changed between supported combinations</t>
  </si>
  <si>
    <t>1. Create a record using one configuration.
2. Change configuration to another supported combination.
3. Open existing record in Edit mode.
4. Verify field visibility.
5. Update the applicable field/value.
6. Click Update/Save.</t>
  </si>
  <si>
    <t>Example: Y + RATE   → N + RATE</t>
  </si>
  <si>
    <t>Edit screen should dynamically display the fields applicable to the new configuration. Updated values should be saved correctly without corrupting existing data.</t>
  </si>
  <si>
    <r>
      <rPr>
        <rFont val="Arial"/>
        <color rgb="FF1155CC"/>
        <u/>
      </rPr>
      <t>https://prnt.sc/kSw_eie-Aw1p</t>
    </r>
    <r>
      <rPr>
        <rFont val="Arial"/>
        <color rgb="FF1F1F1F"/>
      </rPr>
      <t xml:space="preserve"> </t>
    </r>
    <r>
      <rPr>
        <rFont val="Arial"/>
        <color rgb="FF1155CC"/>
        <u/>
      </rPr>
      <t>https://prnt.sc/WgyzpW8cDEPp</t>
    </r>
    <r>
      <rPr>
        <rFont val="Arial"/>
        <color rgb="FF1F1F1F"/>
      </rPr>
      <t xml:space="preserve">   </t>
    </r>
    <r>
      <rPr>
        <rFont val="Arial"/>
        <color rgb="FF1155CC"/>
        <u/>
      </rPr>
      <t>https://prnt.sc/Uy_hWulyShyR</t>
    </r>
    <r>
      <rPr>
        <rFont val="Arial"/>
      </rPr>
      <t xml:space="preserve">   </t>
    </r>
    <r>
      <rPr>
        <rFont val="Arial"/>
        <color rgb="FF1155CC"/>
        <u/>
      </rPr>
      <t>https://prnt.sc/biBl3U0jAi4a</t>
    </r>
    <r>
      <rPr>
        <rFont val="Arial"/>
      </rPr>
      <t xml:space="preserve"> </t>
    </r>
  </si>
  <si>
    <r>
      <rPr>
        <rFont val="Arial"/>
        <color rgb="FF1155CC"/>
        <u/>
      </rPr>
      <t>https://prnt.sc/80f0-8EQrpff</t>
    </r>
    <r>
      <rPr>
        <rFont val="Arial"/>
        <color rgb="FF1F1F1F"/>
      </rPr>
      <t xml:space="preserve">  </t>
    </r>
    <r>
      <rPr>
        <rFont val="Arial"/>
        <color rgb="FF1155CC"/>
        <u/>
      </rPr>
      <t>https://prnt.sc/jp5dcL_Sz8-Z</t>
    </r>
    <r>
      <rPr>
        <rFont val="Arial"/>
        <color rgb="FF1F1F1F"/>
      </rPr>
      <t xml:space="preserve">  </t>
    </r>
    <r>
      <rPr>
        <rFont val="Arial"/>
        <color rgb="FF1155CC"/>
        <u/>
      </rPr>
      <t>https://prnt.sc/WThGOFibDV6y</t>
    </r>
    <r>
      <rPr>
        <rFont val="Arial"/>
        <color rgb="FF1F1F1F"/>
      </rPr>
      <t xml:space="preserve">   </t>
    </r>
    <r>
      <rPr>
        <rFont val="Arial"/>
        <color rgb="FF1155CC"/>
        <u/>
      </rPr>
      <t>https://prnt.sc/mibinL6E490J</t>
    </r>
    <r>
      <rPr>
        <rFont val="Arial"/>
      </rPr>
      <t xml:space="preserve">   </t>
    </r>
    <r>
      <rPr>
        <rFont val="Arial"/>
        <color rgb="FF1155CC"/>
        <u/>
      </rPr>
      <t>https://prnt.sc/1j8SWwkCBUWB</t>
    </r>
    <r>
      <rPr>
        <rFont val="Arial"/>
      </rPr>
      <t xml:space="preserve">   </t>
    </r>
    <r>
      <rPr>
        <rFont val="Arial"/>
        <color rgb="FF1155CC"/>
        <u/>
      </rPr>
      <t>https://prnt.sc/7tNvucLSnjQP</t>
    </r>
    <r>
      <rPr>
        <rFont val="Arial"/>
      </rPr>
      <t xml:space="preserve">   </t>
    </r>
    <r>
      <rPr>
        <rFont val="Arial"/>
        <color rgb="FF1155CC"/>
        <u/>
      </rPr>
      <t>https://prnt.sc/8GzDSj7nGknr</t>
    </r>
    <r>
      <rPr>
        <rFont val="Arial"/>
      </rPr>
      <t xml:space="preserve"> </t>
    </r>
  </si>
  <si>
    <r>
      <rPr>
        <rFont val="Arial"/>
        <color rgb="FF1155CC"/>
        <u/>
      </rPr>
      <t>https://prnt.sc/f-XG8fK-6J8F</t>
    </r>
    <r>
      <rPr>
        <rFont val="Arial"/>
        <color rgb="FF1F1F1F"/>
      </rPr>
      <t xml:space="preserve"> </t>
    </r>
    <r>
      <rPr>
        <rFont val="Arial"/>
        <color rgb="FF1155CC"/>
        <u/>
      </rPr>
      <t>https://prnt.sc/gpHsuTprCudG</t>
    </r>
    <r>
      <rPr>
        <rFont val="Arial"/>
        <color rgb="FF1F1F1F"/>
      </rPr>
      <t xml:space="preserve">   </t>
    </r>
    <r>
      <rPr>
        <rFont val="Arial"/>
        <color rgb="FF1155CC"/>
        <u/>
      </rPr>
      <t>https://prnt.sc/bv_xXssuqi31</t>
    </r>
    <r>
      <rPr>
        <rFont val="Arial"/>
      </rPr>
      <t xml:space="preserve">   </t>
    </r>
    <r>
      <rPr>
        <rFont val="Arial"/>
        <color rgb="FF1155CC"/>
        <u/>
      </rPr>
      <t>https://prnt.sc/1xqAn2_8Q0gb</t>
    </r>
    <r>
      <rPr>
        <rFont val="Arial"/>
      </rPr>
      <t xml:space="preserve">  </t>
    </r>
    <r>
      <rPr>
        <rFont val="Arial"/>
        <color rgb="FF1155CC"/>
        <u/>
      </rPr>
      <t>https://prnt.sc/tlV55vrkxzLt</t>
    </r>
    <r>
      <rPr>
        <rFont val="Arial"/>
      </rPr>
      <t xml:space="preserve">  </t>
    </r>
    <r>
      <rPr>
        <rFont val="Arial"/>
        <color rgb="FF1155CC"/>
        <u/>
      </rPr>
      <t>https://prnt.sc/o7cJLyoaXhC_</t>
    </r>
    <r>
      <rPr>
        <rFont val="Arial"/>
      </rPr>
      <t xml:space="preserve"> </t>
    </r>
  </si>
  <si>
    <t>TC-012</t>
  </si>
  <si>
    <t>Verify that Debit Card Requisition follows the existing Cheque Requisition charge handling logic</t>
  </si>
  <si>
    <t>1. Configure the same applicable charge amount for Cheque and Debit Card Requisition.
2. Set Block on Failure to OFF for both modules.
3. Use equivalent Active CASA account conditions with sufficient available balance.
4. Perform Cheque Requisition and note the requisition result and charge recovery behavior.
5. Perform Debit Card Requisition using the same charge and equivalent account conditions.
6. Compare the requisition result and charge handling behavior of both modules.</t>
  </si>
  <si>
    <t>Account Condition: Active CASA  7011010000032
Available Balance:2000
Charge: 100
Block on Failure: OFF</t>
  </si>
  <si>
    <t>1. Configure charge = 100.
2. Disable Block on Failure.
3. Use an Active CASA account with available balance = 100.
4. Initiate and submit requisition.</t>
  </si>
  <si>
    <t>Account: Active CASA  9901210000808
Balance: 191
Charge: 191
Block on Failure: OFF</t>
  </si>
  <si>
    <t>Debit Card Requisition should follow the same charge handling behavior as Cheque Requisition. The requisition result and applicable charge recovery behavior should be consistent between both modules.</t>
  </si>
  <si>
    <t xml:space="preserve">Success!
Card requisition submitted successfully </t>
  </si>
  <si>
    <t>Verify Update operation when changing the value of the applicable field</t>
  </si>
  <si>
    <t>1. Create a valid Special Profit Rate record.
2. Open the record in Edit mode.
3. Change the displayed Weightage/Rate/PSR value.
4. Click Update.</t>
  </si>
  <si>
    <t>Valid updated value</t>
  </si>
  <si>
    <t>Updated value should be saved successfully and reflected correctly in the list/details view</t>
  </si>
  <si>
    <r>
      <rPr>
        <rFont val="Arial"/>
        <color rgb="FF1155CC"/>
        <u/>
      </rPr>
      <t>https://prnt.sc/bQ3pm4c63jlP</t>
    </r>
    <r>
      <rPr>
        <rFont val="Arial"/>
      </rPr>
      <t xml:space="preserve">  </t>
    </r>
    <r>
      <rPr>
        <rFont val="Arial"/>
        <color rgb="FF1155CC"/>
        <u/>
      </rPr>
      <t>https://prnt.sc/gOFsQSC1-AVD</t>
    </r>
    <r>
      <rPr>
        <rFont val="Arial"/>
      </rPr>
      <t xml:space="preserve">  </t>
    </r>
    <r>
      <rPr>
        <rFont val="Arial"/>
        <color rgb="FF1155CC"/>
        <u/>
      </rPr>
      <t>https://prnt.sc/hftrWgDAC2Xo</t>
    </r>
    <r>
      <rPr>
        <rFont val="Arial"/>
      </rPr>
      <t xml:space="preserve">   </t>
    </r>
    <r>
      <rPr>
        <rFont val="Arial"/>
        <color rgb="FF1155CC"/>
        <u/>
      </rPr>
      <t>https://prnt.sc/f1WATEJ1PzQ1</t>
    </r>
    <r>
      <rPr>
        <rFont val="Arial"/>
      </rPr>
      <t xml:space="preserve">  </t>
    </r>
    <r>
      <rPr>
        <rFont val="Arial"/>
        <color rgb="FF1155CC"/>
        <u/>
      </rPr>
      <t>https://prnt.sc/addwKOdZ_M_u</t>
    </r>
    <r>
      <rPr>
        <rFont val="Arial"/>
      </rPr>
      <t xml:space="preserve">  </t>
    </r>
    <r>
      <rPr>
        <rFont val="Arial"/>
        <color rgb="FF1155CC"/>
        <u/>
      </rPr>
      <t>https://prnt.sc/qZGuKi7M8xAF</t>
    </r>
    <r>
      <rPr>
        <rFont val="Arial"/>
      </rPr>
      <t xml:space="preserve"> </t>
    </r>
    <r>
      <rPr>
        <rFont val="Arial"/>
        <color rgb="FF1155CC"/>
        <u/>
      </rPr>
      <t>https://prnt.sc/3zGK1vD_RvWJ</t>
    </r>
    <r>
      <rPr>
        <rFont val="Arial"/>
      </rPr>
      <t xml:space="preserve"> </t>
    </r>
  </si>
  <si>
    <r>
      <rPr>
        <rFont val="Arial"/>
        <color rgb="FF1155CC"/>
        <u/>
      </rPr>
      <t>https://prnt.sc/CgMCFU8zSGIU</t>
    </r>
    <r>
      <rPr>
        <rFont val="Arial"/>
      </rPr>
      <t xml:space="preserve">    </t>
    </r>
    <r>
      <rPr>
        <rFont val="Arial"/>
        <color rgb="FF1155CC"/>
        <u/>
      </rPr>
      <t>https://prnt.sc/5wm1ixU1Y4zK</t>
    </r>
    <r>
      <rPr>
        <rFont val="Arial"/>
        <color rgb="FF1F1F1F"/>
      </rPr>
      <t xml:space="preserve"> </t>
    </r>
    <r>
      <rPr>
        <rFont val="Arial"/>
        <color rgb="FF1155CC"/>
        <u/>
      </rPr>
      <t>https://prnt.sc/MSbDVPGJJLCA</t>
    </r>
    <r>
      <rPr>
        <rFont val="Arial"/>
        <color rgb="FF1F1F1F"/>
      </rPr>
      <t xml:space="preserve">   </t>
    </r>
    <r>
      <rPr>
        <rFont val="Arial"/>
        <color rgb="FF1155CC"/>
        <u/>
      </rPr>
      <t>https://prnt.sc/42poKFD_8XFe</t>
    </r>
    <r>
      <rPr>
        <rFont val="Arial"/>
      </rPr>
      <t xml:space="preserve">   </t>
    </r>
    <r>
      <rPr>
        <rFont val="Arial"/>
        <color rgb="FF1155CC"/>
        <u/>
      </rPr>
      <t>https://prnt.sc/osWaWOuFIQkF</t>
    </r>
    <r>
      <rPr>
        <rFont val="Arial"/>
      </rPr>
      <t xml:space="preserve">  </t>
    </r>
    <r>
      <rPr>
        <rFont val="Arial"/>
        <color rgb="FF1155CC"/>
        <u/>
      </rPr>
      <t>https://prnt.sc/QlT7UEfzmAsu</t>
    </r>
    <r>
      <rPr>
        <rFont val="Arial"/>
      </rPr>
      <t xml:space="preserve"> </t>
    </r>
    <r>
      <rPr>
        <rFont val="Arial"/>
        <color rgb="FF1155CC"/>
        <u/>
      </rPr>
      <t>https://prnt.sc/JGp743Ib5VdN</t>
    </r>
    <r>
      <rPr>
        <rFont val="Arial"/>
      </rPr>
      <t xml:space="preserve">  </t>
    </r>
    <r>
      <rPr>
        <rFont val="Arial"/>
        <color rgb="FF1155CC"/>
        <u/>
      </rPr>
      <t>https://prnt.sc/ic6MSIzxh0_Y</t>
    </r>
    <r>
      <rPr>
        <rFont val="Arial"/>
      </rPr>
      <t xml:space="preserve"> </t>
    </r>
  </si>
  <si>
    <t>TC-013</t>
  </si>
  <si>
    <t>Verify existing Debit Card Requisition behavior remains unchanged for Active CASA accounts</t>
  </si>
  <si>
    <t>1. Use standard Active CASA account.
2. Perform Debit Card Requisition using existing valid configuration.
3. Verify requisition and charge processing.</t>
  </si>
  <si>
    <t>Account: 7011010000032
Status: Active
Balance: 2000</t>
  </si>
  <si>
    <t>Existing Debit Card Requisition behavior should remain unchanged.</t>
  </si>
  <si>
    <t>Existing Debit Card Requisition behavior remains unchanged</t>
  </si>
  <si>
    <t>Account Condition: Active CASA
Available Balance: 4440
Charge: 500
Block on Failure: OFF</t>
  </si>
  <si>
    <t>TC-014</t>
  </si>
  <si>
    <t>Success!
Card requisition submitted successfully for Account 9901200000024, Voucher No: 26042863239820</t>
  </si>
  <si>
    <t>Verify that setting ALLOW_INACTIVE_ACCOUNT_FOR_CARD_REQUISITION to NO restores inactive-account restriction, if this parameter is intended to control the behavior</t>
  </si>
  <si>
    <t>1. Configure equivalent charge and Block on Failure settings in Cheque Requisition and Debit Card Requisition.
2. Execute equivalent scenarios in both modules.
3. Compare the charge handling and requisition results.</t>
  </si>
  <si>
    <t>Parameter: NO
Account: 7012020000012 
Status: Inactive                        Block on failure enable</t>
  </si>
  <si>
    <t>If this parameter is intended to control inactive-account eligibility, the system should restrict Debit Card Requisition for the Inactive account.</t>
  </si>
  <si>
    <t>Error!
Invalid account.Invalid Account Status for Card Requisition!</t>
  </si>
  <si>
    <r>
      <rPr>
        <rFont val="Arial"/>
        <color rgb="FF1155CC"/>
        <u/>
      </rPr>
      <t>https://prnt.sc/zSlmM2bf0x98</t>
    </r>
    <r>
      <rPr>
        <rFont val="Arial"/>
        <color rgb="FF1F1F1F"/>
      </rPr>
      <t xml:space="preserve">  </t>
    </r>
    <r>
      <rPr>
        <rFont val="Arial"/>
        <color rgb="FF1155CC"/>
        <u/>
      </rPr>
      <t>https://prnt.sc/CIJZqNzZtDDh</t>
    </r>
    <r>
      <rPr>
        <rFont val="Arial"/>
        <color rgb="FF1F1F1F"/>
      </rPr>
      <t xml:space="preserve">   </t>
    </r>
    <r>
      <rPr>
        <rFont val="Arial"/>
        <color rgb="FF1155CC"/>
        <u/>
      </rPr>
      <t>https://prnt.sc/dstqaNdVeqXq</t>
    </r>
    <r>
      <rPr>
        <rFont val="Arial"/>
      </rPr>
      <t xml:space="preserve">  </t>
    </r>
    <r>
      <rPr>
        <rFont val="Arial"/>
        <color rgb="FF1155CC"/>
        <u/>
      </rPr>
      <t>https://prnt.sc/r3ZAUKncJ-Yv</t>
    </r>
    <r>
      <rPr>
        <rFont val="Arial"/>
      </rPr>
      <t xml:space="preserve">  </t>
    </r>
    <r>
      <rPr>
        <rFont val="Arial"/>
        <color rgb="FF1155CC"/>
        <u/>
      </rPr>
      <t>https://prnt.sc/KTsEqy-gS2b5</t>
    </r>
    <r>
      <rPr>
        <rFont val="Arial"/>
      </rPr>
      <t xml:space="preserve">  </t>
    </r>
    <r>
      <rPr>
        <rFont val="Arial"/>
        <color rgb="FF1155CC"/>
        <u/>
      </rPr>
      <t>https://prnt.sc/M7WhUZBH8XnX</t>
    </r>
    <r>
      <rPr>
        <rFont val="Arial"/>
      </rPr>
      <t xml:space="preserve">   </t>
    </r>
    <r>
      <rPr>
        <rFont val="Arial"/>
        <color rgb="FF1155CC"/>
        <u/>
      </rPr>
      <t>https://prnt.sc/YVHeNmV4ItFY</t>
    </r>
    <r>
      <rPr>
        <rFont val="Arial"/>
      </rPr>
      <t xml:space="preserve"> </t>
    </r>
    <r>
      <rPr>
        <rFont val="Arial"/>
        <color rgb="FF1155CC"/>
        <u/>
      </rPr>
      <t>https://prnt.sc/5WB7eGoQ7Uls</t>
    </r>
    <r>
      <rPr>
        <rFont val="Arial"/>
      </rPr>
      <t xml:space="preserve">    </t>
    </r>
    <r>
      <rPr>
        <rFont val="Arial"/>
        <color rgb="FF1155CC"/>
        <u/>
      </rPr>
      <t>https://prnt.sc/wJrrr7EHGFaW</t>
    </r>
    <r>
      <rPr>
        <rFont val="Arial"/>
      </rPr>
      <t xml:space="preserve">   </t>
    </r>
    <r>
      <rPr>
        <rFont val="Arial"/>
        <color rgb="FF1155CC"/>
        <u/>
      </rPr>
      <t>https://prnt.sc/cZmCnXC_oAIJ</t>
    </r>
    <r>
      <rPr>
        <rFont val="Arial"/>
      </rPr>
      <t xml:space="preserve"> </t>
    </r>
    <r>
      <rPr>
        <rFont val="Arial"/>
        <color rgb="FF1155CC"/>
        <u/>
      </rPr>
      <t>https://prnt.sc/WttXKzPYmeFc</t>
    </r>
    <r>
      <rPr>
        <rFont val="Arial"/>
      </rPr>
      <t xml:space="preserve">   </t>
    </r>
    <r>
      <rPr>
        <rFont val="Arial"/>
        <color rgb="FF1155CC"/>
        <u/>
      </rPr>
      <t>https://prnt.sc/3Vf-rU7-ig68</t>
    </r>
    <r>
      <rPr>
        <rFont val="Arial"/>
      </rPr>
      <t xml:space="preserve">                  N ---)  </t>
    </r>
    <r>
      <rPr>
        <rFont val="Arial"/>
        <color rgb="FF1155CC"/>
        <u/>
      </rPr>
      <t>https://prnt.sc/9UVYrccUhazU</t>
    </r>
    <r>
      <rPr>
        <rFont val="Arial"/>
      </rPr>
      <t xml:space="preserve">  </t>
    </r>
    <r>
      <rPr>
        <rFont val="Arial"/>
        <color rgb="FF1155CC"/>
        <u/>
      </rPr>
      <t>https://prnt.sc/x1QCikdCXNVk</t>
    </r>
    <r>
      <rPr>
        <rFont val="Arial"/>
      </rPr>
      <t xml:space="preserve">  </t>
    </r>
    <r>
      <rPr>
        <rFont val="Arial"/>
        <color rgb="FF1155CC"/>
        <u/>
      </rPr>
      <t>https://prnt.sc/qrXJEvrbHe-k</t>
    </r>
    <r>
      <rPr>
        <rFont val="Arial"/>
      </rPr>
      <t xml:space="preserve">  </t>
    </r>
    <r>
      <rPr>
        <rFont val="Arial"/>
        <color rgb="FF1155CC"/>
        <u/>
      </rPr>
      <t>https://prnt.sc/LF0RbmKSU0Ke</t>
    </r>
    <r>
      <rPr>
        <rFont val="Arial"/>
      </rPr>
      <t xml:space="preserve">   </t>
    </r>
    <r>
      <rPr>
        <rFont val="Arial"/>
        <color rgb="FF1155CC"/>
        <u/>
      </rPr>
      <t>https://prnt.sc/BMto2Oim7ifH</t>
    </r>
    <r>
      <rPr>
        <rFont val="Arial"/>
      </rPr>
      <t xml:space="preserve">   </t>
    </r>
    <r>
      <rPr>
        <rFont val="Arial"/>
        <color rgb="FF1155CC"/>
        <u/>
      </rPr>
      <t>https://prnt.sc/l-gmc_Y1TZ1y</t>
    </r>
    <r>
      <rPr>
        <rFont val="Arial"/>
      </rPr>
      <t xml:space="preserve">  </t>
    </r>
    <r>
      <rPr>
        <rFont val="Arial"/>
        <color rgb="FF1155CC"/>
        <u/>
      </rPr>
      <t>https://prnt.sc/YFrKrkcAVzoR</t>
    </r>
    <r>
      <rPr>
        <rFont val="Arial"/>
      </rPr>
      <t xml:space="preserve">  </t>
    </r>
    <r>
      <rPr>
        <rFont val="Arial"/>
        <color rgb="FF1155CC"/>
        <u/>
      </rPr>
      <t>https://prnt.sc/JYLNggue7K8l</t>
    </r>
    <r>
      <rPr>
        <rFont val="Arial"/>
      </rPr>
      <t xml:space="preserve">    </t>
    </r>
    <r>
      <rPr>
        <rFont val="Arial"/>
        <color rgb="FF1155CC"/>
        <u/>
      </rPr>
      <t>https://prnt.sc/i-eUtAWWxaLd</t>
    </r>
    <r>
      <rPr>
        <rFont val="Arial"/>
      </rPr>
      <t xml:space="preserve"> </t>
    </r>
  </si>
  <si>
    <r>
      <rPr>
        <rFont val="Arial"/>
        <color rgb="FF1155CC"/>
        <u/>
      </rPr>
      <t>https://prnt.sc/LI_C5r-NvrJ4</t>
    </r>
    <r>
      <rPr>
        <rFont val="Arial"/>
        <color rgb="FF1F1F1F"/>
      </rPr>
      <t xml:space="preserve">  </t>
    </r>
    <r>
      <rPr>
        <rFont val="Arial"/>
        <color rgb="FF1155CC"/>
        <u/>
      </rPr>
      <t>https://prnt.sc/p_sPbhmHlA4k</t>
    </r>
    <r>
      <rPr>
        <rFont val="Arial"/>
        <color rgb="FF1F1F1F"/>
      </rPr>
      <t xml:space="preserve">   </t>
    </r>
    <r>
      <rPr>
        <rFont val="Arial"/>
        <color rgb="FF1155CC"/>
        <u/>
      </rPr>
      <t>https://prnt.sc/jRzDjl74ekjl</t>
    </r>
    <r>
      <rPr>
        <rFont val="Arial"/>
        <color rgb="FF1F1F1F"/>
      </rPr>
      <t xml:space="preserve">   </t>
    </r>
    <r>
      <rPr>
        <rFont val="Arial"/>
        <color rgb="FF1155CC"/>
        <u/>
      </rPr>
      <t>https://prnt.sc/UUZauTbLph2y</t>
    </r>
    <r>
      <rPr>
        <rFont val="Arial"/>
        <color rgb="FF1F1F1F"/>
      </rPr>
      <t xml:space="preserve"> </t>
    </r>
  </si>
  <si>
    <r>
      <rPr>
        <rFont val="Arial"/>
        <color rgb="FF1155CC"/>
        <u/>
      </rPr>
      <t>https://prnt.sc/lRJGMq2E0lkH</t>
    </r>
    <r>
      <rPr>
        <rFont val="Arial"/>
      </rPr>
      <t xml:space="preserve"> </t>
    </r>
    <r>
      <rPr>
        <rFont val="Arial"/>
        <color rgb="FF1155CC"/>
        <u/>
      </rPr>
      <t>https://prnt.sc/avwqAkYm800M</t>
    </r>
    <r>
      <rPr>
        <rFont val="Arial"/>
      </rPr>
      <t xml:space="preserve">  </t>
    </r>
    <r>
      <rPr>
        <rFont val="Arial"/>
        <color rgb="FF1155CC"/>
        <u/>
      </rPr>
      <t>https://prnt.sc/Dexs-Iyif5Z4</t>
    </r>
    <r>
      <rPr>
        <rFont val="Arial"/>
      </rPr>
      <t xml:space="preserve"> </t>
    </r>
  </si>
  <si>
    <t>Account: A1
Status: Active
Balance: 500</t>
  </si>
  <si>
    <t>TC-015</t>
  </si>
  <si>
    <t>Parameter: NO
Account: 7012010000014
Status: Inactive                                                                      Block on failure disable</t>
  </si>
  <si>
    <t>Verify hidden fields are not mandatory during Create/Update</t>
  </si>
  <si>
    <t>1. Configure each combination.
2. Open Create/Edit screen.
3. Leave hidden/non-applicable fields empty.
4. Save the record.</t>
  </si>
  <si>
    <t>Hidden/non-applicable fields should not trigger mandatory-field validation. Only applicable fields should be validated.</t>
  </si>
  <si>
    <t xml:space="preserve">hidden field mandatory show when try to save do not apply profit already has check marked </t>
  </si>
  <si>
    <r>
      <rPr>
        <rFont val="Arial"/>
        <color rgb="FF1155CC"/>
        <u/>
      </rPr>
      <t>https://prnt.sc/9n4qpqIB0Anf</t>
    </r>
    <r>
      <rPr>
        <rFont val="Arial"/>
        <color rgb="FF1F1F1F"/>
      </rPr>
      <t xml:space="preserve">  </t>
    </r>
    <r>
      <rPr>
        <rFont val="Arial"/>
        <color rgb="FF1155CC"/>
        <u/>
      </rPr>
      <t>https://prnt.sc/W4jzQ_rRuCKC</t>
    </r>
    <r>
      <rPr>
        <rFont val="Arial"/>
        <color rgb="FF1F1F1F"/>
      </rPr>
      <t xml:space="preserve">   </t>
    </r>
    <r>
      <rPr>
        <rFont val="Arial"/>
        <color rgb="FF1155CC"/>
        <u/>
      </rPr>
      <t>https://prnt.sc/Tnf1koebf7i2</t>
    </r>
    <r>
      <rPr>
        <rFont val="Arial"/>
        <color rgb="FF1F1F1F"/>
      </rPr>
      <t xml:space="preserve">  </t>
    </r>
    <r>
      <rPr>
        <rFont val="Arial"/>
        <color rgb="FF1155CC"/>
        <u/>
      </rPr>
      <t>https://prnt.sc/C9tLxqG_V_Yp</t>
    </r>
    <r>
      <rPr>
        <rFont val="Arial"/>
        <color rgb="FF1F1F1F"/>
      </rPr>
      <t xml:space="preserve">   </t>
    </r>
    <r>
      <rPr>
        <rFont val="Arial"/>
        <color rgb="FF1155CC"/>
        <u/>
      </rPr>
      <t>https://prnt.sc/AuFadL8H59zM</t>
    </r>
    <r>
      <rPr>
        <rFont val="Arial"/>
        <color rgb="FF1F1F1F"/>
      </rPr>
      <t xml:space="preserve">   </t>
    </r>
    <r>
      <rPr>
        <rFont val="Arial"/>
        <color rgb="FF1155CC"/>
        <u/>
      </rPr>
      <t>https://prnt.sc/57zm7FK3ZtDb</t>
    </r>
    <r>
      <rPr>
        <rFont val="Arial"/>
        <color rgb="FF1F1F1F"/>
      </rPr>
      <t xml:space="preserve"> </t>
    </r>
  </si>
  <si>
    <r>
      <rPr>
        <rFont val="Arial"/>
        <color rgb="FF1155CC"/>
        <u/>
      </rPr>
      <t>https://prnt.sc/lRJGMq2E0lkH</t>
    </r>
    <r>
      <rPr>
        <rFont val="Arial"/>
        <color rgb="FF1F1F1F"/>
      </rPr>
      <t xml:space="preserve">  </t>
    </r>
    <r>
      <rPr>
        <rFont val="Arial"/>
        <color rgb="FF1155CC"/>
        <u/>
      </rPr>
      <t>https://prnt.sc/be7jcbWApDDH</t>
    </r>
    <r>
      <rPr>
        <rFont val="Arial"/>
        <color rgb="FF1F1F1F"/>
      </rPr>
      <t xml:space="preserve">  </t>
    </r>
    <r>
      <rPr>
        <rFont val="Arial"/>
        <color rgb="FF1155CC"/>
        <u/>
      </rPr>
      <t>https://prnt.sc/FXHp4RSqqh5U</t>
    </r>
    <r>
      <rPr>
        <rFont val="Arial"/>
        <color rgb="FF1F1F1F"/>
      </rPr>
      <t xml:space="preserve">   </t>
    </r>
    <r>
      <rPr>
        <rFont val="Arial"/>
        <color rgb="FF1155CC"/>
        <u/>
      </rPr>
      <t>https://prnt.sc/CqMFhylyl5BH</t>
    </r>
    <r>
      <rPr>
        <rFont val="Arial"/>
      </rPr>
      <t xml:space="preserve"> </t>
    </r>
  </si>
  <si>
    <r>
      <rPr>
        <rFont val="Arial"/>
        <color rgb="FF1155CC"/>
        <u/>
      </rPr>
      <t xml:space="preserve"> https://prnt.sc/UFNyX15cxH0q </t>
    </r>
    <r>
      <rPr>
        <rFont val="Arial"/>
        <color rgb="FF1F1F1F"/>
      </rPr>
      <t xml:space="preserve">  </t>
    </r>
    <r>
      <rPr>
        <rFont val="Arial"/>
        <color rgb="FF1155CC"/>
        <u/>
      </rPr>
      <t>https://prnt.sc/VOx_uCtFLDUw</t>
    </r>
    <r>
      <rPr>
        <rFont val="Arial"/>
      </rPr>
      <t xml:space="preserve">   </t>
    </r>
    <r>
      <rPr>
        <rFont val="Arial"/>
        <color rgb="FF1155CC"/>
        <u/>
      </rPr>
      <t>https://prnt.sc/yu_8hEtlA0Bi</t>
    </r>
    <r>
      <rPr>
        <rFont val="Arial"/>
      </rPr>
      <t xml:space="preserve">  </t>
    </r>
    <r>
      <rPr>
        <rFont val="Arial"/>
        <color rgb="FF1155CC"/>
        <u/>
      </rPr>
      <t>https://prnt.sc/J10dcBV0qV1s</t>
    </r>
    <r>
      <rPr>
        <rFont val="Arial"/>
      </rPr>
      <t xml:space="preserve"> </t>
    </r>
  </si>
  <si>
    <t>TC-016</t>
  </si>
  <si>
    <t>Parameter: NO
Active Account:7011010000032  
Status: Active   Block on failure enable</t>
  </si>
  <si>
    <t>Debit Card Requisition should be allowed successfully</t>
  </si>
  <si>
    <t>Parameter: NO
Account: 9904020001239 
Status: Inactive</t>
  </si>
  <si>
    <t>Debit Card Requisition is allowed successfully</t>
  </si>
  <si>
    <t>Verify configuration change dynamically affects Special Profit Rate UI</t>
  </si>
  <si>
    <t>1. Open Special Profit Rate UI with one configuration.
2. Change IS_SHOW_WEIGHTAGE_WITH_PSR and/or IS_PSR_WEIGHTAGE_RATE.
3. Refresh/reopen the UI.
4. Verify fields.</t>
  </si>
  <si>
    <t>UI should reflect the latest configuration and display only the fields applicable to the current configuration.</t>
  </si>
  <si>
    <t>Verify that applicable fields remain disabled when Do not apply profit is checked, regardless of whether the fields contain values or are blank</t>
  </si>
  <si>
    <t>1. Navigate to Special Profit Rate UI.
2. Check the Do not apply profit checkbox.
3. Verify the applicable fields (e.g., Special Profit Rate, Weightage/PSR) when they are blank.
4. Enter values in the applicable fields before checking Do not apply profit.
5. Check the Do not apply profit checkbox again and verify the fields.</t>
  </si>
  <si>
    <t>Do not apply profit = Checked
Field values = Blank / With Value</t>
  </si>
  <si>
    <t>When Do not apply profit is checked, the applicable Special Profit Rate/Weightage/PSR fields should remain disabled, irrespective of whether the fields contain values or are blank.</t>
  </si>
  <si>
    <r>
      <rPr>
        <rFont val="Arial"/>
        <color rgb="FF1155CC"/>
        <u/>
      </rPr>
      <t>https://prnt.sc/KXcAyzOE8F4p</t>
    </r>
    <r>
      <rPr>
        <rFont val="Arial"/>
        <color rgb="FF1F1F1F"/>
      </rPr>
      <t xml:space="preserve">  </t>
    </r>
    <r>
      <rPr>
        <rFont val="Arial"/>
        <color rgb="FF1155CC"/>
        <u/>
      </rPr>
      <t>https://prnt.sc/4BBOLPiDTuY3</t>
    </r>
    <r>
      <rPr>
        <rFont val="Arial"/>
        <color rgb="FF1F1F1F"/>
      </rPr>
      <t xml:space="preserve">  </t>
    </r>
    <r>
      <rPr>
        <rFont val="Arial"/>
        <color rgb="FF1155CC"/>
        <u/>
      </rPr>
      <t>https://prnt.sc/hKu-ioPSw2AU</t>
    </r>
    <r>
      <rPr>
        <rFont val="Arial"/>
      </rPr>
      <t xml:space="preserve"> </t>
    </r>
  </si>
  <si>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</si>
  <si>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t>Parameter: NO
Account: 9904020001239 
Status: Inactive                                                                      Block on failure enable</t>
  </si>
  <si>
    <t>TC-017</t>
  </si>
  <si>
    <t>Verify the Debit Card charge amount in Account Enquiry after successful requisition when Block on Failure is enabled</t>
  </si>
  <si>
    <t>1. Enable Block on Failure.
2. Configure Debit Card charge amount.
3. Perform Debit Card Requisition for the test account.
4. Open Account Enquiry for the same account.
5. Verify the charge transaction/amount.</t>
  </si>
  <si>
    <t>Account: Applicable CASA
Block on Failure: ON
Debit Card Charge</t>
  </si>
  <si>
    <t>The Debit Card charge amount shown in Account Enquiry should be exactly equal to the configured/applicable charge amount, with no incorrect or duplicate amount.</t>
  </si>
  <si>
    <t>as expectd</t>
  </si>
  <si>
    <r>
      <rPr>
        <rFont val="Arial"/>
        <color rgb="FF1155CC"/>
        <u/>
      </rPr>
      <t>https://prnt.sc/T7z0suRKVbds</t>
    </r>
    <r>
      <rPr>
        <rFont val="Arial"/>
        <color rgb="FF1F1F1F"/>
      </rPr>
      <t xml:space="preserve"> </t>
    </r>
    <r>
      <rPr>
        <rFont val="Arial"/>
        <color rgb="FF1155CC"/>
        <u/>
      </rPr>
      <t>https://prnt.sc/uLWZDB6Pbilk</t>
    </r>
    <r>
      <rPr>
        <rFont val="Arial"/>
      </rPr>
      <t xml:space="preserve">  
</t>
    </r>
    <r>
      <rPr>
        <rFont val="Arial"/>
        <color rgb="FF1155CC"/>
        <u/>
      </rPr>
      <t>https://prnt.sc/KN3Y1j1CTH4l</t>
    </r>
    <r>
      <rPr>
        <rFont val="Arial"/>
      </rPr>
      <t xml:space="preserve">   </t>
    </r>
    <r>
      <rPr>
        <rFont val="Arial"/>
        <color rgb="FF1155CC"/>
        <u/>
      </rPr>
      <t>https://prnt.sc/2-RGYivU64Yg</t>
    </r>
    <r>
      <rPr>
        <rFont val="Arial"/>
      </rPr>
      <t xml:space="preserve">  </t>
    </r>
    <r>
      <rPr>
        <rFont val="Arial"/>
        <color rgb="FF1155CC"/>
        <u/>
      </rPr>
      <t>https://prnt.sc/48e8ttdTsFFu</t>
    </r>
    <r>
      <rPr>
        <rFont val="Arial"/>
      </rPr>
      <t xml:space="preserve">  </t>
    </r>
    <r>
      <rPr>
        <rFont val="Arial"/>
        <color rgb="FF1155CC"/>
        <u/>
      </rPr>
      <t>https://prnt.sc/ComD5DMpmVWo</t>
    </r>
    <r>
      <rPr>
        <rFont val="Arial"/>
      </rPr>
      <t xml:space="preserve">  </t>
    </r>
    <r>
      <rPr>
        <rFont val="Arial"/>
        <color rgb="FF1155CC"/>
        <u/>
      </rPr>
      <t>https://prnt.sc/RiJhUpzM3kAb</t>
    </r>
    <r>
      <rPr>
        <rFont val="Arial"/>
      </rPr>
      <t xml:space="preserve">  </t>
    </r>
    <r>
      <rPr>
        <rFont val="Arial"/>
        <color rgb="FF1155CC"/>
        <u/>
      </rPr>
      <t>https://prnt.sc/eYRDl2YfQIcB</t>
    </r>
    <r>
      <rPr>
        <rFont val="Arial"/>
      </rPr>
      <t xml:space="preserve">   </t>
    </r>
    <r>
      <rPr>
        <rFont val="Arial"/>
        <color rgb="FF1155CC"/>
        <u/>
      </rPr>
      <t>https://prnt.sc/xokEVKPZwkEg</t>
    </r>
    <r>
      <rPr>
        <rFont val="Arial"/>
      </rPr>
      <t xml:space="preserve">   </t>
    </r>
    <r>
      <rPr>
        <rFont val="Arial"/>
        <color rgb="FF1155CC"/>
        <u/>
      </rPr>
      <t>https://prnt.sc/bLfvJvZpzmVL</t>
    </r>
    <r>
      <rPr>
        <rFont val="Arial"/>
      </rPr>
      <t xml:space="preserve"> </t>
    </r>
  </si>
  <si>
    <r>
      <rPr>
        <rFont val="Arial"/>
        <color rgb="FF1155CC"/>
        <u/>
      </rPr>
      <t>https://prnt.sc/vofDaeYFtlg4</t>
    </r>
    <r>
      <rPr>
        <rFont val="Arial"/>
        <color rgb="FF1F1F1F"/>
      </rPr>
      <t xml:space="preserve">  </t>
    </r>
    <r>
      <rPr>
        <rFont val="Arial"/>
        <color rgb="FF1155CC"/>
        <u/>
      </rPr>
      <t>https://prnt.sc/GeekGmFA6Yfu</t>
    </r>
    <r>
      <rPr>
        <rFont val="Arial"/>
        <color rgb="FF1F1F1F"/>
      </rPr>
      <t xml:space="preserve">   </t>
    </r>
    <r>
      <rPr>
        <rFont val="Arial"/>
        <color rgb="FF1155CC"/>
        <u/>
      </rPr>
      <t>https://prnt.sc/w3fEwV-wX2Ox</t>
    </r>
    <r>
      <rPr>
        <rFont val="Arial"/>
      </rPr>
      <t xml:space="preserve">   </t>
    </r>
    <r>
      <rPr>
        <rFont val="Arial"/>
        <color rgb="FF1155CC"/>
        <u/>
      </rPr>
      <t>https://prnt.sc/YtMNywjMJexd</t>
    </r>
    <r>
      <rPr>
        <rFont val="Arial"/>
      </rPr>
      <t xml:space="preserve">  </t>
    </r>
    <r>
      <rPr>
        <rFont val="Arial"/>
        <color rgb="FF1155CC"/>
        <u/>
      </rPr>
      <t>https://prnt.sc/CapqfYnnOsIs</t>
    </r>
    <r>
      <rPr>
        <rFont val="Arial"/>
      </rPr>
      <t xml:space="preserve">  </t>
    </r>
  </si>
  <si>
    <r>
      <rPr>
        <rFont val="Arial"/>
        <color rgb="FF1155CC"/>
        <u/>
      </rPr>
      <t>https://prnt.sc/-IDIJCWnqp8T</t>
    </r>
    <r>
      <rPr>
        <rFont val="Arial"/>
      </rPr>
      <t xml:space="preserve">  </t>
    </r>
    <r>
      <rPr>
        <rFont val="Arial"/>
        <color rgb="FF1155CC"/>
        <u/>
      </rPr>
      <t>https://prnt.sc/vnnp41P5JY37</t>
    </r>
    <r>
      <rPr>
        <rFont val="Arial"/>
      </rPr>
      <t xml:space="preserve">  </t>
    </r>
    <r>
      <rPr>
        <rFont val="Arial"/>
        <color rgb="FF1155CC"/>
        <u/>
      </rPr>
      <t>https://prnt.sc/W1wjCnFcmX09</t>
    </r>
    <r>
      <rPr>
        <rFont val="Arial"/>
      </rPr>
      <t xml:space="preserve">   </t>
    </r>
    <r>
      <rPr>
        <rFont val="Arial"/>
        <color rgb="FF1155CC"/>
        <u/>
      </rPr>
      <t>https://prnt.sc/FSg1_xbG0ji3</t>
    </r>
    <r>
      <rPr>
        <rFont val="Arial"/>
      </rPr>
      <t xml:space="preserve"> </t>
    </r>
  </si>
  <si>
    <t>Verify that the fields become enabled again after unchecking Do not apply profit</t>
  </si>
  <si>
    <t>Parameter: NO
Account: A3
Status: Active   Block on failure enable</t>
  </si>
  <si>
    <t>1. Check Do not apply profit.
2. Verify applicable fields are disabled.
3. Uncheck Do not apply profit.
4. Verify the applicable fields.</t>
  </si>
  <si>
    <t>Do not apply profit = Unchecked</t>
  </si>
  <si>
    <t>Applicable fields should become enabled again based on the configured IS_SHOW_WEIGHTAGE_WITH_PSR and IS_PSR_WEIGHTAGE_RATE values.</t>
  </si>
  <si>
    <t>TC-018</t>
  </si>
  <si>
    <t>Verify Debit Card requisition details are displayed correctly in Account Profile Details after successful requisition</t>
  </si>
  <si>
    <t>1. Complete Debit Card Requisition successfully.
2. Open the same account in Account Details/Profile view.
3. Navigate to the relevant Debit Card/Requisition information section.
4. Verify the displayed details.</t>
  </si>
  <si>
    <t>Account: Applicable CASA
Debit Card: Successfully Requisitioned</t>
  </si>
  <si>
    <t>The Debit Card requisition/card-related information should be displayed correctly in Account Profile Details with the expected account/card information.</t>
  </si>
  <si>
    <r>
      <rPr>
        <rFont val="Arial"/>
        <color rgb="FF1155CC"/>
        <u/>
      </rPr>
      <t>https://prnt.sc/CL9tQ8A62DEA</t>
    </r>
    <r>
      <rPr>
        <rFont val="Arial"/>
        <color rgb="FF1F1F1F"/>
      </rPr>
      <t xml:space="preserve">  </t>
    </r>
    <r>
      <rPr>
        <rFont val="Arial"/>
        <color rgb="FF1155CC"/>
        <u/>
      </rPr>
      <t>https://prnt.sc/aDHSxgF3Hrsw</t>
    </r>
    <r>
      <rPr>
        <rFont val="Arial"/>
        <color rgb="FF1F1F1F"/>
      </rPr>
      <t xml:space="preserve"> </t>
    </r>
  </si>
  <si>
    <r>
      <rPr>
        <rFont val="Arial"/>
        <color rgb="FF1155CC"/>
        <u/>
      </rPr>
      <t xml:space="preserve">https://prnt.sc/6iMhVHkisV1b </t>
    </r>
    <r>
      <rPr>
        <rFont val="Arial"/>
        <color rgb="FF1F1F1F"/>
      </rPr>
      <t xml:space="preserve">  </t>
    </r>
    <r>
      <rPr>
        <rFont val="Arial"/>
        <color rgb="FF1155CC"/>
        <u/>
      </rPr>
      <t>https://prnt.sc/ANu4CyG4RCUY</t>
    </r>
    <r>
      <rPr>
        <rFont val="Arial"/>
        <color rgb="FF1F1F1F"/>
      </rPr>
      <t xml:space="preserve">  </t>
    </r>
    <r>
      <rPr>
        <rFont val="Arial"/>
        <color rgb="FF1155CC"/>
        <u/>
      </rPr>
      <t>https://prnt.sc/_7oQ4vXNCEgx</t>
    </r>
    <r>
      <rPr>
        <rFont val="Arial"/>
        <color rgb="FF1F1F1F"/>
      </rPr>
      <t xml:space="preserve">  </t>
    </r>
    <r>
      <rPr>
        <rFont val="Arial"/>
        <color rgb="FF1155CC"/>
        <u/>
      </rPr>
      <t>https://prnt.sc/Z0TZ0M5U0QK4</t>
    </r>
    <r>
      <rPr>
        <rFont val="Arial"/>
        <color rgb="FF1F1F1F"/>
      </rPr>
      <t xml:space="preserve">  </t>
    </r>
    <r>
      <rPr>
        <rFont val="Arial"/>
        <color rgb="FF1155CC"/>
        <u/>
      </rPr>
      <t>https://prnt.sc/QTjCCEdVpBCo</t>
    </r>
    <r>
      <rPr>
        <rFont val="Arial"/>
        <color rgb="FF1F1F1F"/>
      </rPr>
      <t xml:space="preserve"> </t>
    </r>
  </si>
  <si>
    <r>
      <rPr>
        <rFont val="Arial"/>
        <color rgb="FF1155CC"/>
        <u/>
      </rPr>
      <t>https://prnt.sc/qh2L1WnRCMjR</t>
    </r>
    <r>
      <rPr>
        <rFont val="Arial"/>
        <color rgb="FF1F1F1F"/>
      </rPr>
      <t xml:space="preserve"> </t>
    </r>
    <r>
      <rPr>
        <rFont val="Arial"/>
        <color rgb="FF1155CC"/>
        <u/>
      </rPr>
      <t>https://prnt.sc/kBjvN-elD0A8</t>
    </r>
    <r>
      <rPr>
        <rFont val="Arial"/>
        <color rgb="FF1F1F1F"/>
      </rPr>
      <t xml:space="preserve">   </t>
    </r>
    <r>
      <rPr>
        <rFont val="Arial"/>
        <color rgb="FF1155CC"/>
        <u/>
      </rPr>
      <t>https://prnt.sc/qCdww6I3fe2W</t>
    </r>
    <r>
      <rPr>
        <rFont val="Arial"/>
      </rPr>
      <t xml:space="preserve">   </t>
    </r>
    <r>
      <rPr>
        <rFont val="Arial"/>
        <color rgb="FF1155CC"/>
        <u/>
      </rPr>
      <t>https://prnt.sc/E55hrYW3b_QZ</t>
    </r>
    <r>
      <rPr>
        <rFont val="Arial"/>
      </rPr>
      <t xml:space="preserve">  </t>
    </r>
    <r>
      <rPr>
        <rFont val="Arial"/>
        <color rgb="FF1155CC"/>
        <u/>
      </rPr>
      <t>https://prnt.sc/vqEgpPpmJCII</t>
    </r>
    <r>
      <rPr>
        <rFont val="Arial"/>
      </rPr>
      <t xml:space="preserve"> </t>
    </r>
  </si>
  <si>
    <t>TC-019</t>
  </si>
  <si>
    <t>Verify confirmation message when attempting Debit Card Requisition for an account that already has a Card</t>
  </si>
  <si>
    <t>1. Select a CASA account for which a Debit Card already exists.
2. Initiate a new Debit Card Requisition using the same account.
3. Verify the confirmation popup displayed by the system.
4. Click No and verify that the requisition is not created.
5. Repeat the requisition and click Yes to verify the reissue flow, if applicable.</t>
  </si>
  <si>
    <t>Account: CASA account with an existing Card
Existing Card: Yes</t>
  </si>
  <si>
    <t>System should display the confirmation message "This account already has a Card. Do you want to reissue?" with Yes and No options. Selecting No should cancel the reissue action. Selecting Yes should proceed with the card reissue flow according to the existing business rules.</t>
  </si>
  <si>
    <t>Verify validation for an invalid Special Profit Sharing Ratio (PSR) value</t>
  </si>
  <si>
    <t>https://prnt.sc/hakZkK7n6a4r</t>
  </si>
  <si>
    <t>1. Configure IS_PSR_WEIGHTAGE_RATE = PSR.
2. Navigate to Special PSR UI.
3. Enter an invalid PSR value exceeding the allowed range.
4. Click Save.</t>
  </si>
  <si>
    <t>Special PSR = 99</t>
  </si>
  <si>
    <t>System should prevent saving and display an appropriate validation message indicating that the PSR value is outside the allowed range.</t>
  </si>
  <si>
    <t>https://prnt.sc/eMyXcVScWC0H</t>
  </si>
  <si>
    <r>
      <rPr>
        <rFont val="Arial"/>
        <color rgb="FF1155CC"/>
        <u/>
      </rPr>
      <t>https://prnt.sc/VuWk21_plUHr</t>
    </r>
    <r>
      <rPr>
        <rFont val="Arial"/>
        <color rgb="FF1F1F1F"/>
      </rPr>
      <t xml:space="preserve">  </t>
    </r>
    <r>
      <rPr>
        <rFont val="Arial"/>
        <color rgb="FF1155CC"/>
        <u/>
      </rPr>
      <t>https://prnt.sc/Z5ORJfk916CZ</t>
    </r>
    <r>
      <rPr>
        <rFont val="Arial"/>
      </rPr>
      <t xml:space="preserve">  </t>
    </r>
    <r>
      <rPr>
        <rFont val="Arial"/>
        <color rgb="FF1155CC"/>
        <u/>
      </rPr>
      <t>https://prnt.sc/coMmu7bHeadC</t>
    </r>
    <r>
      <rPr>
        <rFont val="Arial"/>
      </rPr>
      <t xml:space="preserve">  </t>
    </r>
    <r>
      <rPr>
        <rFont val="Arial"/>
        <color rgb="FF1155CC"/>
        <u/>
      </rPr>
      <t>https://prnt.sc/nOd594YOFEYD</t>
    </r>
    <r>
      <rPr>
        <rFont val="Arial"/>
      </rPr>
      <t xml:space="preserve">   </t>
    </r>
    <r>
      <rPr>
        <rFont val="Arial"/>
        <color rgb="FF1155CC"/>
        <u/>
      </rPr>
      <t>https://prnt.sc/KG0OFFYIR4V_</t>
    </r>
    <r>
      <rPr>
        <rFont val="Arial"/>
      </rPr>
      <t xml:space="preserve"> </t>
    </r>
  </si>
  <si>
    <t>TC-020</t>
  </si>
  <si>
    <t>Verify validation messages when trying to submit Card Requisition form with mandatory fields left blank</t>
  </si>
  <si>
    <t>1. Open the Card Requisition page.
2. Leave mandatory fields blank: Account Number, Delivery Branch, Title, Name on card.
3. Click on the Save button.</t>
  </si>
  <si>
    <t>Keep all required fields empty</t>
  </si>
  <si>
    <t>System should prevent submission and display inline validation errors in red:
-  Account Number is required.
- Delivery Branch is required.
- Title is required.
- Name on card is required.</t>
  </si>
  <si>
    <t>Verify Special Profit Rate History records NEW and UPDATE actions correctly</t>
  </si>
  <si>
    <t xml:space="preserve">As Expected </t>
  </si>
  <si>
    <t>1. Create a new Special PSR record and save it.
2. Verify the History section.
3. Update the existing Special PSR value and save.
4. Open Special Profit Rate History.
5. Verify the action, value, account number, created/verified information and date-time details.</t>
  </si>
  <si>
    <t>History should maintain separate records for each transaction. The initial record should show Action = NEW, and subsequent modifications should show Action = UPDATE with the corresponding PSR value and relevant audit information.</t>
  </si>
  <si>
    <t>https://prnt.sc/aKxACF5hYVam</t>
  </si>
  <si>
    <t>TC-021</t>
  </si>
  <si>
    <r>
      <rPr>
        <rFont val="Arial"/>
        <color rgb="FF1155CC"/>
        <u/>
      </rPr>
      <t>https://prnt.sc/hpFeDK6-DMzW</t>
    </r>
    <r>
      <rPr>
        <rFont val="Arial"/>
        <color rgb="FF1F1F1F"/>
      </rPr>
      <t xml:space="preserve">  </t>
    </r>
    <r>
      <rPr>
        <rFont val="Arial"/>
        <color rgb="FF1155CC"/>
        <u/>
      </rPr>
      <t>https://prnt.sc/ZgUopDBMvdNL</t>
    </r>
    <r>
      <rPr>
        <rFont val="Arial"/>
        <color rgb="FF1F1F1F"/>
      </rPr>
      <t xml:space="preserve">  </t>
    </r>
    <r>
      <rPr>
        <rFont val="Arial"/>
        <color rgb="FF1155CC"/>
        <u/>
      </rPr>
      <t>https://prnt.sc/014rrjfY9_uO</t>
    </r>
    <r>
      <rPr>
        <rFont val="Arial"/>
      </rPr>
      <t xml:space="preserve"> </t>
    </r>
  </si>
  <si>
    <t>Verify error message when clicking 'Send For Printing' without selecting any requisition checkbox</t>
  </si>
  <si>
    <r>
      <rPr>
        <rFont val="Arial"/>
        <color rgb="FF1155CC"/>
        <u/>
      </rPr>
      <t>https://prnt.sc/EofrlAfsss3S</t>
    </r>
    <r>
      <rPr>
        <rFont val="Arial"/>
        <color rgb="FF1F1F1F"/>
      </rPr>
      <t xml:space="preserve">  </t>
    </r>
    <r>
      <rPr>
        <rFont val="Arial"/>
        <color rgb="FF1155CC"/>
        <u/>
      </rPr>
      <t>https://prnt.sc/2RzNNJDp5vdz</t>
    </r>
    <r>
      <rPr>
        <rFont val="Arial"/>
        <color rgb="FF1F1F1F"/>
      </rPr>
      <t xml:space="preserve">   </t>
    </r>
    <r>
      <rPr>
        <rFont val="Arial"/>
        <color rgb="FF1155CC"/>
        <u/>
      </rPr>
      <t>https://prnt.sc/hbc8Sev7j9tW</t>
    </r>
    <r>
      <rPr>
        <rFont val="Arial"/>
      </rPr>
      <t xml:space="preserve">    </t>
    </r>
    <r>
      <rPr>
        <rFont val="Arial"/>
        <color rgb="FF1155CC"/>
        <u/>
      </rPr>
      <t>https://prnt.sc/HUT7n91o7fV2</t>
    </r>
    <r>
      <rPr>
        <rFont val="Arial"/>
      </rPr>
      <t xml:space="preserve">   </t>
    </r>
    <r>
      <rPr>
        <rFont val="Arial"/>
        <color rgb="FF1155CC"/>
        <u/>
      </rPr>
      <t>https://prnt.sc/hMLUGYc0Ue9E</t>
    </r>
    <r>
      <rPr>
        <rFont val="Arial"/>
      </rPr>
      <t xml:space="preserve">   </t>
    </r>
    <r>
      <rPr>
        <rFont val="Arial"/>
        <color rgb="FF1155CC"/>
        <u/>
      </rPr>
      <t>https://prnt.sc/lOzGOwMINWBj</t>
    </r>
    <r>
      <rPr>
        <rFont val="Arial"/>
      </rPr>
      <t xml:space="preserve"> </t>
    </r>
  </si>
  <si>
    <t>1. Navigate to Card Requisitions: Head Office Activity page.
2. Ensure no requisition checkbox is selected in the table list.
3. Click on the Send For Printing button.</t>
  </si>
  <si>
    <t>System should show an error popup message: "Nothing is selected! Please select any requisition ID for printing."</t>
  </si>
  <si>
    <t>As Expected</t>
  </si>
  <si>
    <t>https://prnt.sc/FN-uUoQEzOYx</t>
  </si>
  <si>
    <t>https://prnt.sc/C_eH05-kVi7b</t>
  </si>
  <si>
    <t>TC-022</t>
  </si>
  <si>
    <t>Verify system behavior when uploading a previously processed/old Excel file during 'Receive From Print'</t>
  </si>
  <si>
    <t>1. Select a new requisition (e.g., Request ID: 380) and click Send For Printing.
2. Click on Receive From Print button.
3. Select and upload an older/already received Excel file (e.g., containing Request ID: 366).</t>
  </si>
  <si>
    <t>Old/Previous XLSX file (Card Requisition_...xlsx)</t>
  </si>
  <si>
    <t>System should validate the uploaded file against pending printing requisitions and show an error/warning like "Invalid file or Requisition already processed".</t>
  </si>
  <si>
    <t>System accepts the old file, shows "Success! File uploaded successfully", and the new requisition remains in Printing state.</t>
  </si>
  <si>
    <t>https://prnt.sc/qjHqJE6kx_la</t>
  </si>
  <si>
    <t>https://prnt.sc/mOoCnmSKkVzu</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</si>
  <si>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</si>
  <si>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r>
      <rPr>
        <rFont val="Arial"/>
        <color rgb="FF1155CC"/>
        <u/>
      </rPr>
      <t>https://prnt.sc/i-eUtAWWxaLd</t>
    </r>
    <r>
      <rPr>
        <rFont val="Arial"/>
      </rPr>
      <t xml:space="preserve">  </t>
    </r>
    <r>
      <rPr>
        <rFont val="Arial"/>
        <color rgb="FF1155CC"/>
        <u/>
      </rPr>
      <t>https://prnt.sc/49DWjvcrxmTF</t>
    </r>
    <r>
      <rPr>
        <rFont val="Arial"/>
        <color rgb="FF1F1F1F"/>
      </rPr>
      <t xml:space="preserve">    </t>
    </r>
    <r>
      <rPr>
        <rFont val="Arial"/>
        <color rgb="FF1155CC"/>
        <u/>
      </rPr>
      <t>https://prnt.sc/6KmJ99HvhNxa</t>
    </r>
    <r>
      <rPr>
        <rFont val="Arial"/>
        <color rgb="FF1F1F1F"/>
      </rPr>
      <t xml:space="preserve">    </t>
    </r>
    <r>
      <rPr>
        <rFont val="Arial"/>
        <color rgb="FF1155CC"/>
        <u/>
      </rPr>
      <t>https://prnt.sc/6KmJ99HvhNxa</t>
    </r>
    <r>
      <rPr>
        <rFont val="Arial"/>
      </rPr>
      <t xml:space="preserve">   </t>
    </r>
    <r>
      <rPr>
        <rFont val="Arial"/>
        <color rgb="FF1155CC"/>
        <u/>
      </rPr>
      <t>https://prnt.sc/RZdgukqX8Zv9</t>
    </r>
    <r>
      <rPr>
        <rFont val="Arial"/>
      </rPr>
      <t xml:space="preserve">   </t>
    </r>
    <r>
      <rPr>
        <rFont val="Arial"/>
        <color rgb="FF1155CC"/>
        <u/>
      </rPr>
      <t>https://prnt.sc/0oyRok_U4JKw</t>
    </r>
    <r>
      <rPr>
        <rFont val="Arial"/>
      </rPr>
      <t xml:space="preserve">   </t>
    </r>
    <r>
      <rPr>
        <rFont val="Arial"/>
        <color rgb="FF1155CC"/>
        <u/>
      </rPr>
      <t>https://prnt.sc/8pWZ07Ib8cZX</t>
    </r>
    <r>
      <rPr>
        <rFont val="Arial"/>
      </rPr>
      <t xml:space="preserve">  </t>
    </r>
    <r>
      <rPr>
        <rFont val="Arial"/>
        <color rgb="FF1155CC"/>
        <u/>
      </rPr>
      <t>https://prnt.sc/plURP0KC8HlV</t>
    </r>
    <r>
      <rPr>
        <rFont val="Arial"/>
      </rPr>
      <t xml:space="preserve">   </t>
    </r>
    <r>
      <rPr>
        <rFont val="Arial"/>
        <color rgb="FF1155CC"/>
        <u/>
      </rPr>
      <t>https://prnt.sc/pr919kuETFef</t>
    </r>
    <r>
      <rPr>
        <rFont val="Arial"/>
      </rPr>
      <t xml:space="preserve">   </t>
    </r>
    <r>
      <rPr>
        <rFont val="Arial"/>
        <color rgb="FF1155CC"/>
        <u/>
      </rPr>
      <t>https://prnt.sc/ZLq8_Yl3Qfpl</t>
    </r>
    <r>
      <rPr>
        <rFont val="Arial"/>
      </rPr>
      <t xml:space="preserve"> </t>
    </r>
  </si>
  <si>
    <t>Verify approval flow when the configuration is changed from Weightage to PSR after creating a Weightage record</t>
  </si>
  <si>
    <t>TC-023</t>
  </si>
  <si>
    <t>1. Set IS_PSR_WEIGHTAGE_RATE = WEIGHTAGE and create a Special Weightage record for an account.
2. Save the record successfully.
3. Change IS_PSR_WEIGHTAGE_RATE to PSR.
4. Reopen the same account in the Special Profit Rate UI.
5. Verify that only the Special Profit Sharing Ratio field is displayed according to the new configuration.
6. Save the record and send it for approval.
7. Open the record from the approval flow.
8. Click Accept.</t>
  </si>
  <si>
    <t>Verify that the Block Amount is released after deleting a Debit Card Requisition created with Block on Failure enabled</t>
  </si>
  <si>
    <t>Initial configuration: WEIGHTAGE
Updated configuration: PSR
Weightage = 0.9
PSR = 0.7</t>
  </si>
  <si>
    <t>The record should be accepted successfully without any exception. The approval flow should process the record correctly based on the current PSR configuration.</t>
  </si>
  <si>
    <t>Exception error is displayed during Accept.</t>
  </si>
  <si>
    <t>1. Ensure ALLOW_INACTIVE_ACCOUNT_FOR_CARD_REQUISITION = YES.
2. Enable Block on Failure for the applicable Debit Card charge.
3. Select an Inactive CASA account with sufficient available balance.
4. Note the account's Available Balance and Block Amount before requisition.
5. Create and submit a Debit Card Requisition with an applicable charge.
6. Verify the account information through Account Enquiry and confirm that the charge amount is reflected in Block Amount.
7. Open the Debit Card Requisition list and delete the created requisition.
8. Again check the same account through Account Enquiry and Account Details/View.</t>
  </si>
  <si>
    <t>Inactive CASA Account: 7012010000014 
Block on Failure: ON
Debit Card Charge:  500
Available Balance: sufficient for the charge</t>
  </si>
  <si>
    <t>After requisition creation, the applicable charge amount should be reflected in the account's Block Amount. After deleting the Debit Card Requisition, the corresponding Block Amount should be released/removed, and the account's available balance should be restored accordingly. No residual block amount should remain due to the deleted requisition.</t>
  </si>
  <si>
    <t>Success!
Card Requisition Request Deleted Successfully for Account: 7012010000014  as expected block amount also deleted.</t>
  </si>
  <si>
    <r>
      <rPr>
        <rFont val="Arial"/>
        <color rgb="FF1155CC"/>
        <u/>
      </rPr>
      <t>https://prnt.sc/42poKFD_8XFe</t>
    </r>
    <r>
      <rPr>
        <rFont val="Arial"/>
      </rPr>
      <t xml:space="preserve">     </t>
    </r>
    <r>
      <rPr>
        <rFont val="Arial"/>
        <color rgb="FF1155CC"/>
        <u/>
      </rPr>
      <t>https://prnt.sc/d7R3Yo3ll7HF</t>
    </r>
    <r>
      <rPr>
        <rFont val="Arial"/>
      </rPr>
      <t xml:space="preserve">     </t>
    </r>
    <r>
      <rPr>
        <rFont val="Arial"/>
        <color rgb="FF1155CC"/>
        <u/>
      </rPr>
      <t>https://prnt.sc/-svMkI3mpjNW</t>
    </r>
    <r>
      <rPr>
        <rFont val="Arial"/>
      </rPr>
      <t xml:space="preserve">      </t>
    </r>
    <r>
      <rPr>
        <rFont val="Arial"/>
        <color rgb="FF1155CC"/>
        <u/>
      </rPr>
      <t>https://prnt.sc/XmGjzWObZCf7</t>
    </r>
    <r>
      <rPr>
        <rFont val="Arial"/>
      </rPr>
      <t xml:space="preserve">     </t>
    </r>
    <r>
      <rPr>
        <rFont val="Arial"/>
        <color rgb="FF1155CC"/>
        <u/>
      </rPr>
      <t>https://prnt.sc/_ZfLtsLGjd7k</t>
    </r>
    <r>
      <rPr>
        <rFont val="Arial"/>
      </rPr>
      <t xml:space="preserve"> </t>
    </r>
  </si>
  <si>
    <t>https://prnt.sc/nHgnDickirOH</t>
  </si>
  <si>
    <t xml:space="preserve">After adding and saving a Weightage value for the account, the Weightage is not displayed in the Account View page, although the value is successfully shown in the Special Profit Rate screen also </t>
  </si>
  <si>
    <r>
      <rPr>
        <rFont val="Arial"/>
        <color rgb="FF1155CC"/>
        <u/>
      </rPr>
      <t>https://prnt.sc/pUw7ZtpA842g</t>
    </r>
    <r>
      <rPr>
        <rFont val="Arial"/>
        <color rgb="FF1F1F1F"/>
      </rPr>
      <t xml:space="preserve">  </t>
    </r>
    <r>
      <rPr>
        <rFont val="Arial"/>
        <color rgb="FF1155CC"/>
        <u/>
      </rPr>
      <t>https://prnt.sc/hafDqN8FvzIs</t>
    </r>
    <r>
      <rPr>
        <rFont val="Arial"/>
        <color rgb="FF1F1F1F"/>
      </rPr>
      <t xml:space="preserve">  </t>
    </r>
    <r>
      <rPr>
        <rFont val="Arial"/>
        <color rgb="FF1155CC"/>
        <u/>
      </rPr>
      <t>https://prnt.sc/Rj4AnirUrKlQ</t>
    </r>
    <r>
      <rPr>
        <rFont val="Arial"/>
      </rPr>
      <t xml:space="preserve">   </t>
    </r>
    <r>
      <rPr>
        <rFont val="Arial"/>
        <color rgb="FF1155CC"/>
        <u/>
      </rPr>
      <t>https://prnt.sc/x1KC-Mn1Zj2y</t>
    </r>
    <r>
      <rPr>
        <rFont val="Arial"/>
      </rPr>
      <t xml:space="preserve">   </t>
    </r>
    <r>
      <rPr>
        <rFont val="Arial"/>
        <color rgb="FF1155CC"/>
        <u/>
      </rPr>
      <t>https://prnt.sc/ODJIu5KpSJYU</t>
    </r>
    <r>
      <rPr>
        <rFont val="Arial"/>
      </rPr>
      <t xml:space="preserve">  </t>
    </r>
    <r>
      <rPr>
        <rFont val="Arial"/>
        <color rgb="FF1155CC"/>
        <u/>
      </rPr>
      <t>https://prnt.sc/hc8vnpqyjFQh</t>
    </r>
    <r>
      <rPr>
        <rFont val="Arial"/>
      </rPr>
      <t xml:space="preserve">  </t>
    </r>
    <r>
      <rPr>
        <rFont val="Arial"/>
        <color rgb="FF1155CC"/>
        <u/>
      </rPr>
      <t>https://prnt.sc/JeYW2rjTheNX</t>
    </r>
    <r>
      <rPr>
        <rFont val="Arial"/>
      </rPr>
      <t xml:space="preserve">   </t>
    </r>
    <r>
      <rPr>
        <rFont val="Arial"/>
        <color rgb="FF1155CC"/>
        <u/>
      </rPr>
      <t>https://prnt.sc/pM-3Ew4yq64r</t>
    </r>
    <r>
      <rPr>
        <rFont val="Arial"/>
      </rPr>
      <t xml:space="preserve"> </t>
    </r>
    <r>
      <rPr>
        <rFont val="Arial"/>
        <color rgb="FF1155CC"/>
        <u/>
      </rPr>
      <t>https://prnt.sc/NvXaoAxbXgOQ</t>
    </r>
    <r>
      <rPr>
        <rFont val="Arial"/>
      </rPr>
      <t xml:space="preserve"> </t>
    </r>
  </si>
  <si>
    <t xml:space="preserve">When Provisional Profit and Weightage are configured for a product, the Provisional Profit is applied during account creation, but the configured Weightage is not applied to the account as per the product configuration.
</t>
  </si>
  <si>
    <t>Accounts
A1: Active 7011510000011 + Balance 3000
A2: Active  7011060000015 + Balance  1000
A3: Inactive 7011010000024 + balance 3000 
A4: Inactive 7012020000012 + Balance 1000
A5: Inactive 7012020000029 + Balance 0               7011010000032  (active) balance-- 2000       7012010000014(inactive)  balance-- 2000      7011010000049(actived)</t>
  </si>
  <si>
    <t>Accounts
A1: Active + Balance 500
A2: Active + Balance 50
A3: Inactive + Balance 500
A4: Inactive + Balance 50
A5: Inactive + Balance 0</t>
  </si>
  <si>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</si>
  <si>
    <r>
      <rPr>
        <rFont val="Arial"/>
      </rPr>
      <t xml:space="preserve">During Card Requisition creation, clicking the Save button sometimes fails on the 1st attempt with a database constraint error:
could not execute statement; SQL [n/a]; constraint [NG13QA.SYS_C0020256]; nested exception is org.hibernate.exception.ConstraintViolationException: could not execute statement
Behavior:
  - Creation succeeds on the 2nd or 3rd attempt.
  - Developer Feedback: Known environment issue.      </t>
    </r>
    <r>
      <rPr>
        <rFont val="Arial"/>
        <color rgb="FF1155CC"/>
        <u/>
      </rPr>
      <t>https://prnt.sc/xttuFzfoQiX-</t>
    </r>
    <r>
      <rPr>
        <rFont val="Arial"/>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</si>
</sst>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sz val="12.0"/>
      <color theme="1"/>
      <name val="Calibri"/>
    </font>
    <font/>
    <font>
      <sz val="12.0"/>
      <color theme="1"/>
      <name val="Calibri"/>
    </font>
    <font>
      <color theme="1"/>
      <name val="Arial"/>
    </font>
    <font>
      <u/>
      <color rgb="FF0000FF"/>
      <name val="Arial"/>
    </font>
    <font>
      <u/>
      <color rgb="FF0000FF"/>
      <name val="Arial"/>
    </font>
    <font>
      <u/>
      <color rgb="FF0000FF"/>
      <name val="Arial"/>
    </font>
    <font>
      <u/>
      <color rgb="FF0000FF"/>
    </font>
    <font>
      <u/>
      <color rgb="FF0000FF"/>
    </font>
    <font>
      <b/>
      <color theme="1"/>
      <name val="Arial"/>
    </font>
    <font>
      <color theme="1"/>
      <name val="Arial"/>
      <scheme val="minor"/>
    </font>
  </fonts>
  <fills count="16">
    <fill>
      <patternFill patternType="none"/>
    </fill>
    <fill>
      <patternFill patternType="lightGray"/>
    </fill>
    <fill>
      <patternFill patternType="solid">
        <fgColor rgb="FFC6D9F0"/>
        <bgColor rgb="FFC6D9F0"/>
      </patternFill>
    </fill>
    <fill>
      <patternFill patternType="solid">
        <fgColor rgb="FFEAEAEA"/>
        <bgColor rgb="FFEAEAEA"/>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
      <patternFill patternType="solid">
        <fgColor rgb="FF00FFFF"/>
        <bgColor rgb="FF00FFFF"/>
      </patternFill>
    </fill>
    <fill>
      <patternFill patternType="solid">
        <fgColor rgb="FFEAD1DC"/>
        <bgColor rgb="FFEAD1DC"/>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ill="1" applyFont="1">
      <alignment horizontal="center" shrinkToFit="0" vertical="center" wrapText="1"/>
    </xf>
    <xf borderId="3" fillId="0" fontId="4" numFmtId="164" xfId="0" applyAlignment="1" applyBorder="1" applyFont="1" applyNumberFormat="1">
      <alignment shrinkToFit="0" vertical="center" wrapText="1"/>
    </xf>
    <xf borderId="1" fillId="2" fontId="1" numFmtId="0" xfId="0" applyAlignment="1" applyBorder="1" applyFill="1" applyFont="1">
      <alignment horizontal="center" shrinkToFit="0" wrapText="1"/>
    </xf>
    <xf borderId="3" fillId="2" fontId="4" numFmtId="0" xfId="0" applyAlignment="1" applyBorder="1" applyFill="1" applyFont="1">
      <alignment shrinkToFit="0" vertical="center" wrapText="1"/>
    </xf>
    <xf borderId="3" fillId="0" fontId="3" numFmtId="0" xfId="0" applyAlignment="1" applyBorder="1" applyFont="1">
      <alignment horizontal="center" shrinkToFit="0" wrapText="1"/>
    </xf>
    <xf borderId="3" fillId="0" fontId="4" numFmtId="0" xfId="0" applyAlignment="1" applyBorder="1" applyFont="1">
      <alignment shrinkToFit="0" vertical="center" wrapText="1"/>
    </xf>
    <xf borderId="3" fillId="2" fontId="1" numFmtId="0" xfId="0" applyAlignment="1" applyBorder="1" applyFill="1" applyFont="1">
      <alignment horizontal="center" shrinkToFit="0" wrapText="1"/>
    </xf>
    <xf borderId="4" fillId="0" fontId="2" numFmtId="0" xfId="0" applyBorder="1" applyFont="1"/>
    <xf borderId="3" fillId="0" fontId="4" numFmtId="164" xfId="0" applyAlignment="1" applyBorder="1" applyFont="1" applyNumberFormat="1">
      <alignment shrinkToFit="0" wrapText="1"/>
    </xf>
    <xf borderId="4" fillId="2" fontId="1" numFmtId="0" xfId="0" applyAlignment="1" applyBorder="1" applyFill="1" applyFont="1">
      <alignment horizontal="center" shrinkToFit="0" vertical="center" wrapText="1"/>
    </xf>
    <xf borderId="3" fillId="2" fontId="4" numFmtId="0" xfId="0" applyAlignment="1" applyBorder="1" applyFill="1" applyFont="1">
      <alignment shrinkToFit="0" vertical="bottom" wrapText="1"/>
    </xf>
    <xf borderId="3" fillId="0" fontId="4" numFmtId="0" xfId="0" applyAlignment="1" applyBorder="1" applyFont="1">
      <alignment shrinkToFit="0" vertical="bottom" wrapText="1"/>
    </xf>
    <xf borderId="1" fillId="2" fontId="4" numFmtId="0" xfId="0" applyAlignment="1" applyBorder="1" applyFill="1" applyFont="1">
      <alignment shrinkToFit="0" vertical="center" wrapText="1"/>
    </xf>
    <xf borderId="0" fillId="0" fontId="4" numFmtId="0" xfId="0" applyAlignment="1" applyFont="1">
      <alignment shrinkToFit="0" vertical="center" wrapText="1"/>
    </xf>
    <xf borderId="4" fillId="2" fontId="1" numFmtId="0" xfId="0" applyAlignment="1" applyBorder="1" applyFill="1" applyFont="1">
      <alignment horizontal="center" shrinkToFit="0" wrapText="1"/>
    </xf>
    <xf borderId="0" fillId="3" fontId="4" numFmtId="0" xfId="0" applyAlignment="1" applyFill="1" applyFont="1">
      <alignment shrinkToFit="0" vertical="center" wrapText="1"/>
    </xf>
    <xf borderId="3" fillId="4"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bottom" wrapText="1"/>
    </xf>
    <xf borderId="1" fillId="2" fontId="4" numFmtId="0" xfId="0" applyAlignment="1" applyBorder="1" applyFill="1" applyFont="1">
      <alignment shrinkToFit="0" wrapText="1"/>
    </xf>
    <xf borderId="3" fillId="0" fontId="4" numFmtId="0" xfId="0" applyAlignment="1" applyBorder="1" applyFont="1">
      <alignment shrinkToFit="0" wrapText="1"/>
    </xf>
    <xf borderId="0" fillId="0" fontId="4" numFmtId="0" xfId="0" applyAlignment="1" applyFont="1">
      <alignment shrinkToFit="0" wrapText="1"/>
    </xf>
    <xf borderId="3" fillId="5" fontId="3"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0" fillId="3" fontId="4" numFmtId="0" xfId="0" applyAlignment="1" applyFill="1" applyFont="1">
      <alignment shrinkToFit="0" vertical="bottom" wrapText="1"/>
    </xf>
    <xf borderId="0" fillId="3" fontId="4" numFmtId="0" xfId="0" applyAlignment="1" applyFill="1" applyFont="1">
      <alignment horizontal="center" shrinkToFit="0" vertical="center" wrapText="1"/>
    </xf>
    <xf borderId="3" fillId="4" fontId="1" numFmtId="0" xfId="0" applyAlignment="1" applyBorder="1" applyFill="1" applyFont="1">
      <alignment horizontal="center" shrinkToFit="0" wrapText="1"/>
    </xf>
    <xf borderId="3" fillId="7" fontId="1" numFmtId="0" xfId="0" applyAlignment="1" applyBorder="1" applyFill="1" applyFont="1">
      <alignment horizontal="center" shrinkToFit="0" vertical="center" wrapText="1"/>
    </xf>
    <xf borderId="3" fillId="5" fontId="3" numFmtId="0" xfId="0" applyAlignment="1" applyBorder="1" applyFill="1" applyFont="1">
      <alignment horizontal="center" shrinkToFit="0" wrapText="1"/>
    </xf>
    <xf borderId="3" fillId="5" fontId="4" numFmtId="0" xfId="0" applyAlignment="1" applyBorder="1" applyFill="1" applyFont="1">
      <alignment shrinkToFit="0" vertical="center" wrapText="1"/>
    </xf>
    <xf borderId="3" fillId="6" fontId="1" numFmtId="0" xfId="0" applyAlignment="1" applyBorder="1" applyFill="1" applyFont="1">
      <alignment horizontal="center" shrinkToFit="0" wrapText="1"/>
    </xf>
    <xf borderId="3" fillId="0" fontId="4" numFmtId="0" xfId="0" applyAlignment="1" applyBorder="1" applyFont="1">
      <alignment horizontal="center" shrinkToFit="0" vertical="center" wrapText="1"/>
    </xf>
    <xf borderId="3" fillId="7" fontId="1" numFmtId="0" xfId="0" applyAlignment="1" applyBorder="1" applyFill="1" applyFont="1">
      <alignment horizontal="center" shrinkToFit="0" wrapText="1"/>
    </xf>
    <xf borderId="3" fillId="8" fontId="1" numFmtId="0" xfId="0" applyAlignment="1" applyBorder="1" applyFill="1" applyFont="1">
      <alignment horizontal="center" shrinkToFit="0" vertical="center" wrapText="1"/>
    </xf>
    <xf borderId="3" fillId="5" fontId="4" numFmtId="0" xfId="0" applyAlignment="1" applyBorder="1" applyFill="1" applyFont="1">
      <alignment horizontal="left" readingOrder="0" shrinkToFit="0" vertical="center" wrapText="1"/>
    </xf>
    <xf borderId="3" fillId="5" fontId="4" numFmtId="0" xfId="0" applyAlignment="1" applyBorder="1" applyFill="1" applyFont="1">
      <alignment shrinkToFit="0" wrapText="1"/>
    </xf>
    <xf borderId="3" fillId="9" fontId="1" numFmtId="0" xfId="0" applyAlignment="1" applyBorder="1" applyFill="1" applyFont="1">
      <alignment horizontal="center" shrinkToFit="0" vertical="center" wrapText="1"/>
    </xf>
    <xf borderId="3" fillId="0" fontId="4" numFmtId="0" xfId="0" applyAlignment="1" applyBorder="1" applyFont="1">
      <alignment horizontal="center" shrinkToFit="0" wrapText="1"/>
    </xf>
    <xf borderId="3" fillId="2" fontId="4" numFmtId="0" xfId="0" applyAlignment="1" applyBorder="1" applyFill="1" applyFont="1">
      <alignment shrinkToFit="0" wrapText="1"/>
    </xf>
    <xf borderId="3" fillId="10" fontId="1" numFmtId="0" xfId="0" applyAlignment="1" applyBorder="1" applyFill="1" applyFont="1">
      <alignment horizontal="center" shrinkToFit="0" vertical="center" wrapText="1"/>
    </xf>
    <xf borderId="3" fillId="8" fontId="1" numFmtId="0" xfId="0" applyAlignment="1" applyBorder="1" applyFill="1" applyFont="1">
      <alignment horizontal="center" shrinkToFit="0" wrapText="1"/>
    </xf>
    <xf borderId="3" fillId="5" fontId="4"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3" fillId="9" fontId="1" numFmtId="0" xfId="0" applyAlignment="1" applyBorder="1" applyFill="1" applyFont="1">
      <alignment horizontal="center" shrinkToFit="0" wrapText="1"/>
    </xf>
    <xf borderId="3" fillId="11" fontId="1" numFmtId="0" xfId="0" applyAlignment="1" applyBorder="1" applyFill="1" applyFont="1">
      <alignment horizontal="center" shrinkToFit="0" vertical="center" wrapText="1"/>
    </xf>
    <xf borderId="3" fillId="10" fontId="1" numFmtId="0" xfId="0" applyAlignment="1" applyBorder="1" applyFill="1" applyFont="1">
      <alignment horizontal="center" shrinkToFit="0" wrapText="1"/>
    </xf>
    <xf borderId="3" fillId="12" fontId="1" numFmtId="0" xfId="0" applyAlignment="1" applyBorder="1" applyFill="1" applyFont="1">
      <alignment horizontal="center" shrinkToFit="0" vertical="center" wrapText="1"/>
    </xf>
    <xf borderId="3" fillId="13" fontId="1" numFmtId="0" xfId="0" applyAlignment="1" applyBorder="1" applyFill="1" applyFont="1">
      <alignment horizontal="center" shrinkToFit="0" vertical="center" wrapText="1"/>
    </xf>
    <xf borderId="3" fillId="5" fontId="1" numFmtId="0" xfId="0" applyAlignment="1" applyBorder="1" applyFill="1" applyFont="1">
      <alignment horizontal="center" shrinkToFit="0" wrapText="1"/>
    </xf>
    <xf borderId="3" fillId="0" fontId="1" numFmtId="0" xfId="0" applyAlignment="1" applyBorder="1" applyFont="1">
      <alignment horizontal="center" shrinkToFit="0" vertical="center" wrapText="1"/>
    </xf>
    <xf borderId="3" fillId="11" fontId="1" numFmtId="0" xfId="0" applyAlignment="1" applyBorder="1" applyFill="1" applyFont="1">
      <alignment horizontal="center" shrinkToFit="0" wrapText="1"/>
    </xf>
    <xf borderId="3" fillId="12" fontId="1" numFmtId="0" xfId="0" applyAlignment="1" applyBorder="1" applyFill="1" applyFont="1">
      <alignment horizontal="center" shrinkToFit="0" wrapText="1"/>
    </xf>
    <xf borderId="3" fillId="13" fontId="1" numFmtId="0" xfId="0" applyAlignment="1" applyBorder="1" applyFill="1" applyFont="1">
      <alignment horizontal="center" shrinkToFit="0" wrapText="1"/>
    </xf>
    <xf borderId="3" fillId="0" fontId="5" numFmtId="0" xfId="0" applyAlignment="1" applyBorder="1" applyFont="1">
      <alignment shrinkToFit="0" vertical="center" wrapText="1"/>
    </xf>
    <xf borderId="3" fillId="0" fontId="1" numFmtId="0" xfId="0" applyAlignment="1" applyBorder="1" applyFont="1">
      <alignment horizontal="center" shrinkToFit="0" wrapText="1"/>
    </xf>
    <xf borderId="3" fillId="0" fontId="4" numFmtId="0" xfId="0" applyAlignment="1" applyBorder="1" applyFont="1">
      <alignment horizontal="left" shrinkToFit="0" vertical="center" wrapText="1"/>
    </xf>
    <xf borderId="3" fillId="0" fontId="6" numFmtId="0" xfId="0" applyAlignment="1" applyBorder="1" applyFont="1">
      <alignment horizontal="center" shrinkToFit="0" vertical="center" wrapText="1"/>
    </xf>
    <xf borderId="0" fillId="0" fontId="4" numFmtId="0" xfId="0" applyAlignment="1" applyFont="1">
      <alignment horizontal="center" shrinkToFit="0" vertical="center" wrapText="1"/>
    </xf>
    <xf borderId="3" fillId="0" fontId="7" numFmtId="0" xfId="0" applyAlignment="1" applyBorder="1" applyFont="1">
      <alignment shrinkToFit="0" wrapText="1"/>
    </xf>
    <xf borderId="3" fillId="0" fontId="8" numFmtId="0" xfId="0" applyAlignment="1" applyBorder="1" applyFont="1">
      <alignment shrinkToFit="0" vertical="center" wrapText="1"/>
    </xf>
    <xf borderId="3" fillId="0" fontId="9" numFmtId="0" xfId="0" applyAlignment="1" applyBorder="1" applyFont="1">
      <alignment shrinkToFit="0" wrapText="1"/>
    </xf>
    <xf borderId="3" fillId="0" fontId="10" numFmtId="0" xfId="0" applyAlignment="1" applyBorder="1" applyFont="1">
      <alignment horizontal="center" shrinkToFit="0" vertical="center" wrapText="1"/>
    </xf>
    <xf borderId="5" fillId="14" fontId="4" numFmtId="0" xfId="0" applyAlignment="1" applyBorder="1" applyFill="1" applyFont="1">
      <alignment shrinkToFit="0" wrapText="1"/>
    </xf>
    <xf borderId="6" fillId="0" fontId="2" numFmtId="0" xfId="0" applyBorder="1" applyFont="1"/>
    <xf borderId="5" fillId="15" fontId="4" numFmtId="0" xfId="0" applyAlignment="1" applyBorder="1" applyFill="1" applyFont="1">
      <alignment shrinkToFit="0" vertical="center"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i-eUtAWWxaLd" TargetMode="External"/><Relationship Id="rId11" Type="http://schemas.openxmlformats.org/officeDocument/2006/relationships/hyperlink" Target="https://prnt.sc/ZK2MCAeaWW9j" TargetMode="External"/><Relationship Id="rId22" Type="http://schemas.openxmlformats.org/officeDocument/2006/relationships/drawing" Target="../drawings/drawing1.xml"/><Relationship Id="rId10" Type="http://schemas.openxmlformats.org/officeDocument/2006/relationships/hyperlink" Target="https://prnt.sc/suDiORmlcoVA" TargetMode="External"/><Relationship Id="rId21" Type="http://schemas.openxmlformats.org/officeDocument/2006/relationships/hyperlink" Target="https://prnt.sc/nHgnDickirOH" TargetMode="External"/><Relationship Id="rId13" Type="http://schemas.openxmlformats.org/officeDocument/2006/relationships/hyperlink" Target="https://prnt.sc/f-XG8fK-6J8F" TargetMode="External"/><Relationship Id="rId12" Type="http://schemas.openxmlformats.org/officeDocument/2006/relationships/hyperlink" Target="https://prnt.sc/q8Al-yvuqcuU" TargetMode="External"/><Relationship Id="rId1" Type="http://schemas.openxmlformats.org/officeDocument/2006/relationships/hyperlink" Target="https://prnt.sc/tvf2tKxd2soP" TargetMode="External"/><Relationship Id="rId2" Type="http://schemas.openxmlformats.org/officeDocument/2006/relationships/hyperlink" Target="https://prnt.sc/qapUkBHhU31k" TargetMode="External"/><Relationship Id="rId3" Type="http://schemas.openxmlformats.org/officeDocument/2006/relationships/hyperlink" Target="https://prnt.sc/-tHRj_XDC4iN" TargetMode="External"/><Relationship Id="rId4" Type="http://schemas.openxmlformats.org/officeDocument/2006/relationships/hyperlink" Target="https://prnt.sc/9MnDnq0FpEjN" TargetMode="External"/><Relationship Id="rId9" Type="http://schemas.openxmlformats.org/officeDocument/2006/relationships/hyperlink" Target="https://prnt.sc/Am9Y5r7oveDJ" TargetMode="External"/><Relationship Id="rId15" Type="http://schemas.openxmlformats.org/officeDocument/2006/relationships/hyperlink" Target="https://prnt.sc/UFNyX15cxH0q" TargetMode="External"/><Relationship Id="rId14" Type="http://schemas.openxmlformats.org/officeDocument/2006/relationships/hyperlink" Target="https://prnt.sc/zSlmM2bf0x98" TargetMode="External"/><Relationship Id="rId17" Type="http://schemas.openxmlformats.org/officeDocument/2006/relationships/hyperlink" Target="https://prnt.sc/qh2L1WnRCMjR" TargetMode="External"/><Relationship Id="rId16" Type="http://schemas.openxmlformats.org/officeDocument/2006/relationships/hyperlink" Target="https://prnt.sc/T7z0suRKVbds" TargetMode="External"/><Relationship Id="rId5" Type="http://schemas.openxmlformats.org/officeDocument/2006/relationships/hyperlink" Target="https://prnt.sc/YQ1fNVhZl33j" TargetMode="External"/><Relationship Id="rId19" Type="http://schemas.openxmlformats.org/officeDocument/2006/relationships/hyperlink" Target="https://prnt.sc/EofrlAfsss3S" TargetMode="External"/><Relationship Id="rId6" Type="http://schemas.openxmlformats.org/officeDocument/2006/relationships/hyperlink" Target="https://prnt.sc/JxgtLSRM0sxG" TargetMode="External"/><Relationship Id="rId18" Type="http://schemas.openxmlformats.org/officeDocument/2006/relationships/hyperlink" Target="https://prnt.sc/eMyXcVScWC0H" TargetMode="External"/><Relationship Id="rId7" Type="http://schemas.openxmlformats.org/officeDocument/2006/relationships/hyperlink" Target="https://prnt.sc/5MAZesDnKl3a" TargetMode="External"/><Relationship Id="rId8" Type="http://schemas.openxmlformats.org/officeDocument/2006/relationships/hyperlink" Target="https://prnt.sc/6lq6LY2DU_sQ"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rnt.sc/qjHqJE6kx_la" TargetMode="External"/><Relationship Id="rId11" Type="http://schemas.openxmlformats.org/officeDocument/2006/relationships/hyperlink" Target="https://prnt.sc/CgMCFU8zSGIU" TargetMode="External"/><Relationship Id="rId22" Type="http://schemas.openxmlformats.org/officeDocument/2006/relationships/hyperlink" Target="https://prnt.sc/42poKFD_8XFe" TargetMode="External"/><Relationship Id="rId10" Type="http://schemas.openxmlformats.org/officeDocument/2006/relationships/hyperlink" Target="https://prnt.sc/80f0-8EQrpff" TargetMode="External"/><Relationship Id="rId21" Type="http://schemas.openxmlformats.org/officeDocument/2006/relationships/hyperlink" Target="https://prnt.sc/mOoCnmSKkVzu" TargetMode="External"/><Relationship Id="rId13" Type="http://schemas.openxmlformats.org/officeDocument/2006/relationships/hyperlink" Target="https://prnt.sc/9n4qpqIB0Anf" TargetMode="External"/><Relationship Id="rId24" Type="http://schemas.openxmlformats.org/officeDocument/2006/relationships/drawing" Target="../drawings/drawing2.xml"/><Relationship Id="rId12" Type="http://schemas.openxmlformats.org/officeDocument/2006/relationships/hyperlink" Target="https://prnt.sc/LI_C5r-NvrJ4" TargetMode="External"/><Relationship Id="rId23" Type="http://schemas.openxmlformats.org/officeDocument/2006/relationships/hyperlink" Target="https://prnt.sc/xttuFzfoQiX-" TargetMode="External"/><Relationship Id="rId1" Type="http://schemas.openxmlformats.org/officeDocument/2006/relationships/hyperlink" Target="https://prnt.sc/2mHB8AOJcXoR" TargetMode="External"/><Relationship Id="rId2" Type="http://schemas.openxmlformats.org/officeDocument/2006/relationships/hyperlink" Target="https://prnt.sc/fy8QLnsQkbgF" TargetMode="External"/><Relationship Id="rId3" Type="http://schemas.openxmlformats.org/officeDocument/2006/relationships/hyperlink" Target="https://prnt.sc/u2k9kO7mwOTu" TargetMode="External"/><Relationship Id="rId4" Type="http://schemas.openxmlformats.org/officeDocument/2006/relationships/hyperlink" Target="https://prnt.sc/XUZSu0iW_hlQ" TargetMode="External"/><Relationship Id="rId9" Type="http://schemas.openxmlformats.org/officeDocument/2006/relationships/hyperlink" Target="https://prnt.sc/xHMihT2VCJNH" TargetMode="External"/><Relationship Id="rId15" Type="http://schemas.openxmlformats.org/officeDocument/2006/relationships/hyperlink" Target="https://prnt.sc/vofDaeYFtlg4" TargetMode="External"/><Relationship Id="rId14" Type="http://schemas.openxmlformats.org/officeDocument/2006/relationships/hyperlink" Target="https://prnt.sc/KXcAyzOE8F4p" TargetMode="External"/><Relationship Id="rId17" Type="http://schemas.openxmlformats.org/officeDocument/2006/relationships/hyperlink" Target="https://prnt.sc/VuWk21_plUHr" TargetMode="External"/><Relationship Id="rId16" Type="http://schemas.openxmlformats.org/officeDocument/2006/relationships/hyperlink" Target="https://prnt.sc/6iMhVHkisV1b" TargetMode="External"/><Relationship Id="rId5" Type="http://schemas.openxmlformats.org/officeDocument/2006/relationships/hyperlink" Target="https://prnt.sc/oZio1Km04ArV" TargetMode="External"/><Relationship Id="rId19" Type="http://schemas.openxmlformats.org/officeDocument/2006/relationships/hyperlink" Target="https://prnt.sc/C_eH05-kVi7b" TargetMode="External"/><Relationship Id="rId6" Type="http://schemas.openxmlformats.org/officeDocument/2006/relationships/hyperlink" Target="https://prnt.sc/JRVw1GYidbL5" TargetMode="External"/><Relationship Id="rId18" Type="http://schemas.openxmlformats.org/officeDocument/2006/relationships/hyperlink" Target="https://prnt.sc/hpFeDK6-DMzW" TargetMode="External"/><Relationship Id="rId7" Type="http://schemas.openxmlformats.org/officeDocument/2006/relationships/hyperlink" Target="https://prnt.sc/OY7Qz83hnlKz" TargetMode="External"/><Relationship Id="rId8" Type="http://schemas.openxmlformats.org/officeDocument/2006/relationships/hyperlink" Target="https://prnt.sc/oBlbZ9AV8S8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nt.sc/FN-uUoQEzOYx" TargetMode="External"/><Relationship Id="rId11" Type="http://schemas.openxmlformats.org/officeDocument/2006/relationships/hyperlink" Target="https://prnt.sc/kSw_eie-Aw1p" TargetMode="External"/><Relationship Id="rId22" Type="http://schemas.openxmlformats.org/officeDocument/2006/relationships/hyperlink" Target="https://prnt.sc/pUw7ZtpA842g" TargetMode="External"/><Relationship Id="rId10" Type="http://schemas.openxmlformats.org/officeDocument/2006/relationships/hyperlink" Target="https://prnt.sc/yhNSCdIcfLQt" TargetMode="External"/><Relationship Id="rId21" Type="http://schemas.openxmlformats.org/officeDocument/2006/relationships/hyperlink" Target="https://prnt.sc/42poKFD_8XFe" TargetMode="External"/><Relationship Id="rId13" Type="http://schemas.openxmlformats.org/officeDocument/2006/relationships/hyperlink" Target="https://prnt.sc/lRJGMq2E0lkH" TargetMode="External"/><Relationship Id="rId24" Type="http://schemas.openxmlformats.org/officeDocument/2006/relationships/drawing" Target="../drawings/drawing3.xml"/><Relationship Id="rId12" Type="http://schemas.openxmlformats.org/officeDocument/2006/relationships/hyperlink" Target="https://prnt.sc/bQ3pm4c63jlP" TargetMode="External"/><Relationship Id="rId23" Type="http://schemas.openxmlformats.org/officeDocument/2006/relationships/hyperlink" Target="https://prnt.sc/xttuFzfoQiX-" TargetMode="External"/><Relationship Id="rId1" Type="http://schemas.openxmlformats.org/officeDocument/2006/relationships/hyperlink" Target="https://prnt.sc/ByQ2fv16Ry7f" TargetMode="External"/><Relationship Id="rId2" Type="http://schemas.openxmlformats.org/officeDocument/2006/relationships/hyperlink" Target="https://prnt.sc/y4SRn6UHkskR" TargetMode="External"/><Relationship Id="rId3" Type="http://schemas.openxmlformats.org/officeDocument/2006/relationships/hyperlink" Target="https://prnt.sc/bVel-3aUGj5T" TargetMode="External"/><Relationship Id="rId4" Type="http://schemas.openxmlformats.org/officeDocument/2006/relationships/hyperlink" Target="https://prnt.sc/iMd0AhThTFCh" TargetMode="External"/><Relationship Id="rId9" Type="http://schemas.openxmlformats.org/officeDocument/2006/relationships/hyperlink" Target="https://prnt.sc/dWIpm_kEQNzG" TargetMode="External"/><Relationship Id="rId15" Type="http://schemas.openxmlformats.org/officeDocument/2006/relationships/hyperlink" Target="https://prnt.sc/6iMhVHkisV1b" TargetMode="External"/><Relationship Id="rId14" Type="http://schemas.openxmlformats.org/officeDocument/2006/relationships/hyperlink" Target="https://prnt.sc/lRJGMq2E0lkH" TargetMode="External"/><Relationship Id="rId17" Type="http://schemas.openxmlformats.org/officeDocument/2006/relationships/hyperlink" Target="https://prnt.sc/CL9tQ8A62DEA" TargetMode="External"/><Relationship Id="rId16" Type="http://schemas.openxmlformats.org/officeDocument/2006/relationships/hyperlink" Target="https://prnt.sc/-IDIJCWnqp8T" TargetMode="External"/><Relationship Id="rId5" Type="http://schemas.openxmlformats.org/officeDocument/2006/relationships/hyperlink" Target="https://prnt.sc/8OhYs9BBRBD2" TargetMode="External"/><Relationship Id="rId19" Type="http://schemas.openxmlformats.org/officeDocument/2006/relationships/hyperlink" Target="https://prnt.sc/aKxACF5hYVam" TargetMode="External"/><Relationship Id="rId6" Type="http://schemas.openxmlformats.org/officeDocument/2006/relationships/hyperlink" Target="https://prnt.sc/uz3RYklYPqIA" TargetMode="External"/><Relationship Id="rId18" Type="http://schemas.openxmlformats.org/officeDocument/2006/relationships/hyperlink" Target="https://prnt.sc/hakZkK7n6a4r" TargetMode="External"/><Relationship Id="rId7" Type="http://schemas.openxmlformats.org/officeDocument/2006/relationships/hyperlink" Target="https://prnt.sc/xnrx9UcoFLQZ" TargetMode="External"/><Relationship Id="rId8" Type="http://schemas.openxmlformats.org/officeDocument/2006/relationships/hyperlink" Target="https://prnt.sc/i-8y3EWWLtAc"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31.5"/>
    <col customWidth="1" min="5" max="5" width="12.5"/>
    <col customWidth="1" min="6" max="6" width="39.5"/>
    <col customWidth="1" min="7" max="7" width="15.75"/>
    <col customWidth="1" min="8" max="8" width="32.38"/>
    <col customWidth="1" min="9" max="9" width="23.13"/>
    <col customWidth="1" min="14" max="14" width="25.63"/>
  </cols>
  <sheetData>
    <row r="1" ht="15.75" customHeight="1">
      <c r="A1" s="1" t="s">
        <v>0</v>
      </c>
      <c r="B1" s="2"/>
      <c r="C1" s="3" t="s">
        <v>1</v>
      </c>
      <c r="D1" s="4" t="s">
        <v>2</v>
      </c>
      <c r="E1" s="5"/>
      <c r="F1" s="4" t="s">
        <v>3</v>
      </c>
      <c r="G1" s="5"/>
      <c r="H1" s="7"/>
      <c r="I1" s="9"/>
      <c r="J1" s="1" t="s">
        <v>4</v>
      </c>
      <c r="K1" s="11"/>
      <c r="L1" s="13" t="s">
        <v>5</v>
      </c>
      <c r="M1" s="2"/>
      <c r="N1" s="1" t="s">
        <v>6</v>
      </c>
      <c r="O1" s="2"/>
      <c r="P1" s="16"/>
      <c r="Q1" s="2"/>
      <c r="R1" s="9"/>
      <c r="S1" s="17"/>
      <c r="T1" s="17"/>
      <c r="U1" s="17"/>
      <c r="V1" s="17"/>
      <c r="W1" s="17"/>
      <c r="X1" s="17"/>
      <c r="Y1" s="17"/>
      <c r="Z1" s="17"/>
      <c r="AA1" s="17"/>
      <c r="AB1" s="17"/>
      <c r="AC1" s="17"/>
      <c r="AD1" s="17"/>
      <c r="AE1" s="17"/>
      <c r="AF1" s="17"/>
    </row>
    <row r="2" ht="15.75" customHeight="1">
      <c r="A2" s="1" t="s">
        <v>7</v>
      </c>
      <c r="B2" s="2"/>
      <c r="C2" s="28"/>
      <c r="D2" s="4" t="s">
        <v>8</v>
      </c>
      <c r="E2" s="5"/>
      <c r="F2" s="4" t="s">
        <v>9</v>
      </c>
      <c r="G2" s="5"/>
      <c r="H2" s="7"/>
      <c r="I2" s="9"/>
      <c r="J2" s="20" t="s">
        <v>10</v>
      </c>
      <c r="K2" s="25">
        <f>COUNTIF(J7:J998, "PASS")</f>
        <v>19</v>
      </c>
      <c r="L2" s="26" t="s">
        <v>11</v>
      </c>
      <c r="M2" s="25">
        <f>COUNTIF(L7:L998, "Critical")</f>
        <v>0</v>
      </c>
      <c r="N2" s="30" t="s">
        <v>12</v>
      </c>
      <c r="O2" s="25">
        <f>COUNTIF(M6:M997, "High")</f>
        <v>0</v>
      </c>
      <c r="P2" s="16"/>
      <c r="Q2" s="2"/>
      <c r="R2" s="9"/>
      <c r="S2" s="17"/>
      <c r="T2" s="17"/>
      <c r="U2" s="17"/>
      <c r="V2" s="17"/>
      <c r="W2" s="17"/>
      <c r="X2" s="17"/>
      <c r="Y2" s="17"/>
      <c r="Z2" s="17"/>
      <c r="AA2" s="17"/>
      <c r="AB2" s="17"/>
      <c r="AC2" s="17"/>
      <c r="AD2" s="17"/>
      <c r="AE2" s="17"/>
      <c r="AF2" s="17"/>
    </row>
    <row r="3" ht="15.75" customHeight="1">
      <c r="A3" s="1" t="s">
        <v>13</v>
      </c>
      <c r="B3" s="2"/>
      <c r="C3" s="37" t="s">
        <v>19</v>
      </c>
      <c r="D3" s="4" t="s">
        <v>14</v>
      </c>
      <c r="E3" s="34" t="s">
        <v>16</v>
      </c>
      <c r="F3" s="7"/>
      <c r="G3" s="9"/>
      <c r="H3" s="7"/>
      <c r="I3" s="9"/>
      <c r="J3" s="26" t="s">
        <v>15</v>
      </c>
      <c r="K3" s="25">
        <f>COUNTIF(J7:J998, "FAIL")</f>
        <v>4</v>
      </c>
      <c r="L3" s="30" t="s">
        <v>12</v>
      </c>
      <c r="M3" s="25">
        <f>COUNTIF(L7:L998, "High")</f>
        <v>0</v>
      </c>
      <c r="N3" s="36" t="s">
        <v>17</v>
      </c>
      <c r="O3" s="25">
        <f>COUNTIF(M6:M997, "Medium")</f>
        <v>0</v>
      </c>
      <c r="P3" s="16"/>
      <c r="Q3" s="2"/>
      <c r="R3" s="9"/>
      <c r="S3" s="17"/>
      <c r="T3" s="17"/>
      <c r="U3" s="17"/>
      <c r="V3" s="17"/>
      <c r="W3" s="17"/>
      <c r="X3" s="17"/>
      <c r="Y3" s="17"/>
      <c r="Z3" s="17"/>
      <c r="AA3" s="17"/>
      <c r="AB3" s="17"/>
      <c r="AC3" s="17"/>
      <c r="AD3" s="17"/>
      <c r="AE3" s="17"/>
      <c r="AF3" s="17"/>
    </row>
    <row r="4" ht="15.75" customHeight="1">
      <c r="A4" s="1" t="s">
        <v>18</v>
      </c>
      <c r="B4" s="2"/>
      <c r="C4" s="44"/>
      <c r="D4" s="4" t="s">
        <v>20</v>
      </c>
      <c r="E4" s="9"/>
      <c r="F4" s="7"/>
      <c r="G4" s="9"/>
      <c r="H4" s="7"/>
      <c r="I4" s="9"/>
      <c r="J4" s="39" t="s">
        <v>21</v>
      </c>
      <c r="K4" s="25">
        <f>COUNTIF(J7:J998, "NT")</f>
        <v>0</v>
      </c>
      <c r="L4" s="36" t="s">
        <v>17</v>
      </c>
      <c r="M4" s="25">
        <f>COUNTIF(L7:L998, "Medium")</f>
        <v>0</v>
      </c>
      <c r="N4" s="42" t="s">
        <v>22</v>
      </c>
      <c r="O4" s="25">
        <f>COUNTIF(M6:M998, "Low")</f>
        <v>0</v>
      </c>
      <c r="P4" s="16"/>
      <c r="Q4" s="2"/>
      <c r="R4" s="9"/>
      <c r="S4" s="17"/>
      <c r="T4" s="17"/>
      <c r="U4" s="17"/>
      <c r="V4" s="17"/>
      <c r="W4" s="17"/>
      <c r="X4" s="17"/>
      <c r="Y4" s="17"/>
      <c r="Z4" s="17"/>
      <c r="AA4" s="17"/>
      <c r="AB4" s="17"/>
      <c r="AC4" s="17"/>
      <c r="AD4" s="17"/>
      <c r="AE4" s="17"/>
      <c r="AF4" s="17"/>
    </row>
    <row r="5" ht="15.75" customHeight="1">
      <c r="A5" s="1" t="s">
        <v>23</v>
      </c>
      <c r="B5" s="2"/>
      <c r="C5" s="44"/>
      <c r="D5" s="4" t="s">
        <v>24</v>
      </c>
      <c r="E5" s="34">
        <v>19685.0</v>
      </c>
      <c r="F5" s="7"/>
      <c r="G5" s="9"/>
      <c r="H5" s="7"/>
      <c r="I5" s="9"/>
      <c r="J5" s="45" t="s">
        <v>25</v>
      </c>
      <c r="K5" s="25">
        <f>SUM(K2,K3,K4)</f>
        <v>23</v>
      </c>
      <c r="L5" s="42" t="s">
        <v>22</v>
      </c>
      <c r="M5" s="25">
        <f>COUNTIF(L7:L999, "Low")</f>
        <v>0</v>
      </c>
      <c r="N5" s="47" t="s">
        <v>26</v>
      </c>
      <c r="O5" s="25">
        <f>COUNTIF(O7:O998, "Accepted")</f>
        <v>0</v>
      </c>
      <c r="P5" s="16"/>
      <c r="Q5" s="2"/>
      <c r="R5" s="9"/>
      <c r="S5" s="17"/>
      <c r="T5" s="17"/>
      <c r="U5" s="17"/>
      <c r="V5" s="17"/>
      <c r="W5" s="17"/>
      <c r="X5" s="17"/>
      <c r="Y5" s="17"/>
      <c r="Z5" s="17"/>
      <c r="AA5" s="17"/>
      <c r="AB5" s="17"/>
      <c r="AC5" s="17"/>
      <c r="AD5" s="17"/>
      <c r="AE5" s="17"/>
      <c r="AF5" s="17"/>
    </row>
    <row r="6" ht="15.75" customHeight="1">
      <c r="A6" s="49" t="s">
        <v>27</v>
      </c>
      <c r="B6" s="49" t="s">
        <v>28</v>
      </c>
      <c r="C6" s="49" t="s">
        <v>29</v>
      </c>
      <c r="D6" s="49" t="s">
        <v>30</v>
      </c>
      <c r="E6" s="49" t="s">
        <v>31</v>
      </c>
      <c r="F6" s="49" t="s">
        <v>32</v>
      </c>
      <c r="G6" s="49" t="s">
        <v>33</v>
      </c>
      <c r="H6" s="49" t="s">
        <v>34</v>
      </c>
      <c r="I6" s="49" t="s">
        <v>35</v>
      </c>
      <c r="J6" s="50" t="s">
        <v>36</v>
      </c>
      <c r="K6" s="50" t="s">
        <v>37</v>
      </c>
      <c r="L6" s="49" t="s">
        <v>5</v>
      </c>
      <c r="M6" s="49" t="s">
        <v>6</v>
      </c>
      <c r="N6" s="49" t="s">
        <v>38</v>
      </c>
      <c r="O6" s="50" t="s">
        <v>39</v>
      </c>
      <c r="P6" s="50" t="s">
        <v>40</v>
      </c>
      <c r="Q6" s="50" t="s">
        <v>41</v>
      </c>
      <c r="R6" s="50" t="s">
        <v>42</v>
      </c>
      <c r="S6" s="17"/>
      <c r="T6" s="17"/>
      <c r="U6" s="17"/>
      <c r="V6" s="17"/>
      <c r="W6" s="17"/>
      <c r="X6" s="17"/>
      <c r="Y6" s="17"/>
      <c r="Z6" s="17"/>
      <c r="AA6" s="17"/>
      <c r="AB6" s="17"/>
      <c r="AC6" s="17"/>
      <c r="AD6" s="17"/>
      <c r="AE6" s="17"/>
      <c r="AF6" s="17"/>
    </row>
    <row r="7" ht="15.75" customHeight="1">
      <c r="A7" s="9"/>
      <c r="B7" s="9"/>
      <c r="C7" s="3">
        <v>1.0</v>
      </c>
      <c r="D7" s="9" t="s">
        <v>64</v>
      </c>
      <c r="E7" s="9"/>
      <c r="F7" s="9" t="s">
        <v>68</v>
      </c>
      <c r="G7" s="24" t="s">
        <v>71</v>
      </c>
      <c r="H7" s="9" t="s">
        <v>72</v>
      </c>
      <c r="I7" s="9" t="s">
        <v>73</v>
      </c>
      <c r="J7" s="52" t="s">
        <v>10</v>
      </c>
      <c r="K7" s="9"/>
      <c r="L7" s="52"/>
      <c r="M7" s="52"/>
      <c r="N7" s="56" t="s">
        <v>80</v>
      </c>
      <c r="O7" s="52"/>
      <c r="P7" s="9"/>
      <c r="Q7" s="9"/>
      <c r="R7" s="52"/>
      <c r="S7" s="17"/>
      <c r="T7" s="17"/>
      <c r="U7" s="17"/>
      <c r="V7" s="17"/>
      <c r="W7" s="17"/>
      <c r="X7" s="17"/>
      <c r="Y7" s="17"/>
      <c r="Z7" s="17"/>
      <c r="AA7" s="17"/>
      <c r="AB7" s="17"/>
      <c r="AC7" s="17"/>
      <c r="AD7" s="17"/>
      <c r="AE7" s="17"/>
      <c r="AF7" s="17"/>
    </row>
    <row r="8" ht="15.75" customHeight="1">
      <c r="A8" s="9"/>
      <c r="B8" s="9"/>
      <c r="C8" s="3">
        <v>2.0</v>
      </c>
      <c r="D8" s="9" t="s">
        <v>101</v>
      </c>
      <c r="E8" s="9"/>
      <c r="F8" s="9" t="s">
        <v>102</v>
      </c>
      <c r="G8" s="9" t="s">
        <v>103</v>
      </c>
      <c r="H8" s="9" t="s">
        <v>104</v>
      </c>
      <c r="I8" s="9" t="s">
        <v>73</v>
      </c>
      <c r="J8" s="52" t="s">
        <v>10</v>
      </c>
      <c r="K8" s="9"/>
      <c r="L8" s="52"/>
      <c r="M8" s="52"/>
      <c r="N8" s="56" t="s">
        <v>109</v>
      </c>
      <c r="O8" s="52"/>
      <c r="P8" s="9"/>
      <c r="Q8" s="9"/>
      <c r="R8" s="9"/>
      <c r="S8" s="17"/>
      <c r="T8" s="17"/>
      <c r="U8" s="17"/>
      <c r="V8" s="17"/>
      <c r="W8" s="17"/>
      <c r="X8" s="17"/>
      <c r="Y8" s="17"/>
      <c r="Z8" s="17"/>
      <c r="AA8" s="17"/>
      <c r="AB8" s="17"/>
      <c r="AC8" s="17"/>
      <c r="AD8" s="17"/>
      <c r="AE8" s="17"/>
      <c r="AF8" s="17"/>
    </row>
    <row r="9" ht="15.75" customHeight="1">
      <c r="A9" s="9"/>
      <c r="B9" s="9"/>
      <c r="C9" s="3">
        <v>3.0</v>
      </c>
      <c r="D9" s="9" t="s">
        <v>120</v>
      </c>
      <c r="E9" s="9"/>
      <c r="F9" s="9" t="s">
        <v>121</v>
      </c>
      <c r="G9" s="9" t="s">
        <v>122</v>
      </c>
      <c r="H9" s="9" t="s">
        <v>123</v>
      </c>
      <c r="I9" s="9" t="s">
        <v>73</v>
      </c>
      <c r="J9" s="52" t="s">
        <v>10</v>
      </c>
      <c r="K9" s="9"/>
      <c r="L9" s="52"/>
      <c r="M9" s="52"/>
      <c r="N9" s="56" t="s">
        <v>124</v>
      </c>
      <c r="O9" s="9"/>
      <c r="P9" s="9"/>
      <c r="Q9" s="9"/>
      <c r="R9" s="9"/>
      <c r="S9" s="17"/>
      <c r="T9" s="17"/>
      <c r="U9" s="17"/>
      <c r="V9" s="17"/>
      <c r="W9" s="17"/>
      <c r="X9" s="17"/>
      <c r="Y9" s="17"/>
      <c r="Z9" s="17"/>
      <c r="AA9" s="17"/>
      <c r="AB9" s="17"/>
      <c r="AC9" s="17"/>
      <c r="AD9" s="17"/>
      <c r="AE9" s="17"/>
      <c r="AF9" s="17"/>
    </row>
    <row r="10" ht="15.75" customHeight="1">
      <c r="A10" s="9"/>
      <c r="B10" s="9"/>
      <c r="C10" s="3">
        <v>4.0</v>
      </c>
      <c r="D10" s="9" t="s">
        <v>126</v>
      </c>
      <c r="E10" s="9"/>
      <c r="F10" s="9" t="s">
        <v>127</v>
      </c>
      <c r="G10" s="9" t="s">
        <v>128</v>
      </c>
      <c r="H10" s="9" t="s">
        <v>129</v>
      </c>
      <c r="I10" s="9" t="s">
        <v>73</v>
      </c>
      <c r="J10" s="52" t="s">
        <v>10</v>
      </c>
      <c r="K10" s="9"/>
      <c r="L10" s="52"/>
      <c r="M10" s="9"/>
      <c r="N10" s="56" t="s">
        <v>130</v>
      </c>
      <c r="O10" s="9"/>
      <c r="P10" s="9"/>
      <c r="Q10" s="9"/>
      <c r="R10" s="9"/>
      <c r="S10" s="17"/>
      <c r="T10" s="17"/>
      <c r="U10" s="17"/>
      <c r="V10" s="17"/>
      <c r="W10" s="17"/>
      <c r="X10" s="17"/>
      <c r="Y10" s="17"/>
      <c r="Z10" s="17"/>
      <c r="AA10" s="17"/>
      <c r="AB10" s="17"/>
      <c r="AC10" s="17"/>
      <c r="AD10" s="17"/>
      <c r="AE10" s="17"/>
      <c r="AF10" s="17"/>
    </row>
    <row r="11" ht="15.75" customHeight="1">
      <c r="A11" s="9"/>
      <c r="B11" s="9"/>
      <c r="C11" s="3">
        <v>5.0</v>
      </c>
      <c r="D11" s="9" t="s">
        <v>138</v>
      </c>
      <c r="E11" s="9"/>
      <c r="F11" s="9" t="s">
        <v>139</v>
      </c>
      <c r="G11" s="9" t="s">
        <v>140</v>
      </c>
      <c r="H11" s="9" t="s">
        <v>141</v>
      </c>
      <c r="I11" s="9" t="s">
        <v>142</v>
      </c>
      <c r="J11" s="52" t="s">
        <v>10</v>
      </c>
      <c r="K11" s="9"/>
      <c r="L11" s="9"/>
      <c r="M11" s="9"/>
      <c r="N11" s="56" t="s">
        <v>143</v>
      </c>
      <c r="O11" s="9"/>
      <c r="P11" s="9"/>
      <c r="Q11" s="9"/>
      <c r="R11" s="9"/>
      <c r="S11" s="17"/>
      <c r="T11" s="17"/>
      <c r="U11" s="17"/>
      <c r="V11" s="17"/>
      <c r="W11" s="17"/>
      <c r="X11" s="17"/>
      <c r="Y11" s="17"/>
      <c r="Z11" s="17"/>
      <c r="AA11" s="17"/>
      <c r="AB11" s="17"/>
      <c r="AC11" s="17"/>
      <c r="AD11" s="17"/>
      <c r="AE11" s="17"/>
      <c r="AF11" s="17"/>
    </row>
    <row r="12" ht="15.75" customHeight="1">
      <c r="A12" s="34"/>
      <c r="B12" s="34"/>
      <c r="C12" s="34">
        <v>6.0</v>
      </c>
      <c r="D12" s="58" t="s">
        <v>147</v>
      </c>
      <c r="E12" s="58"/>
      <c r="F12" s="58" t="s">
        <v>148</v>
      </c>
      <c r="G12" s="58" t="s">
        <v>149</v>
      </c>
      <c r="H12" s="58" t="s">
        <v>150</v>
      </c>
      <c r="I12" s="9" t="s">
        <v>142</v>
      </c>
      <c r="J12" s="52" t="s">
        <v>10</v>
      </c>
      <c r="K12" s="34"/>
      <c r="L12" s="34"/>
      <c r="M12" s="34"/>
      <c r="N12" s="59" t="s">
        <v>151</v>
      </c>
      <c r="O12" s="34"/>
      <c r="P12" s="34"/>
      <c r="Q12" s="34"/>
      <c r="R12" s="34"/>
      <c r="S12" s="60"/>
      <c r="T12" s="60"/>
      <c r="U12" s="60"/>
      <c r="V12" s="60"/>
      <c r="W12" s="60"/>
      <c r="X12" s="60"/>
      <c r="Y12" s="60"/>
      <c r="Z12" s="60"/>
      <c r="AA12" s="60"/>
      <c r="AB12" s="60"/>
      <c r="AC12" s="60"/>
      <c r="AD12" s="60"/>
      <c r="AE12" s="60"/>
      <c r="AF12" s="60"/>
    </row>
    <row r="13" ht="15.75" customHeight="1">
      <c r="A13" s="9"/>
      <c r="B13" s="9"/>
      <c r="C13" s="34">
        <v>7.0</v>
      </c>
      <c r="D13" s="9" t="s">
        <v>159</v>
      </c>
      <c r="E13" s="9"/>
      <c r="F13" s="9" t="s">
        <v>160</v>
      </c>
      <c r="G13" s="9" t="s">
        <v>161</v>
      </c>
      <c r="H13" s="9" t="s">
        <v>162</v>
      </c>
      <c r="I13" s="9" t="s">
        <v>142</v>
      </c>
      <c r="J13" s="52" t="s">
        <v>10</v>
      </c>
      <c r="K13" s="9"/>
      <c r="L13" s="9"/>
      <c r="M13" s="9"/>
      <c r="N13" s="56" t="s">
        <v>173</v>
      </c>
      <c r="O13" s="9"/>
      <c r="P13" s="9"/>
      <c r="Q13" s="9"/>
      <c r="R13" s="9"/>
      <c r="S13" s="17"/>
      <c r="T13" s="17"/>
      <c r="U13" s="17"/>
      <c r="V13" s="17"/>
      <c r="W13" s="17"/>
      <c r="X13" s="17"/>
      <c r="Y13" s="17"/>
      <c r="Z13" s="17"/>
      <c r="AA13" s="17"/>
      <c r="AB13" s="17"/>
      <c r="AC13" s="17"/>
      <c r="AD13" s="17"/>
      <c r="AE13" s="17"/>
      <c r="AF13" s="17"/>
    </row>
    <row r="14" ht="15.75" customHeight="1">
      <c r="A14" s="9"/>
      <c r="B14" s="9"/>
      <c r="C14" s="34">
        <v>8.0</v>
      </c>
      <c r="D14" s="9" t="s">
        <v>176</v>
      </c>
      <c r="E14" s="9"/>
      <c r="F14" s="9" t="s">
        <v>177</v>
      </c>
      <c r="G14" s="9" t="s">
        <v>178</v>
      </c>
      <c r="H14" s="9" t="s">
        <v>179</v>
      </c>
      <c r="I14" s="9" t="s">
        <v>142</v>
      </c>
      <c r="J14" s="52" t="s">
        <v>10</v>
      </c>
      <c r="K14" s="9"/>
      <c r="L14" s="9"/>
      <c r="M14" s="9"/>
      <c r="N14" s="56" t="s">
        <v>188</v>
      </c>
      <c r="O14" s="9"/>
      <c r="P14" s="9"/>
      <c r="Q14" s="9"/>
      <c r="R14" s="9"/>
      <c r="S14" s="17"/>
      <c r="T14" s="17"/>
      <c r="U14" s="17"/>
      <c r="V14" s="17"/>
      <c r="W14" s="17"/>
      <c r="X14" s="17"/>
      <c r="Y14" s="17"/>
      <c r="Z14" s="17"/>
      <c r="AA14" s="17"/>
      <c r="AB14" s="17"/>
      <c r="AC14" s="17"/>
      <c r="AD14" s="17"/>
      <c r="AE14" s="17"/>
      <c r="AF14" s="17"/>
    </row>
    <row r="15" ht="15.75" customHeight="1">
      <c r="A15" s="9"/>
      <c r="B15" s="9"/>
      <c r="C15" s="34">
        <v>9.0</v>
      </c>
      <c r="D15" s="9" t="s">
        <v>192</v>
      </c>
      <c r="E15" s="9"/>
      <c r="F15" s="9" t="s">
        <v>196</v>
      </c>
      <c r="G15" s="9" t="s">
        <v>198</v>
      </c>
      <c r="H15" s="9" t="s">
        <v>200</v>
      </c>
      <c r="I15" s="9" t="s">
        <v>142</v>
      </c>
      <c r="J15" s="52" t="s">
        <v>10</v>
      </c>
      <c r="K15" s="9"/>
      <c r="L15" s="9"/>
      <c r="M15" s="9"/>
      <c r="N15" s="56" t="s">
        <v>206</v>
      </c>
      <c r="O15" s="9"/>
      <c r="P15" s="9"/>
      <c r="Q15" s="9"/>
      <c r="R15" s="9"/>
      <c r="S15" s="17"/>
      <c r="T15" s="17"/>
      <c r="U15" s="17"/>
      <c r="V15" s="17"/>
      <c r="W15" s="17"/>
      <c r="X15" s="17"/>
      <c r="Y15" s="17"/>
      <c r="Z15" s="17"/>
      <c r="AA15" s="17"/>
      <c r="AB15" s="17"/>
      <c r="AC15" s="17"/>
      <c r="AD15" s="17"/>
      <c r="AE15" s="17"/>
      <c r="AF15" s="17"/>
    </row>
    <row r="16" ht="15.75" customHeight="1">
      <c r="A16" s="9"/>
      <c r="B16" s="9"/>
      <c r="C16" s="34">
        <v>10.0</v>
      </c>
      <c r="D16" s="9" t="s">
        <v>214</v>
      </c>
      <c r="E16" s="9"/>
      <c r="F16" s="9" t="s">
        <v>215</v>
      </c>
      <c r="G16" s="9" t="s">
        <v>216</v>
      </c>
      <c r="H16" s="9" t="s">
        <v>217</v>
      </c>
      <c r="I16" s="9" t="s">
        <v>142</v>
      </c>
      <c r="J16" s="52" t="s">
        <v>10</v>
      </c>
      <c r="K16" s="9"/>
      <c r="L16" s="9"/>
      <c r="M16" s="9"/>
      <c r="N16" s="56" t="s">
        <v>221</v>
      </c>
      <c r="O16" s="9"/>
      <c r="P16" s="9" t="s">
        <v>229</v>
      </c>
      <c r="Q16" s="9"/>
      <c r="R16" s="9"/>
      <c r="S16" s="17"/>
      <c r="T16" s="17"/>
      <c r="U16" s="17"/>
      <c r="V16" s="17"/>
      <c r="W16" s="17"/>
      <c r="X16" s="17"/>
      <c r="Y16" s="17"/>
      <c r="Z16" s="17"/>
      <c r="AA16" s="17"/>
      <c r="AB16" s="17"/>
      <c r="AC16" s="17"/>
      <c r="AD16" s="17"/>
      <c r="AE16" s="17"/>
      <c r="AF16" s="17"/>
    </row>
    <row r="17" ht="15.75" customHeight="1">
      <c r="A17" s="9"/>
      <c r="B17" s="9"/>
      <c r="C17" s="34">
        <v>11.0</v>
      </c>
      <c r="D17" s="9" t="s">
        <v>233</v>
      </c>
      <c r="E17" s="9"/>
      <c r="F17" s="9" t="s">
        <v>234</v>
      </c>
      <c r="G17" s="9" t="s">
        <v>178</v>
      </c>
      <c r="H17" s="9" t="s">
        <v>235</v>
      </c>
      <c r="I17" s="9" t="s">
        <v>142</v>
      </c>
      <c r="J17" s="52" t="s">
        <v>10</v>
      </c>
      <c r="K17" s="9"/>
      <c r="L17" s="9"/>
      <c r="M17" s="9"/>
      <c r="N17" s="56" t="s">
        <v>243</v>
      </c>
      <c r="O17" s="9"/>
      <c r="P17" s="9"/>
      <c r="Q17" s="9"/>
      <c r="R17" s="9"/>
      <c r="S17" s="17"/>
      <c r="T17" s="17"/>
      <c r="U17" s="17"/>
      <c r="V17" s="17"/>
      <c r="W17" s="17"/>
      <c r="X17" s="17"/>
      <c r="Y17" s="17"/>
      <c r="Z17" s="17"/>
      <c r="AA17" s="17"/>
      <c r="AB17" s="17"/>
      <c r="AC17" s="17"/>
      <c r="AD17" s="17"/>
      <c r="AE17" s="17"/>
      <c r="AF17" s="17"/>
    </row>
    <row r="18" ht="15.75" customHeight="1">
      <c r="A18" s="9"/>
      <c r="B18" s="9"/>
      <c r="C18" s="34">
        <v>12.0</v>
      </c>
      <c r="D18" s="9" t="s">
        <v>246</v>
      </c>
      <c r="E18" s="9"/>
      <c r="F18" s="9" t="s">
        <v>248</v>
      </c>
      <c r="G18" s="9" t="s">
        <v>198</v>
      </c>
      <c r="H18" s="9" t="s">
        <v>249</v>
      </c>
      <c r="I18" s="9" t="s">
        <v>142</v>
      </c>
      <c r="J18" s="52" t="s">
        <v>10</v>
      </c>
      <c r="K18" s="9"/>
      <c r="L18" s="9"/>
      <c r="M18" s="9"/>
      <c r="N18" s="56" t="s">
        <v>252</v>
      </c>
      <c r="O18" s="9"/>
      <c r="P18" s="9"/>
      <c r="Q18" s="9"/>
      <c r="R18" s="9"/>
      <c r="S18" s="17" t="s">
        <v>229</v>
      </c>
      <c r="T18" s="17"/>
      <c r="U18" s="17"/>
      <c r="V18" s="17"/>
      <c r="W18" s="17"/>
      <c r="X18" s="17"/>
      <c r="Y18" s="17"/>
      <c r="Z18" s="17"/>
      <c r="AA18" s="17"/>
      <c r="AB18" s="17"/>
      <c r="AC18" s="17"/>
      <c r="AD18" s="17"/>
      <c r="AE18" s="17"/>
      <c r="AF18" s="17"/>
    </row>
    <row r="19" ht="15.75" customHeight="1">
      <c r="A19" s="9"/>
      <c r="B19" s="9"/>
      <c r="C19" s="34">
        <v>13.0</v>
      </c>
      <c r="D19" s="9" t="s">
        <v>260</v>
      </c>
      <c r="E19" s="9"/>
      <c r="F19" s="9" t="s">
        <v>261</v>
      </c>
      <c r="G19" s="9" t="s">
        <v>262</v>
      </c>
      <c r="H19" s="9" t="s">
        <v>263</v>
      </c>
      <c r="I19" s="9" t="s">
        <v>142</v>
      </c>
      <c r="J19" s="52" t="s">
        <v>10</v>
      </c>
      <c r="K19" s="9"/>
      <c r="L19" s="9"/>
      <c r="M19" s="9"/>
      <c r="N19" s="56" t="s">
        <v>266</v>
      </c>
      <c r="O19" s="9"/>
      <c r="P19" s="9"/>
      <c r="Q19" s="9"/>
      <c r="R19" s="9"/>
      <c r="S19" s="17"/>
      <c r="T19" s="17"/>
      <c r="U19" s="17"/>
      <c r="V19" s="17"/>
      <c r="W19" s="17"/>
      <c r="X19" s="17"/>
      <c r="Y19" s="17"/>
      <c r="Z19" s="17"/>
      <c r="AA19" s="17"/>
      <c r="AB19" s="17"/>
      <c r="AC19" s="17"/>
      <c r="AD19" s="17"/>
      <c r="AE19" s="17"/>
      <c r="AF19" s="17"/>
    </row>
    <row r="20" ht="15.75" customHeight="1">
      <c r="A20" s="9"/>
      <c r="B20" s="9"/>
      <c r="C20" s="34">
        <v>14.0</v>
      </c>
      <c r="D20" s="9" t="s">
        <v>275</v>
      </c>
      <c r="E20" s="9"/>
      <c r="F20" s="9" t="s">
        <v>276</v>
      </c>
      <c r="G20" s="9" t="s">
        <v>277</v>
      </c>
      <c r="H20" s="9" t="s">
        <v>278</v>
      </c>
      <c r="I20" s="9" t="s">
        <v>142</v>
      </c>
      <c r="J20" s="52" t="s">
        <v>10</v>
      </c>
      <c r="K20" s="9"/>
      <c r="L20" s="9"/>
      <c r="M20" s="9"/>
      <c r="N20" s="56" t="s">
        <v>295</v>
      </c>
      <c r="O20" s="9"/>
      <c r="P20" s="9"/>
      <c r="Q20" s="9"/>
      <c r="R20" s="9"/>
      <c r="S20" s="17"/>
      <c r="T20" s="17"/>
      <c r="U20" s="17"/>
      <c r="V20" s="17"/>
      <c r="W20" s="17"/>
      <c r="X20" s="17"/>
      <c r="Y20" s="17"/>
      <c r="Z20" s="17"/>
      <c r="AA20" s="17"/>
      <c r="AB20" s="17"/>
      <c r="AC20" s="17"/>
      <c r="AD20" s="17"/>
      <c r="AE20" s="17"/>
      <c r="AF20" s="17"/>
    </row>
    <row r="21" ht="15.75" customHeight="1">
      <c r="A21" s="9"/>
      <c r="B21" s="9"/>
      <c r="C21" s="34">
        <v>15.0</v>
      </c>
      <c r="D21" s="9" t="s">
        <v>301</v>
      </c>
      <c r="E21" s="9"/>
      <c r="F21" s="9" t="s">
        <v>302</v>
      </c>
      <c r="G21" s="9"/>
      <c r="H21" s="9" t="s">
        <v>303</v>
      </c>
      <c r="I21" s="9" t="s">
        <v>304</v>
      </c>
      <c r="J21" s="34" t="s">
        <v>15</v>
      </c>
      <c r="K21" s="9"/>
      <c r="L21" s="9"/>
      <c r="M21" s="9"/>
      <c r="N21" s="56" t="s">
        <v>307</v>
      </c>
      <c r="O21" s="9"/>
      <c r="P21" s="9"/>
      <c r="Q21" s="9"/>
      <c r="R21" s="9"/>
      <c r="S21" s="17"/>
      <c r="T21" s="17"/>
      <c r="U21" s="17"/>
      <c r="V21" s="17"/>
      <c r="W21" s="17"/>
      <c r="X21" s="17"/>
      <c r="Y21" s="17"/>
      <c r="Z21" s="17"/>
      <c r="AA21" s="17"/>
      <c r="AB21" s="17"/>
      <c r="AC21" s="17"/>
      <c r="AD21" s="17"/>
      <c r="AE21" s="17"/>
      <c r="AF21" s="17"/>
    </row>
    <row r="22" ht="15.75" customHeight="1">
      <c r="A22" s="9"/>
      <c r="B22" s="9"/>
      <c r="C22" s="34">
        <v>16.0</v>
      </c>
      <c r="D22" s="9" t="s">
        <v>313</v>
      </c>
      <c r="E22" s="9"/>
      <c r="F22" s="9" t="s">
        <v>314</v>
      </c>
      <c r="G22" s="9"/>
      <c r="H22" s="9" t="s">
        <v>315</v>
      </c>
      <c r="I22" s="9" t="s">
        <v>142</v>
      </c>
      <c r="J22" s="34" t="s">
        <v>10</v>
      </c>
      <c r="K22" s="9"/>
      <c r="L22" s="9"/>
      <c r="M22" s="9"/>
      <c r="N22" s="9"/>
      <c r="O22" s="9"/>
      <c r="P22" s="9"/>
      <c r="Q22" s="9"/>
      <c r="R22" s="9"/>
      <c r="S22" s="17"/>
      <c r="T22" s="17"/>
      <c r="U22" s="17"/>
      <c r="V22" s="17"/>
      <c r="W22" s="17"/>
      <c r="X22" s="17"/>
      <c r="Y22" s="17"/>
      <c r="Z22" s="17"/>
      <c r="AA22" s="17"/>
      <c r="AB22" s="17"/>
      <c r="AC22" s="17"/>
      <c r="AD22" s="17"/>
      <c r="AE22" s="17"/>
      <c r="AF22" s="17"/>
    </row>
    <row r="23" ht="15.75" customHeight="1">
      <c r="A23" s="9"/>
      <c r="B23" s="9"/>
      <c r="C23" s="34">
        <v>17.0</v>
      </c>
      <c r="D23" s="9" t="s">
        <v>316</v>
      </c>
      <c r="E23" s="9"/>
      <c r="F23" s="9" t="s">
        <v>317</v>
      </c>
      <c r="G23" s="9" t="s">
        <v>318</v>
      </c>
      <c r="H23" s="9" t="s">
        <v>319</v>
      </c>
      <c r="I23" s="9" t="s">
        <v>142</v>
      </c>
      <c r="J23" s="34" t="s">
        <v>10</v>
      </c>
      <c r="K23" s="9"/>
      <c r="L23" s="9"/>
      <c r="M23" s="9"/>
      <c r="N23" s="56" t="s">
        <v>329</v>
      </c>
      <c r="O23" s="9"/>
      <c r="P23" s="9"/>
      <c r="Q23" s="9"/>
      <c r="R23" s="9"/>
      <c r="S23" s="17"/>
      <c r="T23" s="17"/>
      <c r="U23" s="17"/>
      <c r="V23" s="17"/>
      <c r="W23" s="17"/>
      <c r="X23" s="17"/>
      <c r="Y23" s="17"/>
      <c r="Z23" s="17"/>
      <c r="AA23" s="17"/>
      <c r="AB23" s="17"/>
      <c r="AC23" s="17"/>
      <c r="AD23" s="17"/>
      <c r="AE23" s="17"/>
      <c r="AF23" s="17"/>
    </row>
    <row r="24" ht="15.75" customHeight="1">
      <c r="A24" s="9"/>
      <c r="B24" s="9"/>
      <c r="C24" s="34">
        <v>18.0</v>
      </c>
      <c r="D24" s="24" t="s">
        <v>332</v>
      </c>
      <c r="E24" s="9"/>
      <c r="F24" s="9" t="s">
        <v>334</v>
      </c>
      <c r="G24" s="9" t="s">
        <v>335</v>
      </c>
      <c r="H24" s="9" t="s">
        <v>336</v>
      </c>
      <c r="I24" s="9" t="s">
        <v>142</v>
      </c>
      <c r="J24" s="34" t="s">
        <v>10</v>
      </c>
      <c r="K24" s="9"/>
      <c r="L24" s="9"/>
      <c r="M24" s="9"/>
      <c r="N24" s="56" t="s">
        <v>344</v>
      </c>
      <c r="O24" s="9"/>
      <c r="P24" s="9"/>
      <c r="Q24" s="9"/>
      <c r="R24" s="9"/>
      <c r="S24" s="17"/>
      <c r="T24" s="17"/>
      <c r="U24" s="17"/>
      <c r="V24" s="17"/>
      <c r="W24" s="17"/>
      <c r="X24" s="17"/>
      <c r="Y24" s="17"/>
      <c r="Z24" s="17"/>
      <c r="AA24" s="17"/>
      <c r="AB24" s="17"/>
      <c r="AC24" s="17"/>
      <c r="AD24" s="17"/>
      <c r="AE24" s="17"/>
      <c r="AF24" s="17"/>
    </row>
    <row r="25" ht="15.75" customHeight="1">
      <c r="A25" s="9"/>
      <c r="B25" s="9"/>
      <c r="C25" s="34">
        <v>19.0</v>
      </c>
      <c r="D25" s="9" t="s">
        <v>350</v>
      </c>
      <c r="E25" s="9"/>
      <c r="F25" s="9" t="s">
        <v>352</v>
      </c>
      <c r="G25" s="9" t="s">
        <v>353</v>
      </c>
      <c r="H25" s="9" t="s">
        <v>354</v>
      </c>
      <c r="I25" s="9" t="s">
        <v>142</v>
      </c>
      <c r="J25" s="34" t="s">
        <v>10</v>
      </c>
      <c r="K25" s="9"/>
      <c r="L25" s="9"/>
      <c r="M25" s="9"/>
      <c r="N25" s="56" t="s">
        <v>355</v>
      </c>
      <c r="O25" s="9"/>
      <c r="P25" s="9"/>
      <c r="Q25" s="9"/>
      <c r="R25" s="9"/>
      <c r="S25" s="17"/>
      <c r="T25" s="17"/>
      <c r="U25" s="17"/>
      <c r="V25" s="17"/>
      <c r="W25" s="17"/>
      <c r="X25" s="17"/>
      <c r="Y25" s="17"/>
      <c r="Z25" s="17"/>
      <c r="AA25" s="17"/>
      <c r="AB25" s="17"/>
      <c r="AC25" s="17"/>
      <c r="AD25" s="17"/>
      <c r="AE25" s="17"/>
      <c r="AF25" s="17"/>
    </row>
    <row r="26" ht="15.75" customHeight="1">
      <c r="A26" s="9"/>
      <c r="B26" s="9"/>
      <c r="C26" s="34">
        <v>20.0</v>
      </c>
      <c r="D26" s="9" t="s">
        <v>362</v>
      </c>
      <c r="E26" s="9"/>
      <c r="F26" s="9" t="s">
        <v>364</v>
      </c>
      <c r="G26" s="9"/>
      <c r="H26" s="9" t="s">
        <v>365</v>
      </c>
      <c r="I26" s="9" t="s">
        <v>142</v>
      </c>
      <c r="J26" s="34" t="s">
        <v>10</v>
      </c>
      <c r="K26" s="9"/>
      <c r="L26" s="9"/>
      <c r="M26" s="9"/>
      <c r="N26" s="56" t="s">
        <v>370</v>
      </c>
      <c r="O26" s="9"/>
      <c r="P26" s="9"/>
      <c r="Q26" s="9"/>
      <c r="R26" s="9"/>
      <c r="S26" s="17"/>
      <c r="T26" s="17"/>
      <c r="U26" s="17"/>
      <c r="V26" s="17"/>
      <c r="W26" s="17"/>
      <c r="X26" s="17"/>
      <c r="Y26" s="17"/>
      <c r="Z26" s="17"/>
      <c r="AA26" s="17"/>
      <c r="AB26" s="17"/>
      <c r="AC26" s="17"/>
      <c r="AD26" s="17"/>
      <c r="AE26" s="17"/>
      <c r="AF26" s="17"/>
    </row>
    <row r="27" ht="15.75" customHeight="1">
      <c r="A27" s="9"/>
      <c r="B27" s="9"/>
      <c r="C27" s="34"/>
      <c r="D27" s="9"/>
      <c r="E27" s="9"/>
      <c r="F27" s="9"/>
      <c r="G27" s="9"/>
      <c r="H27" s="9"/>
      <c r="I27" s="9"/>
      <c r="J27" s="34"/>
      <c r="K27" s="9"/>
      <c r="L27" s="9"/>
      <c r="M27" s="9"/>
      <c r="N27" s="9"/>
      <c r="O27" s="9"/>
      <c r="P27" s="9"/>
      <c r="Q27" s="9"/>
      <c r="R27" s="9"/>
      <c r="S27" s="17"/>
      <c r="T27" s="17"/>
      <c r="U27" s="17"/>
      <c r="V27" s="17"/>
      <c r="W27" s="17"/>
      <c r="X27" s="17"/>
      <c r="Y27" s="17"/>
      <c r="Z27" s="17"/>
      <c r="AA27" s="17"/>
      <c r="AB27" s="17"/>
      <c r="AC27" s="17"/>
      <c r="AD27" s="17"/>
      <c r="AE27" s="17"/>
      <c r="AF27" s="17"/>
    </row>
    <row r="28" ht="15.75" customHeight="1">
      <c r="A28" s="9"/>
      <c r="B28" s="9"/>
      <c r="C28" s="34"/>
      <c r="D28" s="9"/>
      <c r="E28" s="9"/>
      <c r="F28" s="9"/>
      <c r="G28" s="9"/>
      <c r="H28" s="9"/>
      <c r="I28" s="9"/>
      <c r="J28" s="34"/>
      <c r="K28" s="9"/>
      <c r="L28" s="9"/>
      <c r="M28" s="9"/>
      <c r="N28" s="56" t="s">
        <v>385</v>
      </c>
      <c r="O28" s="9"/>
      <c r="P28" s="9"/>
      <c r="Q28" s="9"/>
      <c r="R28" s="9"/>
      <c r="S28" s="17"/>
      <c r="T28" s="17"/>
      <c r="U28" s="17"/>
      <c r="V28" s="17"/>
      <c r="W28" s="17"/>
      <c r="X28" s="17"/>
      <c r="Y28" s="17"/>
      <c r="Z28" s="17"/>
      <c r="AA28" s="17"/>
      <c r="AB28" s="17"/>
      <c r="AC28" s="17"/>
      <c r="AD28" s="17"/>
      <c r="AE28" s="17"/>
      <c r="AF28" s="17"/>
    </row>
    <row r="29" ht="15.75" customHeight="1">
      <c r="A29" s="9"/>
      <c r="B29" s="9"/>
      <c r="C29" s="34">
        <v>21.0</v>
      </c>
      <c r="D29" s="9" t="s">
        <v>386</v>
      </c>
      <c r="E29" s="9"/>
      <c r="F29" s="9" t="s">
        <v>388</v>
      </c>
      <c r="G29" s="9" t="s">
        <v>390</v>
      </c>
      <c r="H29" s="9" t="s">
        <v>391</v>
      </c>
      <c r="I29" s="9" t="s">
        <v>392</v>
      </c>
      <c r="J29" s="34" t="s">
        <v>15</v>
      </c>
      <c r="K29" s="9"/>
      <c r="L29" s="9"/>
      <c r="M29" s="9"/>
      <c r="N29" s="56" t="s">
        <v>398</v>
      </c>
      <c r="O29" s="9"/>
      <c r="P29" s="9"/>
      <c r="Q29" s="9"/>
      <c r="R29" s="9"/>
      <c r="S29" s="17"/>
      <c r="T29" s="17"/>
      <c r="U29" s="17"/>
      <c r="V29" s="17"/>
      <c r="W29" s="17"/>
      <c r="X29" s="17"/>
      <c r="Y29" s="17"/>
      <c r="Z29" s="17"/>
      <c r="AA29" s="17"/>
      <c r="AB29" s="17"/>
      <c r="AC29" s="17"/>
      <c r="AD29" s="17"/>
      <c r="AE29" s="17"/>
      <c r="AF29" s="17"/>
    </row>
    <row r="30" ht="15.75" customHeight="1">
      <c r="A30" s="9"/>
      <c r="B30" s="9"/>
      <c r="C30" s="34">
        <v>22.0</v>
      </c>
      <c r="D30" s="9"/>
      <c r="E30" s="9"/>
      <c r="F30" s="9"/>
      <c r="G30" s="9"/>
      <c r="H30" s="9"/>
      <c r="I30" s="9" t="s">
        <v>399</v>
      </c>
      <c r="J30" s="34" t="s">
        <v>15</v>
      </c>
      <c r="K30" s="9"/>
      <c r="L30" s="9"/>
      <c r="M30" s="9"/>
      <c r="N30" s="9"/>
      <c r="O30" s="9"/>
      <c r="P30" s="9"/>
      <c r="Q30" s="9"/>
      <c r="R30" s="9"/>
      <c r="S30" s="17"/>
      <c r="T30" s="17"/>
      <c r="U30" s="17"/>
      <c r="V30" s="17"/>
      <c r="W30" s="17"/>
      <c r="X30" s="17"/>
      <c r="Y30" s="17"/>
      <c r="Z30" s="17"/>
      <c r="AA30" s="17"/>
      <c r="AB30" s="17"/>
      <c r="AC30" s="17"/>
      <c r="AD30" s="17"/>
      <c r="AE30" s="17"/>
      <c r="AF30" s="17"/>
    </row>
    <row r="31" ht="15.75" customHeight="1">
      <c r="A31" s="9"/>
      <c r="B31" s="9"/>
      <c r="C31" s="34">
        <v>23.0</v>
      </c>
      <c r="D31" s="9"/>
      <c r="E31" s="9"/>
      <c r="F31" s="9"/>
      <c r="G31" s="9"/>
      <c r="H31" s="9"/>
      <c r="I31" s="9" t="s">
        <v>401</v>
      </c>
      <c r="J31" s="34" t="s">
        <v>15</v>
      </c>
      <c r="K31" s="9"/>
      <c r="L31" s="9"/>
      <c r="M31" s="9"/>
      <c r="N31" s="9"/>
      <c r="O31" s="9"/>
      <c r="P31" s="9"/>
      <c r="Q31" s="9"/>
      <c r="R31" s="9"/>
      <c r="S31" s="17"/>
      <c r="T31" s="17"/>
      <c r="U31" s="17"/>
      <c r="V31" s="17"/>
      <c r="W31" s="17"/>
      <c r="X31" s="17"/>
      <c r="Y31" s="17"/>
      <c r="Z31" s="17"/>
      <c r="AA31" s="17"/>
      <c r="AB31" s="17"/>
      <c r="AC31" s="17"/>
      <c r="AD31" s="17"/>
      <c r="AE31" s="17"/>
      <c r="AF31" s="17"/>
    </row>
    <row r="32" ht="15.75" customHeight="1">
      <c r="A32" s="9"/>
      <c r="B32" s="9"/>
      <c r="C32" s="34"/>
      <c r="D32" s="9"/>
      <c r="E32" s="9"/>
      <c r="F32" s="9"/>
      <c r="G32" s="9"/>
      <c r="H32" s="9"/>
      <c r="I32" s="9"/>
      <c r="J32" s="9"/>
      <c r="K32" s="9"/>
      <c r="L32" s="9"/>
      <c r="M32" s="9"/>
      <c r="N32" s="9"/>
      <c r="O32" s="9"/>
      <c r="P32" s="9"/>
      <c r="Q32" s="9"/>
      <c r="R32" s="9"/>
      <c r="S32" s="17"/>
      <c r="T32" s="17"/>
      <c r="U32" s="17"/>
      <c r="V32" s="17"/>
      <c r="W32" s="17"/>
      <c r="X32" s="17"/>
      <c r="Y32" s="17"/>
      <c r="Z32" s="17"/>
      <c r="AA32" s="17"/>
      <c r="AB32" s="17"/>
      <c r="AC32" s="17"/>
      <c r="AD32" s="17"/>
      <c r="AE32" s="17"/>
      <c r="AF32" s="17"/>
    </row>
    <row r="33" ht="15.75" customHeight="1">
      <c r="A33" s="9"/>
      <c r="B33" s="9"/>
      <c r="C33" s="34"/>
      <c r="D33" s="9"/>
      <c r="E33" s="9"/>
      <c r="F33" s="9"/>
      <c r="G33" s="9"/>
      <c r="H33" s="9"/>
      <c r="I33" s="9"/>
      <c r="J33" s="9"/>
      <c r="K33" s="9"/>
      <c r="L33" s="9"/>
      <c r="M33" s="9"/>
      <c r="N33" s="9"/>
      <c r="O33" s="9"/>
      <c r="P33" s="9"/>
      <c r="Q33" s="9"/>
      <c r="R33" s="9"/>
      <c r="S33" s="17"/>
      <c r="T33" s="17"/>
      <c r="U33" s="17"/>
      <c r="V33" s="17"/>
      <c r="W33" s="17"/>
      <c r="X33" s="17"/>
      <c r="Y33" s="17"/>
      <c r="Z33" s="17"/>
      <c r="AA33" s="17"/>
      <c r="AB33" s="17"/>
      <c r="AC33" s="17"/>
      <c r="AD33" s="17"/>
      <c r="AE33" s="17"/>
      <c r="AF33" s="17"/>
    </row>
    <row r="34" ht="15.75" customHeight="1">
      <c r="A34" s="9"/>
      <c r="B34" s="9"/>
      <c r="C34" s="34"/>
      <c r="D34" s="9"/>
      <c r="E34" s="9"/>
      <c r="F34" s="9"/>
      <c r="G34" s="9"/>
      <c r="H34" s="9"/>
      <c r="I34" s="9"/>
      <c r="J34" s="9"/>
      <c r="K34" s="9"/>
      <c r="L34" s="9"/>
      <c r="M34" s="9"/>
      <c r="N34" s="9"/>
      <c r="O34" s="9"/>
      <c r="P34" s="9"/>
      <c r="Q34" s="9"/>
      <c r="R34" s="9"/>
      <c r="S34" s="17"/>
      <c r="T34" s="17"/>
      <c r="U34" s="17"/>
      <c r="V34" s="17"/>
      <c r="W34" s="17"/>
      <c r="X34" s="17"/>
      <c r="Y34" s="17"/>
      <c r="Z34" s="17"/>
      <c r="AA34" s="17"/>
      <c r="AB34" s="17"/>
      <c r="AC34" s="17"/>
      <c r="AD34" s="17"/>
      <c r="AE34" s="17"/>
      <c r="AF34" s="17"/>
    </row>
    <row r="35" ht="15.75" customHeight="1">
      <c r="A35" s="9"/>
      <c r="B35" s="9"/>
      <c r="C35" s="34"/>
      <c r="D35" s="9"/>
      <c r="E35" s="9"/>
      <c r="F35" s="9"/>
      <c r="G35" s="9"/>
      <c r="H35" s="9"/>
      <c r="I35" s="9"/>
      <c r="J35" s="9"/>
      <c r="K35" s="9"/>
      <c r="L35" s="9"/>
      <c r="M35" s="9"/>
      <c r="N35" s="9"/>
      <c r="O35" s="9"/>
      <c r="P35" s="9"/>
      <c r="Q35" s="9"/>
      <c r="R35" s="9"/>
      <c r="S35" s="17"/>
      <c r="T35" s="17"/>
      <c r="U35" s="17"/>
      <c r="V35" s="17"/>
      <c r="W35" s="17"/>
      <c r="X35" s="17"/>
      <c r="Y35" s="17"/>
      <c r="Z35" s="17"/>
      <c r="AA35" s="17"/>
      <c r="AB35" s="17"/>
      <c r="AC35" s="17"/>
      <c r="AD35" s="17"/>
      <c r="AE35" s="17"/>
      <c r="AF35" s="17"/>
    </row>
    <row r="36" ht="15.75" customHeight="1">
      <c r="A36" s="9"/>
      <c r="B36" s="9"/>
      <c r="C36" s="34"/>
      <c r="D36" s="9"/>
      <c r="E36" s="9"/>
      <c r="F36" s="9"/>
      <c r="G36" s="9"/>
      <c r="H36" s="9"/>
      <c r="I36" s="9"/>
      <c r="J36" s="9"/>
      <c r="K36" s="9"/>
      <c r="L36" s="9"/>
      <c r="M36" s="9"/>
      <c r="N36" s="9"/>
      <c r="O36" s="9"/>
      <c r="P36" s="9"/>
      <c r="Q36" s="9"/>
      <c r="R36" s="9"/>
      <c r="S36" s="17"/>
      <c r="T36" s="17"/>
      <c r="U36" s="17"/>
      <c r="V36" s="17"/>
      <c r="W36" s="17"/>
      <c r="X36" s="17"/>
      <c r="Y36" s="17"/>
      <c r="Z36" s="17"/>
      <c r="AA36" s="17"/>
      <c r="AB36" s="17"/>
      <c r="AC36" s="17"/>
      <c r="AD36" s="17"/>
      <c r="AE36" s="17"/>
      <c r="AF36" s="17"/>
    </row>
    <row r="37" ht="15.75" customHeight="1">
      <c r="A37" s="9"/>
      <c r="B37" s="9"/>
      <c r="C37" s="34"/>
      <c r="D37" s="9"/>
      <c r="E37" s="9"/>
      <c r="F37" s="9"/>
      <c r="G37" s="9"/>
      <c r="H37" s="9"/>
      <c r="I37" s="9"/>
      <c r="J37" s="9"/>
      <c r="K37" s="9"/>
      <c r="L37" s="9"/>
      <c r="M37" s="9"/>
      <c r="N37" s="9"/>
      <c r="O37" s="9"/>
      <c r="P37" s="9"/>
      <c r="Q37" s="9"/>
      <c r="R37" s="9"/>
      <c r="S37" s="17"/>
      <c r="T37" s="17"/>
      <c r="U37" s="17"/>
      <c r="V37" s="17"/>
      <c r="W37" s="17"/>
      <c r="X37" s="17"/>
      <c r="Y37" s="17"/>
      <c r="Z37" s="17"/>
      <c r="AA37" s="17"/>
      <c r="AB37" s="17"/>
      <c r="AC37" s="17"/>
      <c r="AD37" s="17"/>
      <c r="AE37" s="17"/>
      <c r="AF37" s="17"/>
    </row>
    <row r="38" ht="15.75" customHeight="1">
      <c r="A38" s="9"/>
      <c r="B38" s="9"/>
      <c r="C38" s="34"/>
      <c r="D38" s="9"/>
      <c r="E38" s="9"/>
      <c r="F38" s="9"/>
      <c r="G38" s="9"/>
      <c r="H38" s="9"/>
      <c r="I38" s="9"/>
      <c r="J38" s="9"/>
      <c r="K38" s="9"/>
      <c r="L38" s="9"/>
      <c r="M38" s="9"/>
      <c r="N38" s="9"/>
      <c r="O38" s="9"/>
      <c r="P38" s="9"/>
      <c r="Q38" s="9"/>
      <c r="R38" s="9"/>
      <c r="S38" s="17"/>
      <c r="T38" s="17"/>
      <c r="U38" s="17"/>
      <c r="V38" s="17"/>
      <c r="W38" s="17"/>
      <c r="X38" s="17"/>
      <c r="Y38" s="17"/>
      <c r="Z38" s="17"/>
      <c r="AA38" s="17"/>
      <c r="AB38" s="17"/>
      <c r="AC38" s="17"/>
      <c r="AD38" s="17"/>
      <c r="AE38" s="17"/>
      <c r="AF38" s="17"/>
    </row>
    <row r="39" ht="15.75" customHeight="1">
      <c r="A39" s="9"/>
      <c r="B39" s="9"/>
      <c r="C39" s="34"/>
      <c r="D39" s="9"/>
      <c r="E39" s="9"/>
      <c r="F39" s="9"/>
      <c r="G39" s="9"/>
      <c r="H39" s="9"/>
      <c r="I39" s="9"/>
      <c r="J39" s="9"/>
      <c r="K39" s="9"/>
      <c r="L39" s="9"/>
      <c r="M39" s="9"/>
      <c r="N39" s="9"/>
      <c r="O39" s="9"/>
      <c r="P39" s="9"/>
      <c r="Q39" s="9"/>
      <c r="R39" s="9"/>
      <c r="S39" s="17"/>
      <c r="T39" s="17"/>
      <c r="U39" s="17"/>
      <c r="V39" s="17"/>
      <c r="W39" s="17"/>
      <c r="X39" s="17"/>
      <c r="Y39" s="17"/>
      <c r="Z39" s="17"/>
      <c r="AA39" s="17"/>
      <c r="AB39" s="17"/>
      <c r="AC39" s="17"/>
      <c r="AD39" s="17"/>
      <c r="AE39" s="17"/>
      <c r="AF39" s="17"/>
    </row>
    <row r="40" ht="15.75" customHeight="1">
      <c r="A40" s="9"/>
      <c r="B40" s="9"/>
      <c r="C40" s="34"/>
      <c r="D40" s="9"/>
      <c r="E40" s="9"/>
      <c r="F40" s="9"/>
      <c r="G40" s="9"/>
      <c r="H40" s="9"/>
      <c r="I40" s="9"/>
      <c r="J40" s="9"/>
      <c r="K40" s="9"/>
      <c r="L40" s="9"/>
      <c r="M40" s="9"/>
      <c r="N40" s="9"/>
      <c r="O40" s="9"/>
      <c r="P40" s="9"/>
      <c r="Q40" s="9"/>
      <c r="R40" s="9"/>
      <c r="S40" s="17"/>
      <c r="T40" s="17"/>
      <c r="U40" s="17"/>
      <c r="V40" s="17"/>
      <c r="W40" s="17"/>
      <c r="X40" s="17"/>
      <c r="Y40" s="17"/>
      <c r="Z40" s="17"/>
      <c r="AA40" s="17"/>
      <c r="AB40" s="17"/>
      <c r="AC40" s="17"/>
      <c r="AD40" s="17"/>
      <c r="AE40" s="17"/>
      <c r="AF40" s="17"/>
    </row>
    <row r="41" ht="15.75" customHeight="1">
      <c r="A41" s="9"/>
      <c r="B41" s="9"/>
      <c r="C41" s="34"/>
      <c r="D41" s="9"/>
      <c r="E41" s="9"/>
      <c r="F41" s="9"/>
      <c r="G41" s="9"/>
      <c r="H41" s="9"/>
      <c r="I41" s="9"/>
      <c r="J41" s="9"/>
      <c r="K41" s="9"/>
      <c r="L41" s="9"/>
      <c r="M41" s="9"/>
      <c r="N41" s="9"/>
      <c r="O41" s="9"/>
      <c r="P41" s="9"/>
      <c r="Q41" s="9"/>
      <c r="R41" s="9"/>
      <c r="S41" s="17"/>
      <c r="T41" s="17"/>
      <c r="U41" s="17"/>
      <c r="V41" s="17"/>
      <c r="W41" s="17"/>
      <c r="X41" s="17"/>
      <c r="Y41" s="17"/>
      <c r="Z41" s="17"/>
      <c r="AA41" s="17"/>
      <c r="AB41" s="17"/>
      <c r="AC41" s="17"/>
      <c r="AD41" s="17"/>
      <c r="AE41" s="17"/>
      <c r="AF41" s="17"/>
    </row>
    <row r="42" ht="15.75" customHeight="1">
      <c r="A42" s="9"/>
      <c r="B42" s="9"/>
      <c r="C42" s="34"/>
      <c r="D42" s="9"/>
      <c r="E42" s="9"/>
      <c r="F42" s="9"/>
      <c r="G42" s="9"/>
      <c r="H42" s="9"/>
      <c r="I42" s="9"/>
      <c r="J42" s="9"/>
      <c r="K42" s="9"/>
      <c r="L42" s="9"/>
      <c r="M42" s="9"/>
      <c r="N42" s="9"/>
      <c r="O42" s="9"/>
      <c r="P42" s="9"/>
      <c r="Q42" s="9"/>
      <c r="R42" s="9"/>
      <c r="S42" s="17"/>
      <c r="T42" s="17"/>
      <c r="U42" s="17"/>
      <c r="V42" s="17"/>
      <c r="W42" s="17"/>
      <c r="X42" s="17"/>
      <c r="Y42" s="17"/>
      <c r="Z42" s="17"/>
      <c r="AA42" s="17"/>
      <c r="AB42" s="17"/>
      <c r="AC42" s="17"/>
      <c r="AD42" s="17"/>
      <c r="AE42" s="17"/>
      <c r="AF42" s="17"/>
    </row>
    <row r="43" ht="15.75" customHeight="1">
      <c r="A43" s="9"/>
      <c r="B43" s="9"/>
      <c r="C43" s="34"/>
      <c r="D43" s="9"/>
      <c r="E43" s="9"/>
      <c r="F43" s="9"/>
      <c r="G43" s="9"/>
      <c r="H43" s="9"/>
      <c r="I43" s="9"/>
      <c r="J43" s="9"/>
      <c r="K43" s="9"/>
      <c r="L43" s="9"/>
      <c r="M43" s="9"/>
      <c r="N43" s="9"/>
      <c r="O43" s="9"/>
      <c r="P43" s="9"/>
      <c r="Q43" s="9"/>
      <c r="R43" s="9"/>
      <c r="S43" s="17"/>
      <c r="T43" s="17"/>
      <c r="U43" s="17"/>
      <c r="V43" s="17"/>
      <c r="W43" s="17"/>
      <c r="X43" s="17"/>
      <c r="Y43" s="17"/>
      <c r="Z43" s="17"/>
      <c r="AA43" s="17"/>
      <c r="AB43" s="17"/>
      <c r="AC43" s="17"/>
      <c r="AD43" s="17"/>
      <c r="AE43" s="17"/>
      <c r="AF43" s="17"/>
    </row>
    <row r="44" ht="15.75" customHeight="1">
      <c r="A44" s="9"/>
      <c r="B44" s="9"/>
      <c r="C44" s="34"/>
      <c r="D44" s="9"/>
      <c r="E44" s="9"/>
      <c r="F44" s="9"/>
      <c r="G44" s="9"/>
      <c r="H44" s="9"/>
      <c r="I44" s="9"/>
      <c r="J44" s="9"/>
      <c r="K44" s="9"/>
      <c r="L44" s="9"/>
      <c r="M44" s="9"/>
      <c r="N44" s="9"/>
      <c r="O44" s="9"/>
      <c r="P44" s="9"/>
      <c r="Q44" s="9"/>
      <c r="R44" s="9"/>
      <c r="S44" s="17"/>
      <c r="T44" s="17"/>
      <c r="U44" s="17"/>
      <c r="V44" s="17"/>
      <c r="W44" s="17"/>
      <c r="X44" s="17"/>
      <c r="Y44" s="17"/>
      <c r="Z44" s="17"/>
      <c r="AA44" s="17"/>
      <c r="AB44" s="17"/>
      <c r="AC44" s="17"/>
      <c r="AD44" s="17"/>
      <c r="AE44" s="17"/>
      <c r="AF44" s="17"/>
    </row>
    <row r="45" ht="15.75" customHeight="1">
      <c r="A45" s="9"/>
      <c r="B45" s="9"/>
      <c r="C45" s="34"/>
      <c r="D45" s="9"/>
      <c r="E45" s="9"/>
      <c r="F45" s="9"/>
      <c r="G45" s="9"/>
      <c r="H45" s="9"/>
      <c r="I45" s="9"/>
      <c r="J45" s="9"/>
      <c r="K45" s="9"/>
      <c r="L45" s="9"/>
      <c r="M45" s="9"/>
      <c r="N45" s="9"/>
      <c r="O45" s="9"/>
      <c r="P45" s="9"/>
      <c r="Q45" s="9"/>
      <c r="R45" s="9"/>
      <c r="S45" s="17"/>
      <c r="T45" s="17"/>
      <c r="U45" s="17"/>
      <c r="V45" s="17"/>
      <c r="W45" s="17"/>
      <c r="X45" s="17"/>
      <c r="Y45" s="17"/>
      <c r="Z45" s="17"/>
      <c r="AA45" s="17"/>
      <c r="AB45" s="17"/>
      <c r="AC45" s="17"/>
      <c r="AD45" s="17"/>
      <c r="AE45" s="17"/>
      <c r="AF45" s="17"/>
    </row>
    <row r="46" ht="15.75" customHeight="1">
      <c r="A46" s="9"/>
      <c r="B46" s="9"/>
      <c r="C46" s="34"/>
      <c r="D46" s="9"/>
      <c r="E46" s="9"/>
      <c r="F46" s="9"/>
      <c r="G46" s="9"/>
      <c r="H46" s="9"/>
      <c r="I46" s="9"/>
      <c r="J46" s="9"/>
      <c r="K46" s="9"/>
      <c r="L46" s="9"/>
      <c r="M46" s="9"/>
      <c r="N46" s="9"/>
      <c r="O46" s="9"/>
      <c r="P46" s="9"/>
      <c r="Q46" s="9"/>
      <c r="R46" s="9"/>
      <c r="S46" s="17"/>
      <c r="T46" s="17"/>
      <c r="U46" s="17"/>
      <c r="V46" s="17"/>
      <c r="W46" s="17"/>
      <c r="X46" s="17"/>
      <c r="Y46" s="17"/>
      <c r="Z46" s="17"/>
      <c r="AA46" s="17"/>
      <c r="AB46" s="17"/>
      <c r="AC46" s="17"/>
      <c r="AD46" s="17"/>
      <c r="AE46" s="17"/>
      <c r="AF46" s="17"/>
    </row>
    <row r="47" ht="15.75" customHeight="1">
      <c r="A47" s="9"/>
      <c r="B47" s="9"/>
      <c r="C47" s="34"/>
      <c r="D47" s="9"/>
      <c r="E47" s="9"/>
      <c r="F47" s="9"/>
      <c r="G47" s="9"/>
      <c r="H47" s="9"/>
      <c r="I47" s="9"/>
      <c r="J47" s="9"/>
      <c r="K47" s="9"/>
      <c r="L47" s="9"/>
      <c r="M47" s="9"/>
      <c r="N47" s="9"/>
      <c r="O47" s="9"/>
      <c r="P47" s="9"/>
      <c r="Q47" s="9"/>
      <c r="R47" s="9"/>
      <c r="S47" s="17"/>
      <c r="T47" s="17"/>
      <c r="U47" s="17"/>
      <c r="V47" s="17"/>
      <c r="W47" s="17"/>
      <c r="X47" s="17"/>
      <c r="Y47" s="17"/>
      <c r="Z47" s="17"/>
      <c r="AA47" s="17"/>
      <c r="AB47" s="17"/>
      <c r="AC47" s="17"/>
      <c r="AD47" s="17"/>
      <c r="AE47" s="17"/>
      <c r="AF47" s="17"/>
    </row>
    <row r="48" ht="15.75" customHeight="1">
      <c r="A48" s="9"/>
      <c r="B48" s="9"/>
      <c r="C48" s="34"/>
      <c r="D48" s="9"/>
      <c r="E48" s="9"/>
      <c r="F48" s="9"/>
      <c r="G48" s="9"/>
      <c r="H48" s="9"/>
      <c r="I48" s="9"/>
      <c r="J48" s="9"/>
      <c r="K48" s="9"/>
      <c r="L48" s="9"/>
      <c r="M48" s="9"/>
      <c r="N48" s="9"/>
      <c r="O48" s="9"/>
      <c r="P48" s="9"/>
      <c r="Q48" s="9"/>
      <c r="R48" s="9"/>
      <c r="S48" s="17"/>
      <c r="T48" s="17"/>
      <c r="U48" s="17"/>
      <c r="V48" s="17"/>
      <c r="W48" s="17"/>
      <c r="X48" s="17"/>
      <c r="Y48" s="17"/>
      <c r="Z48" s="17"/>
      <c r="AA48" s="17"/>
      <c r="AB48" s="17"/>
      <c r="AC48" s="17"/>
      <c r="AD48" s="17"/>
      <c r="AE48" s="17"/>
      <c r="AF48" s="17"/>
    </row>
    <row r="49" ht="15.75" customHeight="1">
      <c r="A49" s="9"/>
      <c r="B49" s="9"/>
      <c r="C49" s="34"/>
      <c r="D49" s="9"/>
      <c r="E49" s="9"/>
      <c r="F49" s="9"/>
      <c r="G49" s="9"/>
      <c r="H49" s="9"/>
      <c r="I49" s="9"/>
      <c r="J49" s="9"/>
      <c r="K49" s="9"/>
      <c r="L49" s="9"/>
      <c r="M49" s="9"/>
      <c r="N49" s="9"/>
      <c r="O49" s="9"/>
      <c r="P49" s="9"/>
      <c r="Q49" s="9"/>
      <c r="R49" s="9"/>
      <c r="S49" s="17"/>
      <c r="T49" s="17"/>
      <c r="U49" s="17"/>
      <c r="V49" s="17"/>
      <c r="W49" s="17"/>
      <c r="X49" s="17"/>
      <c r="Y49" s="17"/>
      <c r="Z49" s="17"/>
      <c r="AA49" s="17"/>
      <c r="AB49" s="17"/>
      <c r="AC49" s="17"/>
      <c r="AD49" s="17"/>
      <c r="AE49" s="17"/>
      <c r="AF49" s="17"/>
    </row>
    <row r="50" ht="15.75" customHeight="1">
      <c r="A50" s="9"/>
      <c r="B50" s="9"/>
      <c r="C50" s="34"/>
      <c r="D50" s="9"/>
      <c r="E50" s="9"/>
      <c r="F50" s="9"/>
      <c r="G50" s="9"/>
      <c r="H50" s="9"/>
      <c r="I50" s="9"/>
      <c r="J50" s="9"/>
      <c r="K50" s="9"/>
      <c r="L50" s="9"/>
      <c r="M50" s="9"/>
      <c r="N50" s="9"/>
      <c r="O50" s="9"/>
      <c r="P50" s="9"/>
      <c r="Q50" s="9"/>
      <c r="R50" s="9"/>
      <c r="S50" s="17"/>
      <c r="T50" s="17"/>
      <c r="U50" s="17"/>
      <c r="V50" s="17"/>
      <c r="W50" s="17"/>
      <c r="X50" s="17"/>
      <c r="Y50" s="17"/>
      <c r="Z50" s="17"/>
      <c r="AA50" s="17"/>
      <c r="AB50" s="17"/>
      <c r="AC50" s="17"/>
      <c r="AD50" s="17"/>
      <c r="AE50" s="17"/>
      <c r="AF50" s="17"/>
    </row>
    <row r="51" ht="15.75" customHeight="1">
      <c r="A51" s="9"/>
      <c r="B51" s="9"/>
      <c r="C51" s="34"/>
      <c r="D51" s="9"/>
      <c r="E51" s="9"/>
      <c r="F51" s="9"/>
      <c r="G51" s="9"/>
      <c r="H51" s="9"/>
      <c r="I51" s="9"/>
      <c r="J51" s="9"/>
      <c r="K51" s="9"/>
      <c r="L51" s="9"/>
      <c r="M51" s="9"/>
      <c r="N51" s="9"/>
      <c r="O51" s="9"/>
      <c r="P51" s="9"/>
      <c r="Q51" s="9"/>
      <c r="R51" s="9"/>
      <c r="S51" s="17"/>
      <c r="T51" s="17"/>
      <c r="U51" s="17"/>
      <c r="V51" s="17"/>
      <c r="W51" s="17"/>
      <c r="X51" s="17"/>
      <c r="Y51" s="17"/>
      <c r="Z51" s="17"/>
      <c r="AA51" s="17"/>
      <c r="AB51" s="17"/>
      <c r="AC51" s="17"/>
      <c r="AD51" s="17"/>
      <c r="AE51" s="17"/>
      <c r="AF51" s="17"/>
    </row>
    <row r="52" ht="15.75" customHeight="1">
      <c r="A52" s="9"/>
      <c r="B52" s="9"/>
      <c r="C52" s="34"/>
      <c r="D52" s="9"/>
      <c r="E52" s="9"/>
      <c r="F52" s="9"/>
      <c r="G52" s="9"/>
      <c r="H52" s="9"/>
      <c r="I52" s="9"/>
      <c r="J52" s="9"/>
      <c r="K52" s="9"/>
      <c r="L52" s="9"/>
      <c r="M52" s="9"/>
      <c r="N52" s="9"/>
      <c r="O52" s="9"/>
      <c r="P52" s="9"/>
      <c r="Q52" s="9"/>
      <c r="R52" s="9"/>
      <c r="S52" s="17"/>
      <c r="T52" s="17"/>
      <c r="U52" s="17"/>
      <c r="V52" s="17"/>
      <c r="W52" s="17"/>
      <c r="X52" s="17"/>
      <c r="Y52" s="17"/>
      <c r="Z52" s="17"/>
      <c r="AA52" s="17"/>
      <c r="AB52" s="17"/>
      <c r="AC52" s="17"/>
      <c r="AD52" s="17"/>
      <c r="AE52" s="17"/>
      <c r="AF52" s="17"/>
    </row>
    <row r="53" ht="15.75" customHeight="1">
      <c r="A53" s="17"/>
      <c r="B53" s="17"/>
      <c r="C53" s="60"/>
      <c r="D53" s="17"/>
      <c r="E53" s="17"/>
      <c r="F53" s="17"/>
      <c r="G53" s="9"/>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row>
    <row r="54" ht="15.75" customHeight="1">
      <c r="A54" s="17"/>
      <c r="B54" s="17"/>
      <c r="C54" s="60"/>
      <c r="D54" s="17"/>
      <c r="E54" s="17"/>
      <c r="F54" s="17"/>
      <c r="G54" s="9"/>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row>
    <row r="55" ht="15.75" customHeight="1">
      <c r="A55" s="17"/>
      <c r="B55" s="17"/>
      <c r="C55" s="60"/>
      <c r="D55" s="17"/>
      <c r="E55" s="17"/>
      <c r="F55" s="17"/>
      <c r="G55" s="9"/>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row>
    <row r="56" ht="15.75" customHeight="1">
      <c r="A56" s="17"/>
      <c r="B56" s="17"/>
      <c r="C56" s="60"/>
      <c r="D56" s="17"/>
      <c r="E56" s="17"/>
      <c r="F56" s="17"/>
      <c r="G56" s="9"/>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row>
    <row r="57" ht="15.75" customHeight="1">
      <c r="A57" s="17"/>
      <c r="B57" s="17"/>
      <c r="C57" s="60"/>
      <c r="D57" s="17"/>
      <c r="E57" s="17"/>
      <c r="F57" s="17"/>
      <c r="G57" s="9"/>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row>
    <row r="58" ht="15.75" customHeight="1">
      <c r="A58" s="17"/>
      <c r="B58" s="17"/>
      <c r="C58" s="60"/>
      <c r="D58" s="17"/>
      <c r="E58" s="17"/>
      <c r="F58" s="17"/>
      <c r="G58" s="9"/>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row>
    <row r="59" ht="15.75" customHeight="1">
      <c r="A59" s="17"/>
      <c r="B59" s="17"/>
      <c r="C59" s="60"/>
      <c r="D59" s="17"/>
      <c r="E59" s="17"/>
      <c r="F59" s="17"/>
      <c r="G59" s="9"/>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row>
    <row r="60" ht="15.75" customHeight="1">
      <c r="A60" s="17"/>
      <c r="B60" s="17"/>
      <c r="C60" s="60"/>
      <c r="D60" s="17"/>
      <c r="E60" s="17"/>
      <c r="F60" s="17"/>
      <c r="G60" s="9"/>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row>
    <row r="61" ht="15.75" customHeight="1">
      <c r="A61" s="17"/>
      <c r="B61" s="17"/>
      <c r="C61" s="60"/>
      <c r="D61" s="17"/>
      <c r="E61" s="17"/>
      <c r="F61" s="17"/>
      <c r="G61" s="9"/>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ht="15.75" customHeight="1">
      <c r="A62" s="17"/>
      <c r="B62" s="17"/>
      <c r="C62" s="60"/>
      <c r="D62" s="17"/>
      <c r="E62" s="17"/>
      <c r="F62" s="17"/>
      <c r="G62" s="9"/>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row>
    <row r="63" ht="15.75" customHeight="1">
      <c r="A63" s="17"/>
      <c r="B63" s="17"/>
      <c r="C63" s="60"/>
      <c r="D63" s="17"/>
      <c r="E63" s="17"/>
      <c r="F63" s="17"/>
      <c r="G63" s="9"/>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row>
    <row r="64" ht="15.75" customHeight="1">
      <c r="A64" s="17"/>
      <c r="B64" s="17"/>
      <c r="C64" s="60"/>
      <c r="D64" s="17"/>
      <c r="E64" s="17"/>
      <c r="F64" s="17"/>
      <c r="G64" s="9"/>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row>
    <row r="65" ht="15.75" customHeight="1">
      <c r="A65" s="17"/>
      <c r="B65" s="17"/>
      <c r="C65" s="60"/>
      <c r="D65" s="17"/>
      <c r="E65" s="17"/>
      <c r="F65" s="17"/>
      <c r="G65" s="9"/>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66" ht="15.75" customHeight="1">
      <c r="A66" s="17"/>
      <c r="B66" s="17"/>
      <c r="C66" s="60"/>
      <c r="D66" s="17"/>
      <c r="E66" s="17"/>
      <c r="F66" s="17"/>
      <c r="G66" s="9"/>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row>
    <row r="67" ht="15.75" customHeight="1">
      <c r="A67" s="17"/>
      <c r="B67" s="17"/>
      <c r="C67" s="60"/>
      <c r="D67" s="17"/>
      <c r="E67" s="17"/>
      <c r="F67" s="17"/>
      <c r="G67" s="9"/>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row>
    <row r="68" ht="15.75" customHeight="1">
      <c r="A68" s="17"/>
      <c r="B68" s="17"/>
      <c r="C68" s="60"/>
      <c r="D68" s="17"/>
      <c r="E68" s="17"/>
      <c r="F68" s="17"/>
      <c r="G68" s="9"/>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row>
    <row r="69" ht="15.75" customHeight="1">
      <c r="A69" s="17"/>
      <c r="B69" s="17"/>
      <c r="C69" s="60"/>
      <c r="D69" s="17"/>
      <c r="E69" s="17"/>
      <c r="F69" s="17"/>
      <c r="G69" s="9"/>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row>
    <row r="70" ht="15.75" customHeight="1">
      <c r="A70" s="17"/>
      <c r="B70" s="17"/>
      <c r="C70" s="60"/>
      <c r="D70" s="17"/>
      <c r="E70" s="17"/>
      <c r="F70" s="17"/>
      <c r="G70" s="9"/>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row>
    <row r="71" ht="15.75" customHeight="1">
      <c r="A71" s="17"/>
      <c r="B71" s="17"/>
      <c r="C71" s="60"/>
      <c r="D71" s="17"/>
      <c r="E71" s="17"/>
      <c r="F71" s="17"/>
      <c r="G71" s="9"/>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row>
    <row r="72" ht="15.75" customHeight="1">
      <c r="A72" s="17"/>
      <c r="B72" s="17"/>
      <c r="C72" s="60"/>
      <c r="D72" s="17"/>
      <c r="E72" s="17"/>
      <c r="F72" s="17"/>
      <c r="G72" s="9"/>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row>
    <row r="73" ht="15.75" customHeight="1">
      <c r="A73" s="17"/>
      <c r="B73" s="17"/>
      <c r="C73" s="60"/>
      <c r="D73" s="17"/>
      <c r="E73" s="17"/>
      <c r="F73" s="17"/>
      <c r="G73" s="9"/>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ht="15.75" customHeight="1">
      <c r="A74" s="17"/>
      <c r="B74" s="17"/>
      <c r="C74" s="60"/>
      <c r="D74" s="17"/>
      <c r="E74" s="17"/>
      <c r="F74" s="17"/>
      <c r="G74" s="9"/>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row>
    <row r="75" ht="15.75" customHeight="1">
      <c r="A75" s="17"/>
      <c r="B75" s="17"/>
      <c r="C75" s="60"/>
      <c r="D75" s="17"/>
      <c r="E75" s="17"/>
      <c r="F75" s="17"/>
      <c r="G75" s="9"/>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ht="15.75" customHeight="1">
      <c r="A76" s="17"/>
      <c r="B76" s="17"/>
      <c r="C76" s="60"/>
      <c r="D76" s="17"/>
      <c r="E76" s="17"/>
      <c r="F76" s="17"/>
      <c r="G76" s="9"/>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row>
    <row r="77" ht="15.75" customHeight="1">
      <c r="A77" s="17"/>
      <c r="B77" s="17"/>
      <c r="C77" s="60"/>
      <c r="D77" s="17"/>
      <c r="E77" s="17"/>
      <c r="F77" s="17"/>
      <c r="G77" s="9"/>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row>
    <row r="78" ht="15.75" customHeight="1">
      <c r="A78" s="17"/>
      <c r="B78" s="17"/>
      <c r="C78" s="60"/>
      <c r="D78" s="17"/>
      <c r="E78" s="17"/>
      <c r="F78" s="17"/>
      <c r="G78" s="9"/>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row>
    <row r="79" ht="15.75" customHeight="1">
      <c r="A79" s="17"/>
      <c r="B79" s="17"/>
      <c r="C79" s="60"/>
      <c r="D79" s="17"/>
      <c r="E79" s="17"/>
      <c r="F79" s="17"/>
      <c r="G79" s="9"/>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row>
    <row r="80" ht="15.75" customHeight="1">
      <c r="A80" s="17"/>
      <c r="B80" s="17"/>
      <c r="C80" s="60"/>
      <c r="D80" s="17"/>
      <c r="E80" s="17"/>
      <c r="F80" s="17"/>
      <c r="G80" s="9"/>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row>
    <row r="81" ht="15.75" customHeight="1">
      <c r="A81" s="17"/>
      <c r="B81" s="17"/>
      <c r="C81" s="60"/>
      <c r="D81" s="17"/>
      <c r="E81" s="17"/>
      <c r="F81" s="17"/>
      <c r="G81" s="9"/>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row>
    <row r="82" ht="15.75" customHeight="1">
      <c r="A82" s="17"/>
      <c r="B82" s="17"/>
      <c r="C82" s="60"/>
      <c r="D82" s="17"/>
      <c r="E82" s="17"/>
      <c r="F82" s="17"/>
      <c r="G82" s="9"/>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row>
    <row r="83" ht="15.75" customHeight="1">
      <c r="A83" s="17"/>
      <c r="B83" s="17"/>
      <c r="C83" s="60"/>
      <c r="D83" s="17"/>
      <c r="E83" s="17"/>
      <c r="F83" s="17"/>
      <c r="G83" s="9"/>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row>
    <row r="84" ht="15.75" customHeight="1">
      <c r="A84" s="17"/>
      <c r="B84" s="17"/>
      <c r="C84" s="60"/>
      <c r="D84" s="17"/>
      <c r="E84" s="17"/>
      <c r="F84" s="17"/>
      <c r="G84" s="9"/>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row>
    <row r="85" ht="15.75" customHeight="1">
      <c r="A85" s="17"/>
      <c r="B85" s="17"/>
      <c r="C85" s="60"/>
      <c r="D85" s="17"/>
      <c r="E85" s="17"/>
      <c r="F85" s="17"/>
      <c r="G85" s="9"/>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row>
    <row r="86" ht="15.75" customHeight="1">
      <c r="A86" s="17"/>
      <c r="B86" s="17"/>
      <c r="C86" s="60"/>
      <c r="D86" s="17"/>
      <c r="E86" s="17"/>
      <c r="F86" s="17"/>
      <c r="G86" s="9"/>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row>
    <row r="87" ht="15.75" customHeight="1">
      <c r="A87" s="17"/>
      <c r="B87" s="17"/>
      <c r="C87" s="60"/>
      <c r="D87" s="17"/>
      <c r="E87" s="17"/>
      <c r="F87" s="17"/>
      <c r="G87" s="9"/>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row>
    <row r="88" ht="15.75" customHeight="1">
      <c r="A88" s="17"/>
      <c r="B88" s="17"/>
      <c r="C88" s="60"/>
      <c r="D88" s="17"/>
      <c r="E88" s="17"/>
      <c r="F88" s="17"/>
      <c r="G88" s="9"/>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row>
    <row r="89" ht="15.75" customHeight="1">
      <c r="A89" s="17"/>
      <c r="B89" s="17"/>
      <c r="C89" s="60"/>
      <c r="D89" s="17"/>
      <c r="E89" s="17"/>
      <c r="F89" s="17"/>
      <c r="G89" s="9"/>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row>
    <row r="90" ht="15.75" customHeight="1">
      <c r="A90" s="17"/>
      <c r="B90" s="17"/>
      <c r="C90" s="60"/>
      <c r="D90" s="17"/>
      <c r="E90" s="17"/>
      <c r="F90" s="17"/>
      <c r="G90" s="9"/>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row>
    <row r="91" ht="15.75" customHeight="1">
      <c r="A91" s="17"/>
      <c r="B91" s="17"/>
      <c r="C91" s="60"/>
      <c r="D91" s="17"/>
      <c r="E91" s="17"/>
      <c r="F91" s="17"/>
      <c r="G91" s="9"/>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row>
    <row r="92" ht="15.75" customHeight="1">
      <c r="A92" s="17"/>
      <c r="B92" s="17"/>
      <c r="C92" s="60"/>
      <c r="D92" s="17"/>
      <c r="E92" s="17"/>
      <c r="F92" s="17"/>
      <c r="G92" s="9"/>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row>
    <row r="93" ht="15.75" customHeight="1">
      <c r="A93" s="17"/>
      <c r="B93" s="17"/>
      <c r="C93" s="60"/>
      <c r="D93" s="17"/>
      <c r="E93" s="17"/>
      <c r="F93" s="17"/>
      <c r="G93" s="9"/>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row>
    <row r="94" ht="15.75" customHeight="1">
      <c r="A94" s="17"/>
      <c r="B94" s="17"/>
      <c r="C94" s="60"/>
      <c r="D94" s="17"/>
      <c r="E94" s="17"/>
      <c r="F94" s="17"/>
      <c r="G94" s="9"/>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row>
    <row r="95" ht="15.75" customHeight="1">
      <c r="A95" s="17"/>
      <c r="B95" s="17"/>
      <c r="C95" s="60"/>
      <c r="D95" s="17"/>
      <c r="E95" s="17"/>
      <c r="F95" s="17"/>
      <c r="G95" s="9"/>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row>
    <row r="96" ht="15.75" customHeight="1">
      <c r="A96" s="17"/>
      <c r="B96" s="17"/>
      <c r="C96" s="60"/>
      <c r="D96" s="17"/>
      <c r="E96" s="17"/>
      <c r="F96" s="17"/>
      <c r="G96" s="9"/>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row>
    <row r="97" ht="15.75" customHeight="1">
      <c r="A97" s="17"/>
      <c r="B97" s="17"/>
      <c r="C97" s="60"/>
      <c r="D97" s="17"/>
      <c r="E97" s="17"/>
      <c r="F97" s="17"/>
      <c r="G97" s="9"/>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ht="15.75" customHeight="1">
      <c r="A98" s="17"/>
      <c r="B98" s="17"/>
      <c r="C98" s="60"/>
      <c r="D98" s="17"/>
      <c r="E98" s="17"/>
      <c r="F98" s="17"/>
      <c r="G98" s="9"/>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row>
    <row r="99" ht="15.75" customHeight="1">
      <c r="A99" s="17"/>
      <c r="B99" s="17"/>
      <c r="C99" s="60"/>
      <c r="D99" s="17"/>
      <c r="E99" s="17"/>
      <c r="F99" s="17"/>
      <c r="G99" s="9"/>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row>
    <row r="100" ht="15.75" customHeight="1">
      <c r="A100" s="17"/>
      <c r="B100" s="17"/>
      <c r="C100" s="60"/>
      <c r="D100" s="17"/>
      <c r="E100" s="17"/>
      <c r="F100" s="17"/>
      <c r="G100" s="9"/>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ht="15.75" customHeight="1">
      <c r="A101" s="17"/>
      <c r="B101" s="17"/>
      <c r="C101" s="60"/>
      <c r="D101" s="17"/>
      <c r="E101" s="17"/>
      <c r="F101" s="17"/>
      <c r="G101" s="9"/>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ht="15.75" customHeight="1">
      <c r="A102" s="17"/>
      <c r="B102" s="17"/>
      <c r="C102" s="60"/>
      <c r="D102" s="17"/>
      <c r="E102" s="17"/>
      <c r="F102" s="17"/>
      <c r="G102" s="9"/>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row>
    <row r="103" ht="15.75" customHeight="1">
      <c r="A103" s="17"/>
      <c r="B103" s="17"/>
      <c r="C103" s="60"/>
      <c r="D103" s="17"/>
      <c r="E103" s="17"/>
      <c r="F103" s="17"/>
      <c r="G103" s="9"/>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row>
    <row r="104" ht="15.75" customHeight="1">
      <c r="A104" s="17"/>
      <c r="B104" s="17"/>
      <c r="C104" s="60"/>
      <c r="D104" s="17"/>
      <c r="E104" s="17"/>
      <c r="F104" s="17"/>
      <c r="G104" s="9"/>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row>
    <row r="105" ht="15.75" customHeight="1">
      <c r="A105" s="17"/>
      <c r="B105" s="17"/>
      <c r="C105" s="60"/>
      <c r="D105" s="17"/>
      <c r="E105" s="17"/>
      <c r="F105" s="17"/>
      <c r="G105" s="9"/>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row>
    <row r="106" ht="15.75" customHeight="1">
      <c r="A106" s="17"/>
      <c r="B106" s="17"/>
      <c r="C106" s="60"/>
      <c r="D106" s="17"/>
      <c r="E106" s="17"/>
      <c r="F106" s="17"/>
      <c r="G106" s="9"/>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row>
    <row r="107" ht="15.75" customHeight="1">
      <c r="A107" s="17"/>
      <c r="B107" s="17"/>
      <c r="C107" s="60"/>
      <c r="D107" s="17"/>
      <c r="E107" s="17"/>
      <c r="F107" s="17"/>
      <c r="G107" s="9"/>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row>
    <row r="108" ht="15.75" customHeight="1">
      <c r="A108" s="17"/>
      <c r="B108" s="17"/>
      <c r="C108" s="60"/>
      <c r="D108" s="17"/>
      <c r="E108" s="17"/>
      <c r="F108" s="17"/>
      <c r="G108" s="9"/>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ht="15.75" customHeight="1">
      <c r="A109" s="17"/>
      <c r="B109" s="17"/>
      <c r="C109" s="60"/>
      <c r="D109" s="17"/>
      <c r="E109" s="17"/>
      <c r="F109" s="17"/>
      <c r="G109" s="9"/>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row>
    <row r="110" ht="15.75" customHeight="1">
      <c r="A110" s="17"/>
      <c r="B110" s="17"/>
      <c r="C110" s="60"/>
      <c r="D110" s="17"/>
      <c r="E110" s="17"/>
      <c r="F110" s="17"/>
      <c r="G110" s="9"/>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row>
    <row r="111" ht="15.75" customHeight="1">
      <c r="A111" s="17"/>
      <c r="B111" s="17"/>
      <c r="C111" s="60"/>
      <c r="D111" s="17"/>
      <c r="E111" s="17"/>
      <c r="F111" s="17"/>
      <c r="G111" s="9"/>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row>
    <row r="112" ht="15.75" customHeight="1">
      <c r="A112" s="17"/>
      <c r="B112" s="17"/>
      <c r="C112" s="60"/>
      <c r="D112" s="17"/>
      <c r="E112" s="17"/>
      <c r="F112" s="17"/>
      <c r="G112" s="9"/>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row>
    <row r="113" ht="15.75" customHeight="1">
      <c r="A113" s="17"/>
      <c r="B113" s="17"/>
      <c r="C113" s="60"/>
      <c r="D113" s="17"/>
      <c r="E113" s="17"/>
      <c r="F113" s="17"/>
      <c r="G113" s="9"/>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row>
    <row r="114" ht="15.75" customHeight="1">
      <c r="A114" s="17"/>
      <c r="B114" s="17"/>
      <c r="C114" s="60"/>
      <c r="D114" s="17"/>
      <c r="E114" s="17"/>
      <c r="F114" s="17"/>
      <c r="G114" s="9"/>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row>
    <row r="115" ht="15.75" customHeight="1">
      <c r="A115" s="17"/>
      <c r="B115" s="17"/>
      <c r="C115" s="60"/>
      <c r="D115" s="17"/>
      <c r="E115" s="17"/>
      <c r="F115" s="17"/>
      <c r="G115" s="9"/>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row>
    <row r="116" ht="15.75" customHeight="1">
      <c r="A116" s="17"/>
      <c r="B116" s="17"/>
      <c r="C116" s="60"/>
      <c r="D116" s="17"/>
      <c r="E116" s="17"/>
      <c r="F116" s="17"/>
      <c r="G116" s="9"/>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row>
    <row r="117" ht="15.75" customHeight="1">
      <c r="A117" s="17"/>
      <c r="B117" s="17"/>
      <c r="C117" s="60"/>
      <c r="D117" s="17"/>
      <c r="E117" s="17"/>
      <c r="F117" s="17"/>
      <c r="G117" s="9"/>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row>
    <row r="118" ht="15.75" customHeight="1">
      <c r="A118" s="17"/>
      <c r="B118" s="17"/>
      <c r="C118" s="60"/>
      <c r="D118" s="17"/>
      <c r="E118" s="17"/>
      <c r="F118" s="17"/>
      <c r="G118" s="9"/>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row>
    <row r="119" ht="15.75" customHeight="1">
      <c r="A119" s="17"/>
      <c r="B119" s="17"/>
      <c r="C119" s="60"/>
      <c r="D119" s="17"/>
      <c r="E119" s="17"/>
      <c r="F119" s="17"/>
      <c r="G119" s="9"/>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row>
    <row r="120" ht="15.75" customHeight="1">
      <c r="A120" s="17"/>
      <c r="B120" s="17"/>
      <c r="C120" s="60"/>
      <c r="D120" s="17"/>
      <c r="E120" s="17"/>
      <c r="F120" s="17"/>
      <c r="G120" s="9"/>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row>
    <row r="121" ht="15.75" customHeight="1">
      <c r="A121" s="17"/>
      <c r="B121" s="17"/>
      <c r="C121" s="60"/>
      <c r="D121" s="17"/>
      <c r="E121" s="17"/>
      <c r="F121" s="17"/>
      <c r="G121" s="9"/>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row>
    <row r="122" ht="15.75" customHeight="1">
      <c r="A122" s="17"/>
      <c r="B122" s="17"/>
      <c r="C122" s="60"/>
      <c r="D122" s="17"/>
      <c r="E122" s="17"/>
      <c r="F122" s="17"/>
      <c r="G122" s="9"/>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row>
    <row r="123" ht="15.75" customHeight="1">
      <c r="A123" s="17"/>
      <c r="B123" s="17"/>
      <c r="C123" s="60"/>
      <c r="D123" s="17"/>
      <c r="E123" s="17"/>
      <c r="F123" s="17"/>
      <c r="G123" s="9"/>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row>
    <row r="124" ht="15.75" customHeight="1">
      <c r="A124" s="17"/>
      <c r="B124" s="17"/>
      <c r="C124" s="60"/>
      <c r="D124" s="17"/>
      <c r="E124" s="17"/>
      <c r="F124" s="17"/>
      <c r="G124" s="9"/>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row>
    <row r="125" ht="15.75" customHeight="1">
      <c r="A125" s="17"/>
      <c r="B125" s="17"/>
      <c r="C125" s="60"/>
      <c r="D125" s="17"/>
      <c r="E125" s="17"/>
      <c r="F125" s="17"/>
      <c r="G125" s="9"/>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row>
    <row r="126" ht="15.75" customHeight="1">
      <c r="A126" s="17"/>
      <c r="B126" s="17"/>
      <c r="C126" s="60"/>
      <c r="D126" s="17"/>
      <c r="E126" s="17"/>
      <c r="F126" s="17"/>
      <c r="G126" s="9"/>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row>
    <row r="127" ht="15.75" customHeight="1">
      <c r="A127" s="17"/>
      <c r="B127" s="17"/>
      <c r="C127" s="60"/>
      <c r="D127" s="17"/>
      <c r="E127" s="17"/>
      <c r="F127" s="17"/>
      <c r="G127" s="9"/>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row>
    <row r="128" ht="15.75" customHeight="1">
      <c r="A128" s="17"/>
      <c r="B128" s="17"/>
      <c r="C128" s="60"/>
      <c r="D128" s="17"/>
      <c r="E128" s="17"/>
      <c r="F128" s="17"/>
      <c r="G128" s="9"/>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row>
    <row r="129" ht="15.75" customHeight="1">
      <c r="A129" s="17"/>
      <c r="B129" s="17"/>
      <c r="C129" s="60"/>
      <c r="D129" s="17"/>
      <c r="E129" s="17"/>
      <c r="F129" s="17"/>
      <c r="G129" s="9"/>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row>
    <row r="130" ht="15.75" customHeight="1">
      <c r="A130" s="17"/>
      <c r="B130" s="17"/>
      <c r="C130" s="60"/>
      <c r="D130" s="17"/>
      <c r="E130" s="17"/>
      <c r="F130" s="17"/>
      <c r="G130" s="9"/>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row>
    <row r="131" ht="15.75" customHeight="1">
      <c r="A131" s="17"/>
      <c r="B131" s="17"/>
      <c r="C131" s="60"/>
      <c r="D131" s="17"/>
      <c r="E131" s="17"/>
      <c r="F131" s="17"/>
      <c r="G131" s="9"/>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row>
    <row r="132" ht="15.75" customHeight="1">
      <c r="A132" s="17"/>
      <c r="B132" s="17"/>
      <c r="C132" s="60"/>
      <c r="D132" s="17"/>
      <c r="E132" s="17"/>
      <c r="F132" s="17"/>
      <c r="G132" s="9"/>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row>
    <row r="133" ht="15.75" customHeight="1">
      <c r="A133" s="17"/>
      <c r="B133" s="17"/>
      <c r="C133" s="60"/>
      <c r="D133" s="17"/>
      <c r="E133" s="17"/>
      <c r="F133" s="17"/>
      <c r="G133" s="9"/>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row>
    <row r="134" ht="15.75" customHeight="1">
      <c r="A134" s="17"/>
      <c r="B134" s="17"/>
      <c r="C134" s="60"/>
      <c r="D134" s="17"/>
      <c r="E134" s="17"/>
      <c r="F134" s="17"/>
      <c r="G134" s="9"/>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row>
    <row r="135" ht="15.75" customHeight="1">
      <c r="A135" s="17"/>
      <c r="B135" s="17"/>
      <c r="C135" s="60"/>
      <c r="D135" s="17"/>
      <c r="E135" s="17"/>
      <c r="F135" s="17"/>
      <c r="G135" s="9"/>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row>
    <row r="136" ht="15.75" customHeight="1">
      <c r="A136" s="17"/>
      <c r="B136" s="17"/>
      <c r="C136" s="60"/>
      <c r="D136" s="17"/>
      <c r="E136" s="17"/>
      <c r="F136" s="17"/>
      <c r="G136" s="9"/>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row>
    <row r="137" ht="15.75" customHeight="1">
      <c r="A137" s="17"/>
      <c r="B137" s="17"/>
      <c r="C137" s="60"/>
      <c r="D137" s="17"/>
      <c r="E137" s="17"/>
      <c r="F137" s="17"/>
      <c r="G137" s="9"/>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row>
    <row r="138" ht="15.75" customHeight="1">
      <c r="A138" s="17"/>
      <c r="B138" s="17"/>
      <c r="C138" s="60"/>
      <c r="D138" s="17"/>
      <c r="E138" s="17"/>
      <c r="F138" s="17"/>
      <c r="G138" s="9"/>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row>
    <row r="139" ht="15.75" customHeight="1">
      <c r="A139" s="17"/>
      <c r="B139" s="17"/>
      <c r="C139" s="60"/>
      <c r="D139" s="17"/>
      <c r="E139" s="17"/>
      <c r="F139" s="17"/>
      <c r="G139" s="9"/>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row>
    <row r="140" ht="15.75" customHeight="1">
      <c r="A140" s="17"/>
      <c r="B140" s="17"/>
      <c r="C140" s="60"/>
      <c r="D140" s="17"/>
      <c r="E140" s="17"/>
      <c r="F140" s="17"/>
      <c r="G140" s="9"/>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row>
    <row r="141" ht="15.75" customHeight="1">
      <c r="A141" s="17"/>
      <c r="B141" s="17"/>
      <c r="C141" s="60"/>
      <c r="D141" s="17"/>
      <c r="E141" s="17"/>
      <c r="F141" s="17"/>
      <c r="G141" s="9"/>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row>
    <row r="142" ht="15.75" customHeight="1">
      <c r="A142" s="17"/>
      <c r="B142" s="17"/>
      <c r="C142" s="60"/>
      <c r="D142" s="17"/>
      <c r="E142" s="17"/>
      <c r="F142" s="17"/>
      <c r="G142" s="9"/>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row>
    <row r="143" ht="15.75" customHeight="1">
      <c r="A143" s="17"/>
      <c r="B143" s="17"/>
      <c r="C143" s="60"/>
      <c r="D143" s="17"/>
      <c r="E143" s="17"/>
      <c r="F143" s="17"/>
      <c r="G143" s="9"/>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row>
    <row r="144" ht="15.75" customHeight="1">
      <c r="A144" s="17"/>
      <c r="B144" s="17"/>
      <c r="C144" s="60"/>
      <c r="D144" s="17"/>
      <c r="E144" s="17"/>
      <c r="F144" s="17"/>
      <c r="G144" s="9"/>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row>
    <row r="145" ht="15.75" customHeight="1">
      <c r="A145" s="17"/>
      <c r="B145" s="17"/>
      <c r="C145" s="60"/>
      <c r="D145" s="17"/>
      <c r="E145" s="17"/>
      <c r="F145" s="17"/>
      <c r="G145" s="9"/>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row>
    <row r="146" ht="15.75" customHeight="1">
      <c r="A146" s="17"/>
      <c r="B146" s="17"/>
      <c r="C146" s="60"/>
      <c r="D146" s="17"/>
      <c r="E146" s="17"/>
      <c r="F146" s="17"/>
      <c r="G146" s="9"/>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row>
    <row r="147" ht="15.75" customHeight="1">
      <c r="A147" s="17"/>
      <c r="B147" s="17"/>
      <c r="C147" s="60"/>
      <c r="D147" s="17"/>
      <c r="E147" s="17"/>
      <c r="F147" s="17"/>
      <c r="G147" s="9"/>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row>
    <row r="148" ht="15.75" customHeight="1">
      <c r="A148" s="17"/>
      <c r="B148" s="17"/>
      <c r="C148" s="60"/>
      <c r="D148" s="17"/>
      <c r="E148" s="17"/>
      <c r="F148" s="17"/>
      <c r="G148" s="9"/>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row>
    <row r="149" ht="15.75" customHeight="1">
      <c r="A149" s="17"/>
      <c r="B149" s="17"/>
      <c r="C149" s="60"/>
      <c r="D149" s="17"/>
      <c r="E149" s="17"/>
      <c r="F149" s="17"/>
      <c r="G149" s="9"/>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row>
    <row r="150" ht="15.75" customHeight="1">
      <c r="A150" s="17"/>
      <c r="B150" s="17"/>
      <c r="C150" s="60"/>
      <c r="D150" s="17"/>
      <c r="E150" s="17"/>
      <c r="F150" s="17"/>
      <c r="G150" s="9"/>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row>
    <row r="151" ht="15.75" customHeight="1">
      <c r="A151" s="17"/>
      <c r="B151" s="17"/>
      <c r="C151" s="60"/>
      <c r="D151" s="17"/>
      <c r="E151" s="17"/>
      <c r="F151" s="17"/>
      <c r="G151" s="9"/>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row>
    <row r="152" ht="15.75" customHeight="1">
      <c r="A152" s="17"/>
      <c r="B152" s="17"/>
      <c r="C152" s="60"/>
      <c r="D152" s="17"/>
      <c r="E152" s="17"/>
      <c r="F152" s="17"/>
      <c r="G152" s="9"/>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row>
    <row r="153" ht="15.75" customHeight="1">
      <c r="A153" s="17"/>
      <c r="B153" s="17"/>
      <c r="C153" s="60"/>
      <c r="D153" s="17"/>
      <c r="E153" s="17"/>
      <c r="F153" s="17"/>
      <c r="G153" s="9"/>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row>
    <row r="154" ht="15.75" customHeight="1">
      <c r="A154" s="17"/>
      <c r="B154" s="17"/>
      <c r="C154" s="60"/>
      <c r="D154" s="17"/>
      <c r="E154" s="17"/>
      <c r="F154" s="17"/>
      <c r="G154" s="9"/>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row>
    <row r="155" ht="15.75" customHeight="1">
      <c r="A155" s="17"/>
      <c r="B155" s="17"/>
      <c r="C155" s="60"/>
      <c r="D155" s="17"/>
      <c r="E155" s="17"/>
      <c r="F155" s="17"/>
      <c r="G155" s="9"/>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row>
    <row r="156" ht="15.75" customHeight="1">
      <c r="A156" s="17"/>
      <c r="B156" s="17"/>
      <c r="C156" s="60"/>
      <c r="D156" s="17"/>
      <c r="E156" s="17"/>
      <c r="F156" s="17"/>
      <c r="G156" s="9"/>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row>
    <row r="157" ht="15.75" customHeight="1">
      <c r="A157" s="17"/>
      <c r="B157" s="17"/>
      <c r="C157" s="60"/>
      <c r="D157" s="17"/>
      <c r="E157" s="17"/>
      <c r="F157" s="17"/>
      <c r="G157" s="9"/>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row>
    <row r="158" ht="15.75" customHeight="1">
      <c r="A158" s="17"/>
      <c r="B158" s="17"/>
      <c r="C158" s="60"/>
      <c r="D158" s="17"/>
      <c r="E158" s="17"/>
      <c r="F158" s="17"/>
      <c r="G158" s="9"/>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row>
    <row r="159" ht="15.75" customHeight="1">
      <c r="A159" s="17"/>
      <c r="B159" s="17"/>
      <c r="C159" s="60"/>
      <c r="D159" s="17"/>
      <c r="E159" s="17"/>
      <c r="F159" s="17"/>
      <c r="G159" s="9"/>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row>
    <row r="160" ht="15.75" customHeight="1">
      <c r="A160" s="17"/>
      <c r="B160" s="17"/>
      <c r="C160" s="60"/>
      <c r="D160" s="17"/>
      <c r="E160" s="17"/>
      <c r="F160" s="17"/>
      <c r="G160" s="9"/>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row>
    <row r="161" ht="15.75" customHeight="1">
      <c r="A161" s="17"/>
      <c r="B161" s="17"/>
      <c r="C161" s="60"/>
      <c r="D161" s="17"/>
      <c r="E161" s="17"/>
      <c r="F161" s="17"/>
      <c r="G161" s="9"/>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row>
    <row r="162" ht="15.75" customHeight="1">
      <c r="A162" s="17"/>
      <c r="B162" s="17"/>
      <c r="C162" s="60"/>
      <c r="D162" s="17"/>
      <c r="E162" s="17"/>
      <c r="F162" s="17"/>
      <c r="G162" s="9"/>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row>
    <row r="163" ht="15.75" customHeight="1">
      <c r="A163" s="17"/>
      <c r="B163" s="17"/>
      <c r="C163" s="60"/>
      <c r="D163" s="17"/>
      <c r="E163" s="17"/>
      <c r="F163" s="17"/>
      <c r="G163" s="9"/>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row>
    <row r="164" ht="15.75" customHeight="1">
      <c r="A164" s="17"/>
      <c r="B164" s="17"/>
      <c r="C164" s="60"/>
      <c r="D164" s="17"/>
      <c r="E164" s="17"/>
      <c r="F164" s="17"/>
      <c r="G164" s="9"/>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row>
    <row r="165" ht="15.75" customHeight="1">
      <c r="A165" s="17"/>
      <c r="B165" s="17"/>
      <c r="C165" s="60"/>
      <c r="D165" s="17"/>
      <c r="E165" s="17"/>
      <c r="F165" s="17"/>
      <c r="G165" s="9"/>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row>
    <row r="166" ht="15.75" customHeight="1">
      <c r="A166" s="17"/>
      <c r="B166" s="17"/>
      <c r="C166" s="60"/>
      <c r="D166" s="17"/>
      <c r="E166" s="17"/>
      <c r="F166" s="17"/>
      <c r="G166" s="9"/>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row>
    <row r="167" ht="15.75" customHeight="1">
      <c r="A167" s="17"/>
      <c r="B167" s="17"/>
      <c r="C167" s="60"/>
      <c r="D167" s="17"/>
      <c r="E167" s="17"/>
      <c r="F167" s="17"/>
      <c r="G167" s="9"/>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row>
    <row r="168" ht="15.75" customHeight="1">
      <c r="A168" s="17"/>
      <c r="B168" s="17"/>
      <c r="C168" s="60"/>
      <c r="D168" s="17"/>
      <c r="E168" s="17"/>
      <c r="F168" s="17"/>
      <c r="G168" s="9"/>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row>
    <row r="169" ht="15.75" customHeight="1">
      <c r="A169" s="17"/>
      <c r="B169" s="17"/>
      <c r="C169" s="60"/>
      <c r="D169" s="17"/>
      <c r="E169" s="17"/>
      <c r="F169" s="17"/>
      <c r="G169" s="9"/>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row>
    <row r="170" ht="15.75" customHeight="1">
      <c r="A170" s="17"/>
      <c r="B170" s="17"/>
      <c r="C170" s="60"/>
      <c r="D170" s="17"/>
      <c r="E170" s="17"/>
      <c r="F170" s="17"/>
      <c r="G170" s="9"/>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row>
    <row r="171" ht="15.75" customHeight="1">
      <c r="A171" s="17"/>
      <c r="B171" s="17"/>
      <c r="C171" s="60"/>
      <c r="D171" s="17"/>
      <c r="E171" s="17"/>
      <c r="F171" s="17"/>
      <c r="G171" s="9"/>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row>
    <row r="172" ht="15.75" customHeight="1">
      <c r="A172" s="17"/>
      <c r="B172" s="17"/>
      <c r="C172" s="60"/>
      <c r="D172" s="17"/>
      <c r="E172" s="17"/>
      <c r="F172" s="17"/>
      <c r="G172" s="9"/>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row>
    <row r="173" ht="15.75" customHeight="1">
      <c r="A173" s="17"/>
      <c r="B173" s="17"/>
      <c r="C173" s="60"/>
      <c r="D173" s="17"/>
      <c r="E173" s="17"/>
      <c r="F173" s="17"/>
      <c r="G173" s="9"/>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row>
    <row r="174" ht="15.75" customHeight="1">
      <c r="A174" s="17"/>
      <c r="B174" s="17"/>
      <c r="C174" s="60"/>
      <c r="D174" s="17"/>
      <c r="E174" s="17"/>
      <c r="F174" s="17"/>
      <c r="G174" s="9"/>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row>
    <row r="175" ht="15.75" customHeight="1">
      <c r="A175" s="17"/>
      <c r="B175" s="17"/>
      <c r="C175" s="60"/>
      <c r="D175" s="17"/>
      <c r="E175" s="17"/>
      <c r="F175" s="17"/>
      <c r="G175" s="9"/>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row>
    <row r="176" ht="15.75" customHeight="1">
      <c r="A176" s="17"/>
      <c r="B176" s="17"/>
      <c r="C176" s="60"/>
      <c r="D176" s="17"/>
      <c r="E176" s="17"/>
      <c r="F176" s="17"/>
      <c r="G176" s="9"/>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row>
    <row r="177" ht="15.75" customHeight="1">
      <c r="A177" s="17"/>
      <c r="B177" s="17"/>
      <c r="C177" s="60"/>
      <c r="D177" s="17"/>
      <c r="E177" s="17"/>
      <c r="F177" s="17"/>
      <c r="G177" s="9"/>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row>
    <row r="178" ht="15.75" customHeight="1">
      <c r="A178" s="17"/>
      <c r="B178" s="17"/>
      <c r="C178" s="60"/>
      <c r="D178" s="17"/>
      <c r="E178" s="17"/>
      <c r="F178" s="17"/>
      <c r="G178" s="9"/>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row>
    <row r="179" ht="15.75" customHeight="1">
      <c r="A179" s="17"/>
      <c r="B179" s="17"/>
      <c r="C179" s="60"/>
      <c r="D179" s="17"/>
      <c r="E179" s="17"/>
      <c r="F179" s="17"/>
      <c r="G179" s="9"/>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row>
    <row r="180" ht="15.75" customHeight="1">
      <c r="A180" s="17"/>
      <c r="B180" s="17"/>
      <c r="C180" s="60"/>
      <c r="D180" s="17"/>
      <c r="E180" s="17"/>
      <c r="F180" s="17"/>
      <c r="G180" s="9"/>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row>
    <row r="181" ht="15.75" customHeight="1">
      <c r="A181" s="17"/>
      <c r="B181" s="17"/>
      <c r="C181" s="60"/>
      <c r="D181" s="17"/>
      <c r="E181" s="17"/>
      <c r="F181" s="17"/>
      <c r="G181" s="9"/>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row>
    <row r="182" ht="15.75" customHeight="1">
      <c r="A182" s="17"/>
      <c r="B182" s="17"/>
      <c r="C182" s="60"/>
      <c r="D182" s="17"/>
      <c r="E182" s="17"/>
      <c r="F182" s="17"/>
      <c r="G182" s="9"/>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row>
    <row r="183" ht="15.75" customHeight="1">
      <c r="A183" s="17"/>
      <c r="B183" s="17"/>
      <c r="C183" s="60"/>
      <c r="D183" s="17"/>
      <c r="E183" s="17"/>
      <c r="F183" s="17"/>
      <c r="G183" s="9"/>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row>
    <row r="184" ht="15.75" customHeight="1">
      <c r="A184" s="17"/>
      <c r="B184" s="17"/>
      <c r="C184" s="60"/>
      <c r="D184" s="17"/>
      <c r="E184" s="17"/>
      <c r="F184" s="17"/>
      <c r="G184" s="9"/>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row>
    <row r="185" ht="15.75" customHeight="1">
      <c r="A185" s="17"/>
      <c r="B185" s="17"/>
      <c r="C185" s="60"/>
      <c r="D185" s="17"/>
      <c r="E185" s="17"/>
      <c r="F185" s="17"/>
      <c r="G185" s="9"/>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row>
    <row r="186" ht="15.75" customHeight="1">
      <c r="A186" s="17"/>
      <c r="B186" s="17"/>
      <c r="C186" s="60"/>
      <c r="D186" s="17"/>
      <c r="E186" s="17"/>
      <c r="F186" s="17"/>
      <c r="G186" s="9"/>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row>
    <row r="187" ht="15.75" customHeight="1">
      <c r="A187" s="17"/>
      <c r="B187" s="17"/>
      <c r="C187" s="60"/>
      <c r="D187" s="17"/>
      <c r="E187" s="17"/>
      <c r="F187" s="17"/>
      <c r="G187" s="9"/>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row>
    <row r="188" ht="15.75" customHeight="1">
      <c r="A188" s="17"/>
      <c r="B188" s="17"/>
      <c r="C188" s="60"/>
      <c r="D188" s="17"/>
      <c r="E188" s="17"/>
      <c r="F188" s="17"/>
      <c r="G188" s="9"/>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row>
    <row r="189" ht="15.75" customHeight="1">
      <c r="A189" s="17"/>
      <c r="B189" s="17"/>
      <c r="C189" s="60"/>
      <c r="D189" s="17"/>
      <c r="E189" s="17"/>
      <c r="F189" s="17"/>
      <c r="G189" s="9"/>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row>
    <row r="190" ht="15.75" customHeight="1">
      <c r="A190" s="17"/>
      <c r="B190" s="17"/>
      <c r="C190" s="60"/>
      <c r="D190" s="17"/>
      <c r="E190" s="17"/>
      <c r="F190" s="17"/>
      <c r="G190" s="9"/>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row>
    <row r="191" ht="15.75" customHeight="1">
      <c r="A191" s="17"/>
      <c r="B191" s="17"/>
      <c r="C191" s="60"/>
      <c r="D191" s="17"/>
      <c r="E191" s="17"/>
      <c r="F191" s="17"/>
      <c r="G191" s="9"/>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row>
    <row r="192" ht="15.75" customHeight="1">
      <c r="A192" s="17"/>
      <c r="B192" s="17"/>
      <c r="C192" s="60"/>
      <c r="D192" s="17"/>
      <c r="E192" s="17"/>
      <c r="F192" s="17"/>
      <c r="G192" s="9"/>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row>
    <row r="193" ht="15.75" customHeight="1">
      <c r="A193" s="17"/>
      <c r="B193" s="17"/>
      <c r="C193" s="60"/>
      <c r="D193" s="17"/>
      <c r="E193" s="17"/>
      <c r="F193" s="17"/>
      <c r="G193" s="9"/>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row>
    <row r="194" ht="15.75" customHeight="1">
      <c r="A194" s="17"/>
      <c r="B194" s="17"/>
      <c r="C194" s="60"/>
      <c r="D194" s="17"/>
      <c r="E194" s="17"/>
      <c r="F194" s="17"/>
      <c r="G194" s="9"/>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row>
    <row r="195" ht="15.75" customHeight="1">
      <c r="A195" s="17"/>
      <c r="B195" s="17"/>
      <c r="C195" s="60"/>
      <c r="D195" s="17"/>
      <c r="E195" s="17"/>
      <c r="F195" s="17"/>
      <c r="G195" s="9"/>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row>
    <row r="196" ht="15.75" customHeight="1">
      <c r="A196" s="17"/>
      <c r="B196" s="17"/>
      <c r="C196" s="60"/>
      <c r="D196" s="17"/>
      <c r="E196" s="17"/>
      <c r="F196" s="17"/>
      <c r="G196" s="9"/>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row>
    <row r="197" ht="15.75" customHeight="1">
      <c r="A197" s="17"/>
      <c r="B197" s="17"/>
      <c r="C197" s="60"/>
      <c r="D197" s="17"/>
      <c r="E197" s="17"/>
      <c r="F197" s="17"/>
      <c r="G197" s="9"/>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row>
    <row r="198" ht="15.75" customHeight="1">
      <c r="A198" s="17"/>
      <c r="B198" s="17"/>
      <c r="C198" s="60"/>
      <c r="D198" s="17"/>
      <c r="E198" s="17"/>
      <c r="F198" s="17"/>
      <c r="G198" s="9"/>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row>
    <row r="199" ht="15.75" customHeight="1">
      <c r="A199" s="17"/>
      <c r="B199" s="17"/>
      <c r="C199" s="60"/>
      <c r="D199" s="17"/>
      <c r="E199" s="17"/>
      <c r="F199" s="17"/>
      <c r="G199" s="9"/>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row>
    <row r="200" ht="15.75" customHeight="1">
      <c r="A200" s="17"/>
      <c r="B200" s="17"/>
      <c r="C200" s="60"/>
      <c r="D200" s="17"/>
      <c r="E200" s="17"/>
      <c r="F200" s="17"/>
      <c r="G200" s="9"/>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row>
    <row r="201" ht="15.75" customHeight="1">
      <c r="A201" s="17"/>
      <c r="B201" s="17"/>
      <c r="C201" s="60"/>
      <c r="D201" s="17"/>
      <c r="E201" s="17"/>
      <c r="F201" s="17"/>
      <c r="G201" s="9"/>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row>
    <row r="202" ht="15.75" customHeight="1">
      <c r="A202" s="17"/>
      <c r="B202" s="17"/>
      <c r="C202" s="60"/>
      <c r="D202" s="17"/>
      <c r="E202" s="17"/>
      <c r="F202" s="17"/>
      <c r="G202" s="9"/>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row>
    <row r="203" ht="15.75" customHeight="1">
      <c r="A203" s="17"/>
      <c r="B203" s="17"/>
      <c r="C203" s="60"/>
      <c r="D203" s="17"/>
      <c r="E203" s="17"/>
      <c r="F203" s="17"/>
      <c r="G203" s="9"/>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row>
    <row r="204" ht="15.75" customHeight="1">
      <c r="A204" s="17"/>
      <c r="B204" s="17"/>
      <c r="C204" s="60"/>
      <c r="D204" s="17"/>
      <c r="E204" s="17"/>
      <c r="F204" s="17"/>
      <c r="G204" s="9"/>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row>
    <row r="205" ht="15.75" customHeight="1">
      <c r="A205" s="17"/>
      <c r="B205" s="17"/>
      <c r="C205" s="60"/>
      <c r="D205" s="17"/>
      <c r="E205" s="17"/>
      <c r="F205" s="17"/>
      <c r="G205" s="9"/>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row>
    <row r="206" ht="15.75" customHeight="1">
      <c r="A206" s="17"/>
      <c r="B206" s="17"/>
      <c r="C206" s="60"/>
      <c r="D206" s="17"/>
      <c r="E206" s="17"/>
      <c r="F206" s="17"/>
      <c r="G206" s="9"/>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row>
    <row r="207" ht="15.75" customHeight="1">
      <c r="A207" s="17"/>
      <c r="B207" s="17"/>
      <c r="C207" s="60"/>
      <c r="D207" s="17"/>
      <c r="E207" s="17"/>
      <c r="F207" s="17"/>
      <c r="G207" s="9"/>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row>
    <row r="208" ht="15.75" customHeight="1">
      <c r="A208" s="17"/>
      <c r="B208" s="17"/>
      <c r="C208" s="60"/>
      <c r="D208" s="17"/>
      <c r="E208" s="17"/>
      <c r="F208" s="17"/>
      <c r="G208" s="9"/>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row>
    <row r="209" ht="15.75" customHeight="1">
      <c r="A209" s="17"/>
      <c r="B209" s="17"/>
      <c r="C209" s="60"/>
      <c r="D209" s="17"/>
      <c r="E209" s="17"/>
      <c r="F209" s="17"/>
      <c r="G209" s="9"/>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row>
    <row r="210" ht="15.75" customHeight="1">
      <c r="A210" s="17"/>
      <c r="B210" s="17"/>
      <c r="C210" s="60"/>
      <c r="D210" s="17"/>
      <c r="E210" s="17"/>
      <c r="F210" s="17"/>
      <c r="G210" s="9"/>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row>
    <row r="211" ht="15.75" customHeight="1">
      <c r="A211" s="17"/>
      <c r="B211" s="17"/>
      <c r="C211" s="60"/>
      <c r="D211" s="17"/>
      <c r="E211" s="17"/>
      <c r="F211" s="17"/>
      <c r="G211" s="9"/>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row>
    <row r="212" ht="15.75" customHeight="1">
      <c r="A212" s="17"/>
      <c r="B212" s="17"/>
      <c r="C212" s="60"/>
      <c r="D212" s="17"/>
      <c r="E212" s="17"/>
      <c r="F212" s="17"/>
      <c r="G212" s="9"/>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row>
    <row r="213" ht="15.75" customHeight="1">
      <c r="A213" s="17"/>
      <c r="B213" s="17"/>
      <c r="C213" s="60"/>
      <c r="D213" s="17"/>
      <c r="E213" s="17"/>
      <c r="F213" s="17"/>
      <c r="G213" s="9"/>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row>
    <row r="214" ht="15.75" customHeight="1">
      <c r="A214" s="17"/>
      <c r="B214" s="17"/>
      <c r="C214" s="60"/>
      <c r="D214" s="17"/>
      <c r="E214" s="17"/>
      <c r="F214" s="17"/>
      <c r="G214" s="9"/>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row>
    <row r="215" ht="15.75" customHeight="1">
      <c r="A215" s="17"/>
      <c r="B215" s="17"/>
      <c r="C215" s="60"/>
      <c r="D215" s="17"/>
      <c r="E215" s="17"/>
      <c r="F215" s="17"/>
      <c r="G215" s="9"/>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row>
    <row r="216" ht="15.75" customHeight="1">
      <c r="A216" s="17"/>
      <c r="B216" s="17"/>
      <c r="C216" s="60"/>
      <c r="D216" s="17"/>
      <c r="E216" s="17"/>
      <c r="F216" s="17"/>
      <c r="G216" s="9"/>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row>
    <row r="217" ht="15.75" customHeight="1">
      <c r="A217" s="17"/>
      <c r="B217" s="17"/>
      <c r="C217" s="60"/>
      <c r="D217" s="17"/>
      <c r="E217" s="17"/>
      <c r="F217" s="17"/>
      <c r="G217" s="9"/>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row>
    <row r="218" ht="15.75" customHeight="1">
      <c r="A218" s="17"/>
      <c r="B218" s="17"/>
      <c r="C218" s="60"/>
      <c r="D218" s="17"/>
      <c r="E218" s="17"/>
      <c r="F218" s="17"/>
      <c r="G218" s="9"/>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row>
    <row r="219" ht="15.75" customHeight="1">
      <c r="A219" s="17"/>
      <c r="B219" s="17"/>
      <c r="C219" s="60"/>
      <c r="D219" s="17"/>
      <c r="E219" s="17"/>
      <c r="F219" s="17"/>
      <c r="G219" s="9"/>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row>
    <row r="220" ht="15.75" customHeight="1">
      <c r="A220" s="17"/>
      <c r="B220" s="17"/>
      <c r="C220" s="60"/>
      <c r="D220" s="17"/>
      <c r="E220" s="17"/>
      <c r="F220" s="17"/>
      <c r="G220" s="9"/>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row>
    <row r="221" ht="15.75" customHeight="1">
      <c r="A221" s="17"/>
      <c r="B221" s="17"/>
      <c r="C221" s="60"/>
      <c r="D221" s="17"/>
      <c r="E221" s="17"/>
      <c r="F221" s="17"/>
      <c r="G221" s="9"/>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row>
    <row r="222" ht="15.75" customHeight="1">
      <c r="A222" s="17"/>
      <c r="B222" s="17"/>
      <c r="C222" s="60"/>
      <c r="D222" s="17"/>
      <c r="E222" s="17"/>
      <c r="F222" s="17"/>
      <c r="G222" s="9"/>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row>
    <row r="223" ht="15.75" customHeight="1">
      <c r="A223" s="17"/>
      <c r="B223" s="17"/>
      <c r="C223" s="60"/>
      <c r="D223" s="17"/>
      <c r="E223" s="17"/>
      <c r="F223" s="17"/>
      <c r="G223" s="9"/>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row>
    <row r="224" ht="15.75" customHeight="1">
      <c r="A224" s="17"/>
      <c r="B224" s="17"/>
      <c r="C224" s="60"/>
      <c r="D224" s="17"/>
      <c r="E224" s="17"/>
      <c r="F224" s="17"/>
      <c r="G224" s="9"/>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row>
    <row r="225" ht="15.75" customHeight="1">
      <c r="A225" s="17"/>
      <c r="B225" s="17"/>
      <c r="C225" s="60"/>
      <c r="D225" s="17"/>
      <c r="E225" s="17"/>
      <c r="F225" s="17"/>
      <c r="G225" s="9"/>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row>
    <row r="226" ht="15.75" customHeight="1">
      <c r="A226" s="17"/>
      <c r="B226" s="17"/>
      <c r="C226" s="60"/>
      <c r="D226" s="17"/>
      <c r="E226" s="17"/>
      <c r="F226" s="17"/>
      <c r="G226" s="9"/>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row>
    <row r="227" ht="15.75" customHeight="1">
      <c r="A227" s="17"/>
      <c r="B227" s="17"/>
      <c r="C227" s="60"/>
      <c r="D227" s="17"/>
      <c r="E227" s="17"/>
      <c r="F227" s="17"/>
      <c r="G227" s="9"/>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row>
    <row r="228" ht="15.75" customHeight="1">
      <c r="A228" s="17"/>
      <c r="B228" s="17"/>
      <c r="C228" s="60"/>
      <c r="D228" s="17"/>
      <c r="E228" s="17"/>
      <c r="F228" s="17"/>
      <c r="G228" s="9"/>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row>
    <row r="229" ht="15.75" customHeight="1">
      <c r="A229" s="17"/>
      <c r="B229" s="17"/>
      <c r="C229" s="60"/>
      <c r="D229" s="17"/>
      <c r="E229" s="17"/>
      <c r="F229" s="17"/>
      <c r="G229" s="9"/>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row>
    <row r="230" ht="15.75" customHeight="1">
      <c r="A230" s="17"/>
      <c r="B230" s="17"/>
      <c r="C230" s="60"/>
      <c r="D230" s="17"/>
      <c r="E230" s="17"/>
      <c r="F230" s="17"/>
      <c r="G230" s="9"/>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row>
    <row r="231" ht="15.75" customHeight="1">
      <c r="A231" s="17"/>
      <c r="B231" s="17"/>
      <c r="C231" s="60"/>
      <c r="D231" s="17"/>
      <c r="E231" s="17"/>
      <c r="F231" s="17"/>
      <c r="G231" s="9"/>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row>
    <row r="232" ht="15.75" customHeight="1">
      <c r="E232" s="68"/>
      <c r="J232" s="68"/>
      <c r="L232" s="68"/>
      <c r="M232" s="68"/>
      <c r="O232" s="68"/>
      <c r="R232" s="68"/>
    </row>
    <row r="233" ht="15.75" customHeight="1">
      <c r="E233" s="68"/>
      <c r="J233" s="68"/>
      <c r="L233" s="68"/>
      <c r="M233" s="68"/>
      <c r="O233" s="68"/>
      <c r="R233" s="68"/>
    </row>
    <row r="234" ht="15.75" customHeight="1">
      <c r="E234" s="68"/>
      <c r="J234" s="68"/>
      <c r="L234" s="68"/>
      <c r="M234" s="68"/>
      <c r="O234" s="68"/>
      <c r="R234" s="68"/>
    </row>
    <row r="235" ht="15.75" customHeight="1">
      <c r="E235" s="68"/>
      <c r="J235" s="68"/>
      <c r="L235" s="68"/>
      <c r="M235" s="68"/>
      <c r="O235" s="68"/>
      <c r="R235" s="68"/>
    </row>
    <row r="236" ht="15.75" customHeight="1">
      <c r="E236" s="68"/>
      <c r="J236" s="68"/>
      <c r="L236" s="68"/>
      <c r="M236" s="68"/>
      <c r="O236" s="68"/>
      <c r="R236" s="68"/>
    </row>
    <row r="237" ht="15.75" customHeight="1">
      <c r="E237" s="68"/>
      <c r="J237" s="68"/>
      <c r="L237" s="68"/>
      <c r="M237" s="68"/>
      <c r="O237" s="68"/>
      <c r="R237" s="68"/>
    </row>
    <row r="238" ht="15.75" customHeight="1">
      <c r="E238" s="68"/>
      <c r="J238" s="68"/>
      <c r="L238" s="68"/>
      <c r="M238" s="68"/>
      <c r="O238" s="68"/>
      <c r="R238" s="68"/>
    </row>
    <row r="239" ht="15.75" customHeight="1">
      <c r="E239" s="68"/>
      <c r="J239" s="68"/>
      <c r="L239" s="68"/>
      <c r="M239" s="68"/>
      <c r="O239" s="68"/>
      <c r="R239" s="68"/>
    </row>
    <row r="240" ht="15.75" customHeight="1">
      <c r="E240" s="68"/>
      <c r="J240" s="68"/>
      <c r="L240" s="68"/>
      <c r="M240" s="68"/>
      <c r="O240" s="68"/>
      <c r="R240" s="68"/>
    </row>
    <row r="241" ht="15.75" customHeight="1">
      <c r="E241" s="68"/>
      <c r="J241" s="68"/>
      <c r="L241" s="68"/>
      <c r="M241" s="68"/>
      <c r="O241" s="68"/>
      <c r="R241" s="68"/>
    </row>
    <row r="242" ht="15.75" customHeight="1">
      <c r="E242" s="68"/>
      <c r="J242" s="68"/>
      <c r="L242" s="68"/>
      <c r="M242" s="68"/>
      <c r="O242" s="68"/>
      <c r="R242" s="68"/>
    </row>
    <row r="243" ht="15.75" customHeight="1">
      <c r="E243" s="68"/>
      <c r="J243" s="68"/>
      <c r="L243" s="68"/>
      <c r="M243" s="68"/>
      <c r="O243" s="68"/>
      <c r="R243" s="68"/>
    </row>
    <row r="244" ht="15.75" customHeight="1">
      <c r="E244" s="68"/>
      <c r="J244" s="68"/>
      <c r="L244" s="68"/>
      <c r="M244" s="68"/>
      <c r="O244" s="68"/>
      <c r="R244" s="68"/>
    </row>
    <row r="245" ht="15.75" customHeight="1">
      <c r="E245" s="68"/>
      <c r="J245" s="68"/>
      <c r="L245" s="68"/>
      <c r="M245" s="68"/>
      <c r="O245" s="68"/>
      <c r="R245" s="68"/>
    </row>
    <row r="246" ht="15.75" customHeight="1">
      <c r="E246" s="68"/>
      <c r="J246" s="68"/>
      <c r="L246" s="68"/>
      <c r="M246" s="68"/>
      <c r="O246" s="68"/>
      <c r="R246" s="68"/>
    </row>
    <row r="247" ht="15.75" customHeight="1">
      <c r="E247" s="68"/>
      <c r="J247" s="68"/>
      <c r="L247" s="68"/>
      <c r="M247" s="68"/>
      <c r="O247" s="68"/>
      <c r="R247" s="68"/>
    </row>
    <row r="248" ht="15.75" customHeight="1">
      <c r="E248" s="68"/>
      <c r="J248" s="68"/>
      <c r="L248" s="68"/>
      <c r="M248" s="68"/>
      <c r="O248" s="68"/>
      <c r="R248" s="68"/>
    </row>
    <row r="249" ht="15.75" customHeight="1">
      <c r="E249" s="68"/>
      <c r="J249" s="68"/>
      <c r="L249" s="68"/>
      <c r="M249" s="68"/>
      <c r="O249" s="68"/>
      <c r="R249" s="68"/>
    </row>
    <row r="250" ht="15.75" customHeight="1">
      <c r="E250" s="68"/>
      <c r="J250" s="68"/>
      <c r="L250" s="68"/>
      <c r="M250" s="68"/>
      <c r="O250" s="68"/>
      <c r="R250" s="68"/>
    </row>
    <row r="251" ht="15.75" customHeight="1">
      <c r="E251" s="68"/>
      <c r="J251" s="68"/>
      <c r="L251" s="68"/>
      <c r="M251" s="68"/>
      <c r="O251" s="68"/>
      <c r="R251" s="68"/>
    </row>
    <row r="252" ht="15.75" customHeight="1">
      <c r="E252" s="68"/>
      <c r="J252" s="68"/>
      <c r="L252" s="68"/>
      <c r="M252" s="68"/>
      <c r="O252" s="68"/>
      <c r="R252" s="68"/>
    </row>
    <row r="253" ht="15.75" customHeight="1">
      <c r="E253" s="68"/>
      <c r="J253" s="68"/>
      <c r="L253" s="68"/>
      <c r="M253" s="68"/>
      <c r="O253" s="68"/>
      <c r="R253" s="68"/>
    </row>
    <row r="254" ht="15.75" customHeight="1">
      <c r="E254" s="68"/>
      <c r="J254" s="68"/>
      <c r="L254" s="68"/>
      <c r="M254" s="68"/>
      <c r="O254" s="68"/>
      <c r="R254" s="68"/>
    </row>
    <row r="255" ht="15.75" customHeight="1">
      <c r="E255" s="68"/>
      <c r="J255" s="68"/>
      <c r="L255" s="68"/>
      <c r="M255" s="68"/>
      <c r="O255" s="68"/>
      <c r="R255" s="68"/>
    </row>
    <row r="256" ht="15.75" customHeight="1">
      <c r="E256" s="68"/>
      <c r="J256" s="68"/>
      <c r="L256" s="68"/>
      <c r="M256" s="68"/>
      <c r="O256" s="68"/>
      <c r="R256" s="68"/>
    </row>
    <row r="257" ht="15.75" customHeight="1">
      <c r="E257" s="68"/>
      <c r="J257" s="68"/>
      <c r="L257" s="68"/>
      <c r="M257" s="68"/>
      <c r="O257" s="68"/>
      <c r="R257" s="68"/>
    </row>
    <row r="258" ht="15.75" customHeight="1">
      <c r="E258" s="68"/>
      <c r="J258" s="68"/>
      <c r="L258" s="68"/>
      <c r="M258" s="68"/>
      <c r="O258" s="68"/>
      <c r="R258" s="68"/>
    </row>
    <row r="259" ht="15.75" customHeight="1">
      <c r="E259" s="68"/>
      <c r="J259" s="68"/>
      <c r="L259" s="68"/>
      <c r="M259" s="68"/>
      <c r="O259" s="68"/>
      <c r="R259" s="68"/>
    </row>
    <row r="260" ht="15.75" customHeight="1">
      <c r="E260" s="68"/>
      <c r="J260" s="68"/>
      <c r="L260" s="68"/>
      <c r="M260" s="68"/>
      <c r="O260" s="68"/>
      <c r="R260" s="68"/>
    </row>
    <row r="261" ht="15.75" customHeight="1">
      <c r="E261" s="68"/>
      <c r="J261" s="68"/>
      <c r="L261" s="68"/>
      <c r="M261" s="68"/>
      <c r="O261" s="68"/>
      <c r="R261" s="68"/>
    </row>
    <row r="262" ht="15.75" customHeight="1">
      <c r="E262" s="68"/>
      <c r="J262" s="68"/>
      <c r="L262" s="68"/>
      <c r="M262" s="68"/>
      <c r="O262" s="68"/>
      <c r="R262" s="68"/>
    </row>
    <row r="263" ht="15.75" customHeight="1">
      <c r="E263" s="68"/>
      <c r="J263" s="68"/>
      <c r="L263" s="68"/>
      <c r="M263" s="68"/>
      <c r="O263" s="68"/>
      <c r="R263" s="68"/>
    </row>
    <row r="264" ht="15.75" customHeight="1">
      <c r="E264" s="68"/>
      <c r="J264" s="68"/>
      <c r="L264" s="68"/>
      <c r="M264" s="68"/>
      <c r="O264" s="68"/>
      <c r="R264" s="68"/>
    </row>
    <row r="265" ht="15.75" customHeight="1">
      <c r="E265" s="68"/>
      <c r="J265" s="68"/>
      <c r="L265" s="68"/>
      <c r="M265" s="68"/>
      <c r="O265" s="68"/>
      <c r="R265" s="68"/>
    </row>
    <row r="266" ht="15.75" customHeight="1">
      <c r="E266" s="68"/>
      <c r="J266" s="68"/>
      <c r="L266" s="68"/>
      <c r="M266" s="68"/>
      <c r="O266" s="68"/>
      <c r="R266" s="68"/>
    </row>
    <row r="267" ht="15.75" customHeight="1">
      <c r="E267" s="68"/>
      <c r="J267" s="68"/>
      <c r="L267" s="68"/>
      <c r="M267" s="68"/>
      <c r="O267" s="68"/>
      <c r="R267" s="68"/>
    </row>
    <row r="268" ht="15.75" customHeight="1">
      <c r="E268" s="68"/>
      <c r="J268" s="68"/>
      <c r="L268" s="68"/>
      <c r="M268" s="68"/>
      <c r="O268" s="68"/>
      <c r="R268" s="68"/>
    </row>
    <row r="269" ht="15.75" customHeight="1">
      <c r="E269" s="68"/>
      <c r="J269" s="68"/>
      <c r="L269" s="68"/>
      <c r="M269" s="68"/>
      <c r="O269" s="68"/>
      <c r="R269" s="68"/>
    </row>
    <row r="270" ht="15.75" customHeight="1">
      <c r="E270" s="68"/>
      <c r="J270" s="68"/>
      <c r="L270" s="68"/>
      <c r="M270" s="68"/>
      <c r="O270" s="68"/>
      <c r="R270" s="68"/>
    </row>
    <row r="271" ht="15.75" customHeight="1">
      <c r="E271" s="68"/>
      <c r="J271" s="68"/>
      <c r="L271" s="68"/>
      <c r="M271" s="68"/>
      <c r="O271" s="68"/>
      <c r="R271" s="68"/>
    </row>
    <row r="272" ht="15.75" customHeight="1">
      <c r="E272" s="68"/>
      <c r="J272" s="68"/>
      <c r="L272" s="68"/>
      <c r="M272" s="68"/>
      <c r="O272" s="68"/>
      <c r="R272" s="68"/>
    </row>
    <row r="273" ht="15.75" customHeight="1">
      <c r="E273" s="68"/>
      <c r="J273" s="68"/>
      <c r="L273" s="68"/>
      <c r="M273" s="68"/>
      <c r="O273" s="68"/>
      <c r="R273" s="68"/>
    </row>
    <row r="274" ht="15.75" customHeight="1">
      <c r="E274" s="68"/>
      <c r="J274" s="68"/>
      <c r="L274" s="68"/>
      <c r="M274" s="68"/>
      <c r="O274" s="68"/>
      <c r="R274" s="68"/>
    </row>
    <row r="275" ht="15.75" customHeight="1">
      <c r="E275" s="68"/>
      <c r="J275" s="68"/>
      <c r="L275" s="68"/>
      <c r="M275" s="68"/>
      <c r="O275" s="68"/>
      <c r="R275" s="68"/>
    </row>
    <row r="276" ht="15.75" customHeight="1">
      <c r="E276" s="68"/>
      <c r="J276" s="68"/>
      <c r="L276" s="68"/>
      <c r="M276" s="68"/>
      <c r="O276" s="68"/>
      <c r="R276" s="68"/>
    </row>
    <row r="277" ht="15.75" customHeight="1">
      <c r="E277" s="68"/>
      <c r="J277" s="68"/>
      <c r="L277" s="68"/>
      <c r="M277" s="68"/>
      <c r="O277" s="68"/>
      <c r="R277" s="68"/>
    </row>
    <row r="278" ht="15.75" customHeight="1">
      <c r="E278" s="68"/>
      <c r="J278" s="68"/>
      <c r="L278" s="68"/>
      <c r="M278" s="68"/>
      <c r="O278" s="68"/>
      <c r="R278" s="68"/>
    </row>
    <row r="279" ht="15.75" customHeight="1">
      <c r="E279" s="68"/>
      <c r="J279" s="68"/>
      <c r="L279" s="68"/>
      <c r="M279" s="68"/>
      <c r="O279" s="68"/>
      <c r="R279" s="68"/>
    </row>
    <row r="280" ht="15.75" customHeight="1">
      <c r="E280" s="68"/>
      <c r="J280" s="68"/>
      <c r="L280" s="68"/>
      <c r="M280" s="68"/>
      <c r="O280" s="68"/>
      <c r="R280" s="68"/>
    </row>
    <row r="281" ht="15.75" customHeight="1">
      <c r="E281" s="68"/>
      <c r="J281" s="68"/>
      <c r="L281" s="68"/>
      <c r="M281" s="68"/>
      <c r="O281" s="68"/>
      <c r="R281" s="68"/>
    </row>
    <row r="282" ht="15.75" customHeight="1">
      <c r="E282" s="68"/>
      <c r="J282" s="68"/>
      <c r="L282" s="68"/>
      <c r="M282" s="68"/>
      <c r="O282" s="68"/>
      <c r="R282" s="68"/>
    </row>
    <row r="283" ht="15.75" customHeight="1">
      <c r="E283" s="68"/>
      <c r="J283" s="68"/>
      <c r="L283" s="68"/>
      <c r="M283" s="68"/>
      <c r="O283" s="68"/>
      <c r="R283" s="68"/>
    </row>
    <row r="284" ht="15.75" customHeight="1">
      <c r="E284" s="68"/>
      <c r="J284" s="68"/>
      <c r="L284" s="68"/>
      <c r="M284" s="68"/>
      <c r="O284" s="68"/>
      <c r="R284" s="68"/>
    </row>
    <row r="285" ht="15.75" customHeight="1">
      <c r="E285" s="68"/>
      <c r="J285" s="68"/>
      <c r="L285" s="68"/>
      <c r="M285" s="68"/>
      <c r="O285" s="68"/>
      <c r="R285" s="68"/>
    </row>
    <row r="286" ht="15.75" customHeight="1">
      <c r="E286" s="68"/>
      <c r="J286" s="68"/>
      <c r="L286" s="68"/>
      <c r="M286" s="68"/>
      <c r="O286" s="68"/>
      <c r="R286" s="68"/>
    </row>
    <row r="287" ht="15.75" customHeight="1">
      <c r="E287" s="68"/>
      <c r="J287" s="68"/>
      <c r="L287" s="68"/>
      <c r="M287" s="68"/>
      <c r="O287" s="68"/>
      <c r="R287" s="68"/>
    </row>
    <row r="288" ht="15.75" customHeight="1">
      <c r="E288" s="68"/>
      <c r="J288" s="68"/>
      <c r="L288" s="68"/>
      <c r="M288" s="68"/>
      <c r="O288" s="68"/>
      <c r="R288" s="68"/>
    </row>
    <row r="289" ht="15.75" customHeight="1">
      <c r="E289" s="68"/>
      <c r="J289" s="68"/>
      <c r="L289" s="68"/>
      <c r="M289" s="68"/>
      <c r="O289" s="68"/>
      <c r="R289" s="68"/>
    </row>
    <row r="290" ht="15.75" customHeight="1">
      <c r="E290" s="68"/>
      <c r="J290" s="68"/>
      <c r="L290" s="68"/>
      <c r="M290" s="68"/>
      <c r="O290" s="68"/>
      <c r="R290" s="68"/>
    </row>
    <row r="291" ht="15.75" customHeight="1">
      <c r="E291" s="68"/>
      <c r="J291" s="68"/>
      <c r="L291" s="68"/>
      <c r="M291" s="68"/>
      <c r="O291" s="68"/>
      <c r="R291" s="68"/>
    </row>
    <row r="292" ht="15.75" customHeight="1">
      <c r="E292" s="68"/>
      <c r="J292" s="68"/>
      <c r="L292" s="68"/>
      <c r="M292" s="68"/>
      <c r="O292" s="68"/>
      <c r="R292" s="68"/>
    </row>
    <row r="293" ht="15.75" customHeight="1">
      <c r="E293" s="68"/>
      <c r="J293" s="68"/>
      <c r="L293" s="68"/>
      <c r="M293" s="68"/>
      <c r="O293" s="68"/>
      <c r="R293" s="68"/>
    </row>
    <row r="294" ht="15.75" customHeight="1">
      <c r="E294" s="68"/>
      <c r="J294" s="68"/>
      <c r="L294" s="68"/>
      <c r="M294" s="68"/>
      <c r="O294" s="68"/>
      <c r="R294" s="68"/>
    </row>
    <row r="295" ht="15.75" customHeight="1">
      <c r="E295" s="68"/>
      <c r="J295" s="68"/>
      <c r="L295" s="68"/>
      <c r="M295" s="68"/>
      <c r="O295" s="68"/>
      <c r="R295" s="68"/>
    </row>
    <row r="296" ht="15.75" customHeight="1">
      <c r="E296" s="68"/>
      <c r="J296" s="68"/>
      <c r="L296" s="68"/>
      <c r="M296" s="68"/>
      <c r="O296" s="68"/>
      <c r="R296" s="68"/>
    </row>
    <row r="297" ht="15.75" customHeight="1">
      <c r="E297" s="68"/>
      <c r="J297" s="68"/>
      <c r="L297" s="68"/>
      <c r="M297" s="68"/>
      <c r="O297" s="68"/>
      <c r="R297" s="68"/>
    </row>
    <row r="298" ht="15.75" customHeight="1">
      <c r="E298" s="68"/>
      <c r="J298" s="68"/>
      <c r="L298" s="68"/>
      <c r="M298" s="68"/>
      <c r="O298" s="68"/>
      <c r="R298" s="68"/>
    </row>
    <row r="299" ht="15.75" customHeight="1">
      <c r="E299" s="68"/>
      <c r="J299" s="68"/>
      <c r="L299" s="68"/>
      <c r="M299" s="68"/>
      <c r="O299" s="68"/>
      <c r="R299" s="68"/>
    </row>
    <row r="300" ht="15.75" customHeight="1">
      <c r="E300" s="68"/>
      <c r="J300" s="68"/>
      <c r="L300" s="68"/>
      <c r="M300" s="68"/>
      <c r="O300" s="68"/>
      <c r="R300" s="68"/>
    </row>
    <row r="301" ht="15.75" customHeight="1">
      <c r="E301" s="68"/>
      <c r="J301" s="68"/>
      <c r="L301" s="68"/>
      <c r="M301" s="68"/>
      <c r="O301" s="68"/>
      <c r="R301" s="68"/>
    </row>
    <row r="302" ht="15.75" customHeight="1">
      <c r="E302" s="68"/>
      <c r="J302" s="68"/>
      <c r="L302" s="68"/>
      <c r="M302" s="68"/>
      <c r="O302" s="68"/>
      <c r="R302" s="68"/>
    </row>
    <row r="303" ht="15.75" customHeight="1">
      <c r="E303" s="68"/>
      <c r="J303" s="68"/>
      <c r="L303" s="68"/>
      <c r="M303" s="68"/>
      <c r="O303" s="68"/>
      <c r="R303" s="68"/>
    </row>
    <row r="304" ht="15.75" customHeight="1">
      <c r="E304" s="68"/>
      <c r="J304" s="68"/>
      <c r="L304" s="68"/>
      <c r="M304" s="68"/>
      <c r="O304" s="68"/>
      <c r="R304" s="68"/>
    </row>
    <row r="305" ht="15.75" customHeight="1">
      <c r="E305" s="68"/>
      <c r="J305" s="68"/>
      <c r="L305" s="68"/>
      <c r="M305" s="68"/>
      <c r="O305" s="68"/>
      <c r="R305" s="68"/>
    </row>
    <row r="306" ht="15.75" customHeight="1">
      <c r="E306" s="68"/>
      <c r="J306" s="68"/>
      <c r="L306" s="68"/>
      <c r="M306" s="68"/>
      <c r="O306" s="68"/>
      <c r="R306" s="68"/>
    </row>
    <row r="307" ht="15.75" customHeight="1">
      <c r="E307" s="68"/>
      <c r="J307" s="68"/>
      <c r="L307" s="68"/>
      <c r="M307" s="68"/>
      <c r="O307" s="68"/>
      <c r="R307" s="68"/>
    </row>
    <row r="308" ht="15.75" customHeight="1">
      <c r="E308" s="68"/>
      <c r="J308" s="68"/>
      <c r="L308" s="68"/>
      <c r="M308" s="68"/>
      <c r="O308" s="68"/>
      <c r="R308" s="68"/>
    </row>
    <row r="309" ht="15.75" customHeight="1">
      <c r="E309" s="68"/>
      <c r="J309" s="68"/>
      <c r="L309" s="68"/>
      <c r="M309" s="68"/>
      <c r="O309" s="68"/>
      <c r="R309" s="68"/>
    </row>
    <row r="310" ht="15.75" customHeight="1">
      <c r="E310" s="68"/>
      <c r="J310" s="68"/>
      <c r="L310" s="68"/>
      <c r="M310" s="68"/>
      <c r="O310" s="68"/>
      <c r="R310" s="68"/>
    </row>
    <row r="311" ht="15.75" customHeight="1">
      <c r="E311" s="68"/>
      <c r="J311" s="68"/>
      <c r="L311" s="68"/>
      <c r="M311" s="68"/>
      <c r="O311" s="68"/>
      <c r="R311" s="68"/>
    </row>
    <row r="312" ht="15.75" customHeight="1">
      <c r="E312" s="68"/>
      <c r="J312" s="68"/>
      <c r="L312" s="68"/>
      <c r="M312" s="68"/>
      <c r="O312" s="68"/>
      <c r="R312" s="68"/>
    </row>
    <row r="313" ht="15.75" customHeight="1">
      <c r="E313" s="68"/>
      <c r="J313" s="68"/>
      <c r="L313" s="68"/>
      <c r="M313" s="68"/>
      <c r="O313" s="68"/>
      <c r="R313" s="68"/>
    </row>
    <row r="314" ht="15.75" customHeight="1">
      <c r="E314" s="68"/>
      <c r="J314" s="68"/>
      <c r="L314" s="68"/>
      <c r="M314" s="68"/>
      <c r="O314" s="68"/>
      <c r="R314" s="68"/>
    </row>
    <row r="315" ht="15.75" customHeight="1">
      <c r="E315" s="68"/>
      <c r="J315" s="68"/>
      <c r="L315" s="68"/>
      <c r="M315" s="68"/>
      <c r="O315" s="68"/>
      <c r="R315" s="68"/>
    </row>
    <row r="316" ht="15.75" customHeight="1">
      <c r="E316" s="68"/>
      <c r="J316" s="68"/>
      <c r="L316" s="68"/>
      <c r="M316" s="68"/>
      <c r="O316" s="68"/>
      <c r="R316" s="68"/>
    </row>
    <row r="317" ht="15.75" customHeight="1">
      <c r="E317" s="68"/>
      <c r="J317" s="68"/>
      <c r="L317" s="68"/>
      <c r="M317" s="68"/>
      <c r="O317" s="68"/>
      <c r="R317" s="68"/>
    </row>
    <row r="318" ht="15.75" customHeight="1">
      <c r="E318" s="68"/>
      <c r="J318" s="68"/>
      <c r="L318" s="68"/>
      <c r="M318" s="68"/>
      <c r="O318" s="68"/>
      <c r="R318" s="68"/>
    </row>
    <row r="319" ht="15.75" customHeight="1">
      <c r="E319" s="68"/>
      <c r="J319" s="68"/>
      <c r="L319" s="68"/>
      <c r="M319" s="68"/>
      <c r="O319" s="68"/>
      <c r="R319" s="68"/>
    </row>
    <row r="320" ht="15.75" customHeight="1">
      <c r="E320" s="68"/>
      <c r="J320" s="68"/>
      <c r="L320" s="68"/>
      <c r="M320" s="68"/>
      <c r="O320" s="68"/>
      <c r="R320" s="68"/>
    </row>
    <row r="321" ht="15.75" customHeight="1">
      <c r="E321" s="68"/>
      <c r="J321" s="68"/>
      <c r="L321" s="68"/>
      <c r="M321" s="68"/>
      <c r="O321" s="68"/>
      <c r="R321" s="68"/>
    </row>
    <row r="322" ht="15.75" customHeight="1">
      <c r="E322" s="68"/>
      <c r="J322" s="68"/>
      <c r="L322" s="68"/>
      <c r="M322" s="68"/>
      <c r="O322" s="68"/>
      <c r="R322" s="68"/>
    </row>
    <row r="323" ht="15.75" customHeight="1">
      <c r="E323" s="68"/>
      <c r="J323" s="68"/>
      <c r="L323" s="68"/>
      <c r="M323" s="68"/>
      <c r="O323" s="68"/>
      <c r="R323" s="68"/>
    </row>
    <row r="324" ht="15.75" customHeight="1">
      <c r="E324" s="68"/>
      <c r="J324" s="68"/>
      <c r="L324" s="68"/>
      <c r="M324" s="68"/>
      <c r="O324" s="68"/>
      <c r="R324" s="68"/>
    </row>
    <row r="325" ht="15.75" customHeight="1">
      <c r="E325" s="68"/>
      <c r="J325" s="68"/>
      <c r="L325" s="68"/>
      <c r="M325" s="68"/>
      <c r="O325" s="68"/>
      <c r="R325" s="68"/>
    </row>
    <row r="326" ht="15.75" customHeight="1">
      <c r="E326" s="68"/>
      <c r="J326" s="68"/>
      <c r="L326" s="68"/>
      <c r="M326" s="68"/>
      <c r="O326" s="68"/>
      <c r="R326" s="68"/>
    </row>
    <row r="327" ht="15.75" customHeight="1">
      <c r="E327" s="68"/>
      <c r="J327" s="68"/>
      <c r="L327" s="68"/>
      <c r="M327" s="68"/>
      <c r="O327" s="68"/>
      <c r="R327" s="68"/>
    </row>
    <row r="328" ht="15.75" customHeight="1">
      <c r="E328" s="68"/>
      <c r="J328" s="68"/>
      <c r="L328" s="68"/>
      <c r="M328" s="68"/>
      <c r="O328" s="68"/>
      <c r="R328" s="68"/>
    </row>
    <row r="329" ht="15.75" customHeight="1">
      <c r="E329" s="68"/>
      <c r="J329" s="68"/>
      <c r="L329" s="68"/>
      <c r="M329" s="68"/>
      <c r="O329" s="68"/>
      <c r="R329" s="68"/>
    </row>
    <row r="330" ht="15.75" customHeight="1">
      <c r="E330" s="68"/>
      <c r="J330" s="68"/>
      <c r="L330" s="68"/>
      <c r="M330" s="68"/>
      <c r="O330" s="68"/>
      <c r="R330" s="68"/>
    </row>
    <row r="331" ht="15.75" customHeight="1">
      <c r="E331" s="68"/>
      <c r="J331" s="68"/>
      <c r="L331" s="68"/>
      <c r="M331" s="68"/>
      <c r="O331" s="68"/>
      <c r="R331" s="68"/>
    </row>
    <row r="332" ht="15.75" customHeight="1">
      <c r="E332" s="68"/>
      <c r="J332" s="68"/>
      <c r="L332" s="68"/>
      <c r="M332" s="68"/>
      <c r="O332" s="68"/>
      <c r="R332" s="68"/>
    </row>
    <row r="333" ht="15.75" customHeight="1">
      <c r="E333" s="68"/>
      <c r="J333" s="68"/>
      <c r="L333" s="68"/>
      <c r="M333" s="68"/>
      <c r="O333" s="68"/>
      <c r="R333" s="68"/>
    </row>
    <row r="334" ht="15.75" customHeight="1">
      <c r="E334" s="68"/>
      <c r="J334" s="68"/>
      <c r="L334" s="68"/>
      <c r="M334" s="68"/>
      <c r="O334" s="68"/>
      <c r="R334" s="68"/>
    </row>
    <row r="335" ht="15.75" customHeight="1">
      <c r="E335" s="68"/>
      <c r="J335" s="68"/>
      <c r="L335" s="68"/>
      <c r="M335" s="68"/>
      <c r="O335" s="68"/>
      <c r="R335" s="68"/>
    </row>
    <row r="336" ht="15.75" customHeight="1">
      <c r="E336" s="68"/>
      <c r="J336" s="68"/>
      <c r="L336" s="68"/>
      <c r="M336" s="68"/>
      <c r="O336" s="68"/>
      <c r="R336" s="68"/>
    </row>
    <row r="337" ht="15.75" customHeight="1">
      <c r="E337" s="68"/>
      <c r="J337" s="68"/>
      <c r="L337" s="68"/>
      <c r="M337" s="68"/>
      <c r="O337" s="68"/>
      <c r="R337" s="68"/>
    </row>
    <row r="338" ht="15.75" customHeight="1">
      <c r="E338" s="68"/>
      <c r="J338" s="68"/>
      <c r="L338" s="68"/>
      <c r="M338" s="68"/>
      <c r="O338" s="68"/>
      <c r="R338" s="68"/>
    </row>
    <row r="339" ht="15.75" customHeight="1">
      <c r="E339" s="68"/>
      <c r="J339" s="68"/>
      <c r="L339" s="68"/>
      <c r="M339" s="68"/>
      <c r="O339" s="68"/>
      <c r="R339" s="68"/>
    </row>
    <row r="340" ht="15.75" customHeight="1">
      <c r="E340" s="68"/>
      <c r="J340" s="68"/>
      <c r="L340" s="68"/>
      <c r="M340" s="68"/>
      <c r="O340" s="68"/>
      <c r="R340" s="68"/>
    </row>
    <row r="341" ht="15.75" customHeight="1">
      <c r="E341" s="68"/>
      <c r="J341" s="68"/>
      <c r="L341" s="68"/>
      <c r="M341" s="68"/>
      <c r="O341" s="68"/>
      <c r="R341" s="68"/>
    </row>
    <row r="342" ht="15.75" customHeight="1">
      <c r="E342" s="68"/>
      <c r="J342" s="68"/>
      <c r="L342" s="68"/>
      <c r="M342" s="68"/>
      <c r="O342" s="68"/>
      <c r="R342" s="68"/>
    </row>
    <row r="343" ht="15.75" customHeight="1">
      <c r="E343" s="68"/>
      <c r="J343" s="68"/>
      <c r="L343" s="68"/>
      <c r="M343" s="68"/>
      <c r="O343" s="68"/>
      <c r="R343" s="68"/>
    </row>
    <row r="344" ht="15.75" customHeight="1">
      <c r="E344" s="68"/>
      <c r="J344" s="68"/>
      <c r="L344" s="68"/>
      <c r="M344" s="68"/>
      <c r="O344" s="68"/>
      <c r="R344" s="68"/>
    </row>
    <row r="345" ht="15.75" customHeight="1">
      <c r="E345" s="68"/>
      <c r="J345" s="68"/>
      <c r="L345" s="68"/>
      <c r="M345" s="68"/>
      <c r="O345" s="68"/>
      <c r="R345" s="68"/>
    </row>
    <row r="346" ht="15.75" customHeight="1">
      <c r="E346" s="68"/>
      <c r="J346" s="68"/>
      <c r="L346" s="68"/>
      <c r="M346" s="68"/>
      <c r="O346" s="68"/>
      <c r="R346" s="68"/>
    </row>
    <row r="347" ht="15.75" customHeight="1">
      <c r="E347" s="68"/>
      <c r="J347" s="68"/>
      <c r="L347" s="68"/>
      <c r="M347" s="68"/>
      <c r="O347" s="68"/>
      <c r="R347" s="68"/>
    </row>
    <row r="348" ht="15.75" customHeight="1">
      <c r="E348" s="68"/>
      <c r="J348" s="68"/>
      <c r="L348" s="68"/>
      <c r="M348" s="68"/>
      <c r="O348" s="68"/>
      <c r="R348" s="68"/>
    </row>
    <row r="349" ht="15.75" customHeight="1">
      <c r="E349" s="68"/>
      <c r="J349" s="68"/>
      <c r="L349" s="68"/>
      <c r="M349" s="68"/>
      <c r="O349" s="68"/>
      <c r="R349" s="68"/>
    </row>
    <row r="350" ht="15.75" customHeight="1">
      <c r="E350" s="68"/>
      <c r="J350" s="68"/>
      <c r="L350" s="68"/>
      <c r="M350" s="68"/>
      <c r="O350" s="68"/>
      <c r="R350" s="68"/>
    </row>
    <row r="351" ht="15.75" customHeight="1">
      <c r="E351" s="68"/>
      <c r="J351" s="68"/>
      <c r="L351" s="68"/>
      <c r="M351" s="68"/>
      <c r="O351" s="68"/>
      <c r="R351" s="68"/>
    </row>
    <row r="352" ht="15.75" customHeight="1">
      <c r="E352" s="68"/>
      <c r="J352" s="68"/>
      <c r="L352" s="68"/>
      <c r="M352" s="68"/>
      <c r="O352" s="68"/>
      <c r="R352" s="68"/>
    </row>
    <row r="353" ht="15.75" customHeight="1">
      <c r="E353" s="68"/>
      <c r="J353" s="68"/>
      <c r="L353" s="68"/>
      <c r="M353" s="68"/>
      <c r="O353" s="68"/>
      <c r="R353" s="68"/>
    </row>
    <row r="354" ht="15.75" customHeight="1">
      <c r="E354" s="68"/>
      <c r="J354" s="68"/>
      <c r="L354" s="68"/>
      <c r="M354" s="68"/>
      <c r="O354" s="68"/>
      <c r="R354" s="68"/>
    </row>
    <row r="355" ht="15.75" customHeight="1">
      <c r="E355" s="68"/>
      <c r="J355" s="68"/>
      <c r="L355" s="68"/>
      <c r="M355" s="68"/>
      <c r="O355" s="68"/>
      <c r="R355" s="68"/>
    </row>
    <row r="356" ht="15.75" customHeight="1">
      <c r="E356" s="68"/>
      <c r="J356" s="68"/>
      <c r="L356" s="68"/>
      <c r="M356" s="68"/>
      <c r="O356" s="68"/>
      <c r="R356" s="68"/>
    </row>
    <row r="357" ht="15.75" customHeight="1">
      <c r="E357" s="68"/>
      <c r="J357" s="68"/>
      <c r="L357" s="68"/>
      <c r="M357" s="68"/>
      <c r="O357" s="68"/>
      <c r="R357" s="68"/>
    </row>
    <row r="358" ht="15.75" customHeight="1">
      <c r="E358" s="68"/>
      <c r="J358" s="68"/>
      <c r="L358" s="68"/>
      <c r="M358" s="68"/>
      <c r="O358" s="68"/>
      <c r="R358" s="68"/>
    </row>
    <row r="359" ht="15.75" customHeight="1">
      <c r="E359" s="68"/>
      <c r="J359" s="68"/>
      <c r="L359" s="68"/>
      <c r="M359" s="68"/>
      <c r="O359" s="68"/>
      <c r="R359" s="68"/>
    </row>
    <row r="360" ht="15.75" customHeight="1">
      <c r="E360" s="68"/>
      <c r="J360" s="68"/>
      <c r="L360" s="68"/>
      <c r="M360" s="68"/>
      <c r="O360" s="68"/>
      <c r="R360" s="68"/>
    </row>
    <row r="361" ht="15.75" customHeight="1">
      <c r="E361" s="68"/>
      <c r="J361" s="68"/>
      <c r="L361" s="68"/>
      <c r="M361" s="68"/>
      <c r="O361" s="68"/>
      <c r="R361" s="68"/>
    </row>
    <row r="362" ht="15.75" customHeight="1">
      <c r="E362" s="68"/>
      <c r="J362" s="68"/>
      <c r="L362" s="68"/>
      <c r="M362" s="68"/>
      <c r="O362" s="68"/>
      <c r="R362" s="68"/>
    </row>
    <row r="363" ht="15.75" customHeight="1">
      <c r="E363" s="68"/>
      <c r="J363" s="68"/>
      <c r="L363" s="68"/>
      <c r="M363" s="68"/>
      <c r="O363" s="68"/>
      <c r="R363" s="68"/>
    </row>
    <row r="364" ht="15.75" customHeight="1">
      <c r="E364" s="68"/>
      <c r="J364" s="68"/>
      <c r="L364" s="68"/>
      <c r="M364" s="68"/>
      <c r="O364" s="68"/>
      <c r="R364" s="68"/>
    </row>
    <row r="365" ht="15.75" customHeight="1">
      <c r="E365" s="68"/>
      <c r="J365" s="68"/>
      <c r="L365" s="68"/>
      <c r="M365" s="68"/>
      <c r="O365" s="68"/>
      <c r="R365" s="68"/>
    </row>
    <row r="366" ht="15.75" customHeight="1">
      <c r="E366" s="68"/>
      <c r="J366" s="68"/>
      <c r="L366" s="68"/>
      <c r="M366" s="68"/>
      <c r="O366" s="68"/>
      <c r="R366" s="68"/>
    </row>
    <row r="367" ht="15.75" customHeight="1">
      <c r="E367" s="68"/>
      <c r="J367" s="68"/>
      <c r="L367" s="68"/>
      <c r="M367" s="68"/>
      <c r="O367" s="68"/>
      <c r="R367" s="68"/>
    </row>
    <row r="368" ht="15.75" customHeight="1">
      <c r="E368" s="68"/>
      <c r="J368" s="68"/>
      <c r="L368" s="68"/>
      <c r="M368" s="68"/>
      <c r="O368" s="68"/>
      <c r="R368" s="68"/>
    </row>
    <row r="369" ht="15.75" customHeight="1">
      <c r="E369" s="68"/>
      <c r="J369" s="68"/>
      <c r="L369" s="68"/>
      <c r="M369" s="68"/>
      <c r="O369" s="68"/>
      <c r="R369" s="68"/>
    </row>
    <row r="370" ht="15.75" customHeight="1">
      <c r="E370" s="68"/>
      <c r="J370" s="68"/>
      <c r="L370" s="68"/>
      <c r="M370" s="68"/>
      <c r="O370" s="68"/>
      <c r="R370" s="68"/>
    </row>
    <row r="371" ht="15.75" customHeight="1">
      <c r="E371" s="68"/>
      <c r="J371" s="68"/>
      <c r="L371" s="68"/>
      <c r="M371" s="68"/>
      <c r="O371" s="68"/>
      <c r="R371" s="68"/>
    </row>
    <row r="372" ht="15.75" customHeight="1">
      <c r="E372" s="68"/>
      <c r="J372" s="68"/>
      <c r="L372" s="68"/>
      <c r="M372" s="68"/>
      <c r="O372" s="68"/>
      <c r="R372" s="68"/>
    </row>
    <row r="373" ht="15.75" customHeight="1">
      <c r="E373" s="68"/>
      <c r="J373" s="68"/>
      <c r="L373" s="68"/>
      <c r="M373" s="68"/>
      <c r="O373" s="68"/>
      <c r="R373" s="68"/>
    </row>
    <row r="374" ht="15.75" customHeight="1">
      <c r="E374" s="68"/>
      <c r="J374" s="68"/>
      <c r="L374" s="68"/>
      <c r="M374" s="68"/>
      <c r="O374" s="68"/>
      <c r="R374" s="68"/>
    </row>
    <row r="375" ht="15.75" customHeight="1">
      <c r="E375" s="68"/>
      <c r="J375" s="68"/>
      <c r="L375" s="68"/>
      <c r="M375" s="68"/>
      <c r="O375" s="68"/>
      <c r="R375" s="68"/>
    </row>
    <row r="376" ht="15.75" customHeight="1">
      <c r="E376" s="68"/>
      <c r="J376" s="68"/>
      <c r="L376" s="68"/>
      <c r="M376" s="68"/>
      <c r="O376" s="68"/>
      <c r="R376" s="68"/>
    </row>
    <row r="377" ht="15.75" customHeight="1">
      <c r="E377" s="68"/>
      <c r="J377" s="68"/>
      <c r="L377" s="68"/>
      <c r="M377" s="68"/>
      <c r="O377" s="68"/>
      <c r="R377" s="68"/>
    </row>
    <row r="378" ht="15.75" customHeight="1">
      <c r="E378" s="68"/>
      <c r="J378" s="68"/>
      <c r="L378" s="68"/>
      <c r="M378" s="68"/>
      <c r="O378" s="68"/>
      <c r="R378" s="68"/>
    </row>
    <row r="379" ht="15.75" customHeight="1">
      <c r="E379" s="68"/>
      <c r="J379" s="68"/>
      <c r="L379" s="68"/>
      <c r="M379" s="68"/>
      <c r="O379" s="68"/>
      <c r="R379" s="68"/>
    </row>
    <row r="380" ht="15.75" customHeight="1">
      <c r="E380" s="68"/>
      <c r="J380" s="68"/>
      <c r="L380" s="68"/>
      <c r="M380" s="68"/>
      <c r="O380" s="68"/>
      <c r="R380" s="68"/>
    </row>
    <row r="381" ht="15.75" customHeight="1">
      <c r="E381" s="68"/>
      <c r="J381" s="68"/>
      <c r="L381" s="68"/>
      <c r="M381" s="68"/>
      <c r="O381" s="68"/>
      <c r="R381" s="68"/>
    </row>
    <row r="382" ht="15.75" customHeight="1">
      <c r="E382" s="68"/>
      <c r="J382" s="68"/>
      <c r="L382" s="68"/>
      <c r="M382" s="68"/>
      <c r="O382" s="68"/>
      <c r="R382" s="68"/>
    </row>
    <row r="383" ht="15.75" customHeight="1">
      <c r="E383" s="68"/>
      <c r="J383" s="68"/>
      <c r="L383" s="68"/>
      <c r="M383" s="68"/>
      <c r="O383" s="68"/>
      <c r="R383" s="68"/>
    </row>
    <row r="384" ht="15.75" customHeight="1">
      <c r="E384" s="68"/>
      <c r="J384" s="68"/>
      <c r="L384" s="68"/>
      <c r="M384" s="68"/>
      <c r="O384" s="68"/>
      <c r="R384" s="68"/>
    </row>
    <row r="385" ht="15.75" customHeight="1">
      <c r="E385" s="68"/>
      <c r="J385" s="68"/>
      <c r="L385" s="68"/>
      <c r="M385" s="68"/>
      <c r="O385" s="68"/>
      <c r="R385" s="68"/>
    </row>
    <row r="386" ht="15.75" customHeight="1">
      <c r="E386" s="68"/>
      <c r="J386" s="68"/>
      <c r="L386" s="68"/>
      <c r="M386" s="68"/>
      <c r="O386" s="68"/>
      <c r="R386" s="68"/>
    </row>
    <row r="387" ht="15.75" customHeight="1">
      <c r="E387" s="68"/>
      <c r="J387" s="68"/>
      <c r="L387" s="68"/>
      <c r="M387" s="68"/>
      <c r="O387" s="68"/>
      <c r="R387" s="68"/>
    </row>
    <row r="388" ht="15.75" customHeight="1">
      <c r="E388" s="68"/>
      <c r="J388" s="68"/>
      <c r="L388" s="68"/>
      <c r="M388" s="68"/>
      <c r="O388" s="68"/>
      <c r="R388" s="68"/>
    </row>
    <row r="389" ht="15.75" customHeight="1">
      <c r="E389" s="68"/>
      <c r="J389" s="68"/>
      <c r="L389" s="68"/>
      <c r="M389" s="68"/>
      <c r="O389" s="68"/>
      <c r="R389" s="68"/>
    </row>
    <row r="390" ht="15.75" customHeight="1">
      <c r="E390" s="68"/>
      <c r="J390" s="68"/>
      <c r="L390" s="68"/>
      <c r="M390" s="68"/>
      <c r="O390" s="68"/>
      <c r="R390" s="68"/>
    </row>
    <row r="391" ht="15.75" customHeight="1">
      <c r="E391" s="68"/>
      <c r="J391" s="68"/>
      <c r="L391" s="68"/>
      <c r="M391" s="68"/>
      <c r="O391" s="68"/>
      <c r="R391" s="68"/>
    </row>
    <row r="392" ht="15.75" customHeight="1">
      <c r="E392" s="68"/>
      <c r="J392" s="68"/>
      <c r="L392" s="68"/>
      <c r="M392" s="68"/>
      <c r="O392" s="68"/>
      <c r="R392" s="68"/>
    </row>
    <row r="393" ht="15.75" customHeight="1">
      <c r="E393" s="68"/>
      <c r="J393" s="68"/>
      <c r="L393" s="68"/>
      <c r="M393" s="68"/>
      <c r="O393" s="68"/>
      <c r="R393" s="68"/>
    </row>
    <row r="394" ht="15.75" customHeight="1">
      <c r="E394" s="68"/>
      <c r="J394" s="68"/>
      <c r="L394" s="68"/>
      <c r="M394" s="68"/>
      <c r="O394" s="68"/>
      <c r="R394" s="68"/>
    </row>
    <row r="395" ht="15.75" customHeight="1">
      <c r="E395" s="68"/>
      <c r="J395" s="68"/>
      <c r="L395" s="68"/>
      <c r="M395" s="68"/>
      <c r="O395" s="68"/>
      <c r="R395" s="68"/>
    </row>
    <row r="396" ht="15.75" customHeight="1">
      <c r="E396" s="68"/>
      <c r="J396" s="68"/>
      <c r="L396" s="68"/>
      <c r="M396" s="68"/>
      <c r="O396" s="68"/>
      <c r="R396" s="68"/>
    </row>
    <row r="397" ht="15.75" customHeight="1">
      <c r="E397" s="68"/>
      <c r="J397" s="68"/>
      <c r="L397" s="68"/>
      <c r="M397" s="68"/>
      <c r="O397" s="68"/>
      <c r="R397" s="68"/>
    </row>
    <row r="398" ht="15.75" customHeight="1">
      <c r="E398" s="68"/>
      <c r="J398" s="68"/>
      <c r="L398" s="68"/>
      <c r="M398" s="68"/>
      <c r="O398" s="68"/>
      <c r="R398" s="68"/>
    </row>
    <row r="399" ht="15.75" customHeight="1">
      <c r="E399" s="68"/>
      <c r="J399" s="68"/>
      <c r="L399" s="68"/>
      <c r="M399" s="68"/>
      <c r="O399" s="68"/>
      <c r="R399" s="68"/>
    </row>
    <row r="400" ht="15.75" customHeight="1">
      <c r="E400" s="68"/>
      <c r="J400" s="68"/>
      <c r="L400" s="68"/>
      <c r="M400" s="68"/>
      <c r="O400" s="68"/>
      <c r="R400" s="68"/>
    </row>
    <row r="401" ht="15.75" customHeight="1">
      <c r="E401" s="68"/>
      <c r="J401" s="68"/>
      <c r="L401" s="68"/>
      <c r="M401" s="68"/>
      <c r="O401" s="68"/>
      <c r="R401" s="68"/>
    </row>
    <row r="402" ht="15.75" customHeight="1">
      <c r="E402" s="68"/>
      <c r="J402" s="68"/>
      <c r="L402" s="68"/>
      <c r="M402" s="68"/>
      <c r="O402" s="68"/>
      <c r="R402" s="68"/>
    </row>
    <row r="403" ht="15.75" customHeight="1">
      <c r="E403" s="68"/>
      <c r="J403" s="68"/>
      <c r="L403" s="68"/>
      <c r="M403" s="68"/>
      <c r="O403" s="68"/>
      <c r="R403" s="68"/>
    </row>
    <row r="404" ht="15.75" customHeight="1">
      <c r="E404" s="68"/>
      <c r="J404" s="68"/>
      <c r="L404" s="68"/>
      <c r="M404" s="68"/>
      <c r="O404" s="68"/>
      <c r="R404" s="68"/>
    </row>
    <row r="405" ht="15.75" customHeight="1">
      <c r="E405" s="68"/>
      <c r="J405" s="68"/>
      <c r="L405" s="68"/>
      <c r="M405" s="68"/>
      <c r="O405" s="68"/>
      <c r="R405" s="68"/>
    </row>
    <row r="406" ht="15.75" customHeight="1">
      <c r="E406" s="68"/>
      <c r="J406" s="68"/>
      <c r="L406" s="68"/>
      <c r="M406" s="68"/>
      <c r="O406" s="68"/>
      <c r="R406" s="68"/>
    </row>
    <row r="407" ht="15.75" customHeight="1">
      <c r="E407" s="68"/>
      <c r="J407" s="68"/>
      <c r="L407" s="68"/>
      <c r="M407" s="68"/>
      <c r="O407" s="68"/>
      <c r="R407" s="68"/>
    </row>
    <row r="408" ht="15.75" customHeight="1">
      <c r="E408" s="68"/>
      <c r="J408" s="68"/>
      <c r="L408" s="68"/>
      <c r="M408" s="68"/>
      <c r="O408" s="68"/>
      <c r="R408" s="68"/>
    </row>
    <row r="409" ht="15.75" customHeight="1">
      <c r="E409" s="68"/>
      <c r="J409" s="68"/>
      <c r="L409" s="68"/>
      <c r="M409" s="68"/>
      <c r="O409" s="68"/>
      <c r="R409" s="68"/>
    </row>
    <row r="410" ht="15.75" customHeight="1">
      <c r="E410" s="68"/>
      <c r="J410" s="68"/>
      <c r="L410" s="68"/>
      <c r="M410" s="68"/>
      <c r="O410" s="68"/>
      <c r="R410" s="68"/>
    </row>
    <row r="411" ht="15.75" customHeight="1">
      <c r="E411" s="68"/>
      <c r="J411" s="68"/>
      <c r="L411" s="68"/>
      <c r="M411" s="68"/>
      <c r="O411" s="68"/>
      <c r="R411" s="68"/>
    </row>
    <row r="412" ht="15.75" customHeight="1">
      <c r="E412" s="68"/>
      <c r="J412" s="68"/>
      <c r="L412" s="68"/>
      <c r="M412" s="68"/>
      <c r="O412" s="68"/>
      <c r="R412" s="68"/>
    </row>
    <row r="413" ht="15.75" customHeight="1">
      <c r="E413" s="68"/>
      <c r="J413" s="68"/>
      <c r="L413" s="68"/>
      <c r="M413" s="68"/>
      <c r="O413" s="68"/>
      <c r="R413" s="68"/>
    </row>
    <row r="414" ht="15.75" customHeight="1">
      <c r="E414" s="68"/>
      <c r="J414" s="68"/>
      <c r="L414" s="68"/>
      <c r="M414" s="68"/>
      <c r="O414" s="68"/>
      <c r="R414" s="68"/>
    </row>
    <row r="415" ht="15.75" customHeight="1">
      <c r="E415" s="68"/>
      <c r="J415" s="68"/>
      <c r="L415" s="68"/>
      <c r="M415" s="68"/>
      <c r="O415" s="68"/>
      <c r="R415" s="68"/>
    </row>
    <row r="416" ht="15.75" customHeight="1">
      <c r="E416" s="68"/>
      <c r="J416" s="68"/>
      <c r="L416" s="68"/>
      <c r="M416" s="68"/>
      <c r="O416" s="68"/>
      <c r="R416" s="68"/>
    </row>
    <row r="417" ht="15.75" customHeight="1">
      <c r="E417" s="68"/>
      <c r="J417" s="68"/>
      <c r="L417" s="68"/>
      <c r="M417" s="68"/>
      <c r="O417" s="68"/>
      <c r="R417" s="68"/>
    </row>
    <row r="418" ht="15.75" customHeight="1">
      <c r="E418" s="68"/>
      <c r="J418" s="68"/>
      <c r="L418" s="68"/>
      <c r="M418" s="68"/>
      <c r="O418" s="68"/>
      <c r="R418" s="68"/>
    </row>
    <row r="419" ht="15.75" customHeight="1">
      <c r="E419" s="68"/>
      <c r="J419" s="68"/>
      <c r="L419" s="68"/>
      <c r="M419" s="68"/>
      <c r="O419" s="68"/>
      <c r="R419" s="68"/>
    </row>
    <row r="420" ht="15.75" customHeight="1">
      <c r="E420" s="68"/>
      <c r="J420" s="68"/>
      <c r="L420" s="68"/>
      <c r="M420" s="68"/>
      <c r="O420" s="68"/>
      <c r="R420" s="68"/>
    </row>
    <row r="421" ht="15.75" customHeight="1">
      <c r="E421" s="68"/>
      <c r="J421" s="68"/>
      <c r="L421" s="68"/>
      <c r="M421" s="68"/>
      <c r="O421" s="68"/>
      <c r="R421" s="68"/>
    </row>
    <row r="422" ht="15.75" customHeight="1">
      <c r="E422" s="68"/>
      <c r="J422" s="68"/>
      <c r="L422" s="68"/>
      <c r="M422" s="68"/>
      <c r="O422" s="68"/>
      <c r="R422" s="68"/>
    </row>
    <row r="423" ht="15.75" customHeight="1">
      <c r="E423" s="68"/>
      <c r="J423" s="68"/>
      <c r="L423" s="68"/>
      <c r="M423" s="68"/>
      <c r="O423" s="68"/>
      <c r="R423" s="68"/>
    </row>
    <row r="424" ht="15.75" customHeight="1">
      <c r="E424" s="68"/>
      <c r="J424" s="68"/>
      <c r="L424" s="68"/>
      <c r="M424" s="68"/>
      <c r="O424" s="68"/>
      <c r="R424" s="68"/>
    </row>
    <row r="425" ht="15.75" customHeight="1">
      <c r="E425" s="68"/>
      <c r="J425" s="68"/>
      <c r="L425" s="68"/>
      <c r="M425" s="68"/>
      <c r="O425" s="68"/>
      <c r="R425" s="68"/>
    </row>
    <row r="426" ht="15.75" customHeight="1">
      <c r="E426" s="68"/>
      <c r="J426" s="68"/>
      <c r="L426" s="68"/>
      <c r="M426" s="68"/>
      <c r="O426" s="68"/>
      <c r="R426" s="68"/>
    </row>
    <row r="427" ht="15.75" customHeight="1">
      <c r="E427" s="68"/>
      <c r="J427" s="68"/>
      <c r="L427" s="68"/>
      <c r="M427" s="68"/>
      <c r="O427" s="68"/>
      <c r="R427" s="68"/>
    </row>
    <row r="428" ht="15.75" customHeight="1">
      <c r="E428" s="68"/>
      <c r="J428" s="68"/>
      <c r="L428" s="68"/>
      <c r="M428" s="68"/>
      <c r="O428" s="68"/>
      <c r="R428" s="68"/>
    </row>
    <row r="429" ht="15.75" customHeight="1">
      <c r="E429" s="68"/>
      <c r="J429" s="68"/>
      <c r="L429" s="68"/>
      <c r="M429" s="68"/>
      <c r="O429" s="68"/>
      <c r="R429" s="68"/>
    </row>
    <row r="430" ht="15.75" customHeight="1">
      <c r="E430" s="68"/>
      <c r="J430" s="68"/>
      <c r="L430" s="68"/>
      <c r="M430" s="68"/>
      <c r="O430" s="68"/>
      <c r="R430" s="68"/>
    </row>
    <row r="431" ht="15.75" customHeight="1">
      <c r="E431" s="68"/>
      <c r="J431" s="68"/>
      <c r="L431" s="68"/>
      <c r="M431" s="68"/>
      <c r="O431" s="68"/>
      <c r="R431" s="68"/>
    </row>
    <row r="432" ht="15.75" customHeight="1">
      <c r="E432" s="68"/>
      <c r="J432" s="68"/>
      <c r="L432" s="68"/>
      <c r="M432" s="68"/>
      <c r="O432" s="68"/>
      <c r="R432" s="68"/>
    </row>
    <row r="433" ht="15.75" customHeight="1">
      <c r="E433" s="68"/>
      <c r="J433" s="68"/>
      <c r="L433" s="68"/>
      <c r="M433" s="68"/>
      <c r="O433" s="68"/>
      <c r="R433" s="68"/>
    </row>
    <row r="434" ht="15.75" customHeight="1">
      <c r="E434" s="68"/>
      <c r="J434" s="68"/>
      <c r="L434" s="68"/>
      <c r="M434" s="68"/>
      <c r="O434" s="68"/>
      <c r="R434" s="68"/>
    </row>
    <row r="435" ht="15.75" customHeight="1">
      <c r="E435" s="68"/>
      <c r="J435" s="68"/>
      <c r="L435" s="68"/>
      <c r="M435" s="68"/>
      <c r="O435" s="68"/>
      <c r="R435" s="68"/>
    </row>
    <row r="436" ht="15.75" customHeight="1">
      <c r="E436" s="68"/>
      <c r="J436" s="68"/>
      <c r="L436" s="68"/>
      <c r="M436" s="68"/>
      <c r="O436" s="68"/>
      <c r="R436" s="68"/>
    </row>
    <row r="437" ht="15.75" customHeight="1">
      <c r="E437" s="68"/>
      <c r="J437" s="68"/>
      <c r="L437" s="68"/>
      <c r="M437" s="68"/>
      <c r="O437" s="68"/>
      <c r="R437" s="68"/>
    </row>
    <row r="438" ht="15.75" customHeight="1">
      <c r="E438" s="68"/>
      <c r="J438" s="68"/>
      <c r="L438" s="68"/>
      <c r="M438" s="68"/>
      <c r="O438" s="68"/>
      <c r="R438" s="68"/>
    </row>
    <row r="439" ht="15.75" customHeight="1">
      <c r="E439" s="68"/>
      <c r="J439" s="68"/>
      <c r="L439" s="68"/>
      <c r="M439" s="68"/>
      <c r="O439" s="68"/>
      <c r="R439" s="68"/>
    </row>
    <row r="440" ht="15.75" customHeight="1">
      <c r="E440" s="68"/>
      <c r="J440" s="68"/>
      <c r="L440" s="68"/>
      <c r="M440" s="68"/>
      <c r="O440" s="68"/>
      <c r="R440" s="68"/>
    </row>
    <row r="441" ht="15.75" customHeight="1">
      <c r="E441" s="68"/>
      <c r="J441" s="68"/>
      <c r="L441" s="68"/>
      <c r="M441" s="68"/>
      <c r="O441" s="68"/>
      <c r="R441" s="68"/>
    </row>
    <row r="442" ht="15.75" customHeight="1">
      <c r="E442" s="68"/>
      <c r="J442" s="68"/>
      <c r="L442" s="68"/>
      <c r="M442" s="68"/>
      <c r="O442" s="68"/>
      <c r="R442" s="68"/>
    </row>
    <row r="443" ht="15.75" customHeight="1">
      <c r="E443" s="68"/>
      <c r="J443" s="68"/>
      <c r="L443" s="68"/>
      <c r="M443" s="68"/>
      <c r="O443" s="68"/>
      <c r="R443" s="68"/>
    </row>
    <row r="444" ht="15.75" customHeight="1">
      <c r="E444" s="68"/>
      <c r="J444" s="68"/>
      <c r="L444" s="68"/>
      <c r="M444" s="68"/>
      <c r="O444" s="68"/>
      <c r="R444" s="68"/>
    </row>
    <row r="445" ht="15.75" customHeight="1">
      <c r="E445" s="68"/>
      <c r="J445" s="68"/>
      <c r="L445" s="68"/>
      <c r="M445" s="68"/>
      <c r="O445" s="68"/>
      <c r="R445" s="68"/>
    </row>
    <row r="446" ht="15.75" customHeight="1">
      <c r="E446" s="68"/>
      <c r="J446" s="68"/>
      <c r="L446" s="68"/>
      <c r="M446" s="68"/>
      <c r="O446" s="68"/>
      <c r="R446" s="68"/>
    </row>
    <row r="447" ht="15.75" customHeight="1">
      <c r="E447" s="68"/>
      <c r="J447" s="68"/>
      <c r="L447" s="68"/>
      <c r="M447" s="68"/>
      <c r="O447" s="68"/>
      <c r="R447" s="68"/>
    </row>
    <row r="448" ht="15.75" customHeight="1">
      <c r="E448" s="68"/>
      <c r="J448" s="68"/>
      <c r="L448" s="68"/>
      <c r="M448" s="68"/>
      <c r="O448" s="68"/>
      <c r="R448" s="68"/>
    </row>
    <row r="449" ht="15.75" customHeight="1">
      <c r="E449" s="68"/>
      <c r="J449" s="68"/>
      <c r="L449" s="68"/>
      <c r="M449" s="68"/>
      <c r="O449" s="68"/>
      <c r="R449" s="68"/>
    </row>
    <row r="450" ht="15.75" customHeight="1">
      <c r="E450" s="68"/>
      <c r="J450" s="68"/>
      <c r="L450" s="68"/>
      <c r="M450" s="68"/>
      <c r="O450" s="68"/>
      <c r="R450" s="68"/>
    </row>
    <row r="451" ht="15.75" customHeight="1">
      <c r="E451" s="68"/>
      <c r="J451" s="68"/>
      <c r="L451" s="68"/>
      <c r="M451" s="68"/>
      <c r="O451" s="68"/>
      <c r="R451" s="68"/>
    </row>
    <row r="452" ht="15.75" customHeight="1">
      <c r="E452" s="68"/>
      <c r="J452" s="68"/>
      <c r="L452" s="68"/>
      <c r="M452" s="68"/>
      <c r="O452" s="68"/>
      <c r="R452" s="68"/>
    </row>
    <row r="453" ht="15.75" customHeight="1">
      <c r="E453" s="68"/>
      <c r="J453" s="68"/>
      <c r="L453" s="68"/>
      <c r="M453" s="68"/>
      <c r="O453" s="68"/>
      <c r="R453" s="68"/>
    </row>
    <row r="454" ht="15.75" customHeight="1">
      <c r="E454" s="68"/>
      <c r="J454" s="68"/>
      <c r="L454" s="68"/>
      <c r="M454" s="68"/>
      <c r="O454" s="68"/>
      <c r="R454" s="68"/>
    </row>
    <row r="455" ht="15.75" customHeight="1">
      <c r="E455" s="68"/>
      <c r="J455" s="68"/>
      <c r="L455" s="68"/>
      <c r="M455" s="68"/>
      <c r="O455" s="68"/>
      <c r="R455" s="68"/>
    </row>
    <row r="456" ht="15.75" customHeight="1">
      <c r="E456" s="68"/>
      <c r="J456" s="68"/>
      <c r="L456" s="68"/>
      <c r="M456" s="68"/>
      <c r="O456" s="68"/>
      <c r="R456" s="68"/>
    </row>
    <row r="457" ht="15.75" customHeight="1">
      <c r="E457" s="68"/>
      <c r="J457" s="68"/>
      <c r="L457" s="68"/>
      <c r="M457" s="68"/>
      <c r="O457" s="68"/>
      <c r="R457" s="68"/>
    </row>
    <row r="458" ht="15.75" customHeight="1">
      <c r="E458" s="68"/>
      <c r="J458" s="68"/>
      <c r="L458" s="68"/>
      <c r="M458" s="68"/>
      <c r="O458" s="68"/>
      <c r="R458" s="68"/>
    </row>
    <row r="459" ht="15.75" customHeight="1">
      <c r="E459" s="68"/>
      <c r="J459" s="68"/>
      <c r="L459" s="68"/>
      <c r="M459" s="68"/>
      <c r="O459" s="68"/>
      <c r="R459" s="68"/>
    </row>
    <row r="460" ht="15.75" customHeight="1">
      <c r="E460" s="68"/>
      <c r="J460" s="68"/>
      <c r="L460" s="68"/>
      <c r="M460" s="68"/>
      <c r="O460" s="68"/>
      <c r="R460" s="68"/>
    </row>
    <row r="461" ht="15.75" customHeight="1">
      <c r="E461" s="68"/>
      <c r="J461" s="68"/>
      <c r="L461" s="68"/>
      <c r="M461" s="68"/>
      <c r="O461" s="68"/>
      <c r="R461" s="68"/>
    </row>
    <row r="462" ht="15.75" customHeight="1">
      <c r="E462" s="68"/>
      <c r="J462" s="68"/>
      <c r="L462" s="68"/>
      <c r="M462" s="68"/>
      <c r="O462" s="68"/>
      <c r="R462" s="68"/>
    </row>
    <row r="463" ht="15.75" customHeight="1">
      <c r="E463" s="68"/>
      <c r="J463" s="68"/>
      <c r="L463" s="68"/>
      <c r="M463" s="68"/>
      <c r="O463" s="68"/>
      <c r="R463" s="68"/>
    </row>
    <row r="464" ht="15.75" customHeight="1">
      <c r="E464" s="68"/>
      <c r="J464" s="68"/>
      <c r="L464" s="68"/>
      <c r="M464" s="68"/>
      <c r="O464" s="68"/>
      <c r="R464" s="68"/>
    </row>
    <row r="465" ht="15.75" customHeight="1">
      <c r="E465" s="68"/>
      <c r="J465" s="68"/>
      <c r="L465" s="68"/>
      <c r="M465" s="68"/>
      <c r="O465" s="68"/>
      <c r="R465" s="68"/>
    </row>
    <row r="466" ht="15.75" customHeight="1">
      <c r="E466" s="68"/>
      <c r="J466" s="68"/>
      <c r="L466" s="68"/>
      <c r="M466" s="68"/>
      <c r="O466" s="68"/>
      <c r="R466" s="68"/>
    </row>
    <row r="467" ht="15.75" customHeight="1">
      <c r="E467" s="68"/>
      <c r="J467" s="68"/>
      <c r="L467" s="68"/>
      <c r="M467" s="68"/>
      <c r="O467" s="68"/>
      <c r="R467" s="68"/>
    </row>
    <row r="468" ht="15.75" customHeight="1">
      <c r="E468" s="68"/>
      <c r="J468" s="68"/>
      <c r="L468" s="68"/>
      <c r="M468" s="68"/>
      <c r="O468" s="68"/>
      <c r="R468" s="68"/>
    </row>
    <row r="469" ht="15.75" customHeight="1">
      <c r="E469" s="68"/>
      <c r="J469" s="68"/>
      <c r="L469" s="68"/>
      <c r="M469" s="68"/>
      <c r="O469" s="68"/>
      <c r="R469" s="68"/>
    </row>
    <row r="470" ht="15.75" customHeight="1">
      <c r="E470" s="68"/>
      <c r="J470" s="68"/>
      <c r="L470" s="68"/>
      <c r="M470" s="68"/>
      <c r="O470" s="68"/>
      <c r="R470" s="68"/>
    </row>
    <row r="471" ht="15.75" customHeight="1">
      <c r="E471" s="68"/>
      <c r="J471" s="68"/>
      <c r="L471" s="68"/>
      <c r="M471" s="68"/>
      <c r="O471" s="68"/>
      <c r="R471" s="68"/>
    </row>
    <row r="472" ht="15.75" customHeight="1">
      <c r="E472" s="68"/>
      <c r="J472" s="68"/>
      <c r="L472" s="68"/>
      <c r="M472" s="68"/>
      <c r="O472" s="68"/>
      <c r="R472" s="68"/>
    </row>
    <row r="473" ht="15.75" customHeight="1">
      <c r="E473" s="68"/>
      <c r="J473" s="68"/>
      <c r="L473" s="68"/>
      <c r="M473" s="68"/>
      <c r="O473" s="68"/>
      <c r="R473" s="68"/>
    </row>
    <row r="474" ht="15.75" customHeight="1">
      <c r="E474" s="68"/>
      <c r="J474" s="68"/>
      <c r="L474" s="68"/>
      <c r="M474" s="68"/>
      <c r="O474" s="68"/>
      <c r="R474" s="68"/>
    </row>
    <row r="475" ht="15.75" customHeight="1">
      <c r="E475" s="68"/>
      <c r="J475" s="68"/>
      <c r="L475" s="68"/>
      <c r="M475" s="68"/>
      <c r="O475" s="68"/>
      <c r="R475" s="68"/>
    </row>
    <row r="476" ht="15.75" customHeight="1">
      <c r="E476" s="68"/>
      <c r="J476" s="68"/>
      <c r="L476" s="68"/>
      <c r="M476" s="68"/>
      <c r="O476" s="68"/>
      <c r="R476" s="68"/>
    </row>
    <row r="477" ht="15.75" customHeight="1">
      <c r="E477" s="68"/>
      <c r="J477" s="68"/>
      <c r="L477" s="68"/>
      <c r="M477" s="68"/>
      <c r="O477" s="68"/>
      <c r="R477" s="68"/>
    </row>
    <row r="478" ht="15.75" customHeight="1">
      <c r="E478" s="68"/>
      <c r="J478" s="68"/>
      <c r="L478" s="68"/>
      <c r="M478" s="68"/>
      <c r="O478" s="68"/>
      <c r="R478" s="68"/>
    </row>
    <row r="479" ht="15.75" customHeight="1">
      <c r="E479" s="68"/>
      <c r="J479" s="68"/>
      <c r="L479" s="68"/>
      <c r="M479" s="68"/>
      <c r="O479" s="68"/>
      <c r="R479" s="68"/>
    </row>
    <row r="480" ht="15.75" customHeight="1">
      <c r="E480" s="68"/>
      <c r="J480" s="68"/>
      <c r="L480" s="68"/>
      <c r="M480" s="68"/>
      <c r="O480" s="68"/>
      <c r="R480" s="68"/>
    </row>
    <row r="481" ht="15.75" customHeight="1">
      <c r="E481" s="68"/>
      <c r="J481" s="68"/>
      <c r="L481" s="68"/>
      <c r="M481" s="68"/>
      <c r="O481" s="68"/>
      <c r="R481" s="68"/>
    </row>
    <row r="482" ht="15.75" customHeight="1">
      <c r="E482" s="68"/>
      <c r="J482" s="68"/>
      <c r="L482" s="68"/>
      <c r="M482" s="68"/>
      <c r="O482" s="68"/>
      <c r="R482" s="68"/>
    </row>
    <row r="483" ht="15.75" customHeight="1">
      <c r="E483" s="68"/>
      <c r="J483" s="68"/>
      <c r="L483" s="68"/>
      <c r="M483" s="68"/>
      <c r="O483" s="68"/>
      <c r="R483" s="68"/>
    </row>
    <row r="484" ht="15.75" customHeight="1">
      <c r="E484" s="68"/>
      <c r="J484" s="68"/>
      <c r="L484" s="68"/>
      <c r="M484" s="68"/>
      <c r="O484" s="68"/>
      <c r="R484" s="68"/>
    </row>
    <row r="485" ht="15.75" customHeight="1">
      <c r="E485" s="68"/>
      <c r="J485" s="68"/>
      <c r="L485" s="68"/>
      <c r="M485" s="68"/>
      <c r="O485" s="68"/>
      <c r="R485" s="68"/>
    </row>
    <row r="486" ht="15.75" customHeight="1">
      <c r="E486" s="68"/>
      <c r="J486" s="68"/>
      <c r="L486" s="68"/>
      <c r="M486" s="68"/>
      <c r="O486" s="68"/>
      <c r="R486" s="68"/>
    </row>
    <row r="487" ht="15.75" customHeight="1">
      <c r="E487" s="68"/>
      <c r="J487" s="68"/>
      <c r="L487" s="68"/>
      <c r="M487" s="68"/>
      <c r="O487" s="68"/>
      <c r="R487" s="68"/>
    </row>
    <row r="488" ht="15.75" customHeight="1">
      <c r="E488" s="68"/>
      <c r="J488" s="68"/>
      <c r="L488" s="68"/>
      <c r="M488" s="68"/>
      <c r="O488" s="68"/>
      <c r="R488" s="68"/>
    </row>
    <row r="489" ht="15.75" customHeight="1">
      <c r="E489" s="68"/>
      <c r="J489" s="68"/>
      <c r="L489" s="68"/>
      <c r="M489" s="68"/>
      <c r="O489" s="68"/>
      <c r="R489" s="68"/>
    </row>
    <row r="490" ht="15.75" customHeight="1">
      <c r="E490" s="68"/>
      <c r="J490" s="68"/>
      <c r="L490" s="68"/>
      <c r="M490" s="68"/>
      <c r="O490" s="68"/>
      <c r="R490" s="68"/>
    </row>
    <row r="491" ht="15.75" customHeight="1">
      <c r="E491" s="68"/>
      <c r="J491" s="68"/>
      <c r="L491" s="68"/>
      <c r="M491" s="68"/>
      <c r="O491" s="68"/>
      <c r="R491" s="68"/>
    </row>
    <row r="492" ht="15.75" customHeight="1">
      <c r="E492" s="68"/>
      <c r="J492" s="68"/>
      <c r="L492" s="68"/>
      <c r="M492" s="68"/>
      <c r="O492" s="68"/>
      <c r="R492" s="68"/>
    </row>
    <row r="493" ht="15.75" customHeight="1">
      <c r="E493" s="68"/>
      <c r="J493" s="68"/>
      <c r="L493" s="68"/>
      <c r="M493" s="68"/>
      <c r="O493" s="68"/>
      <c r="R493" s="68"/>
    </row>
    <row r="494" ht="15.75" customHeight="1">
      <c r="E494" s="68"/>
      <c r="J494" s="68"/>
      <c r="L494" s="68"/>
      <c r="M494" s="68"/>
      <c r="O494" s="68"/>
      <c r="R494" s="68"/>
    </row>
    <row r="495" ht="15.75" customHeight="1">
      <c r="E495" s="68"/>
      <c r="J495" s="68"/>
      <c r="L495" s="68"/>
      <c r="M495" s="68"/>
      <c r="O495" s="68"/>
      <c r="R495" s="68"/>
    </row>
    <row r="496" ht="15.75" customHeight="1">
      <c r="E496" s="68"/>
      <c r="J496" s="68"/>
      <c r="L496" s="68"/>
      <c r="M496" s="68"/>
      <c r="O496" s="68"/>
      <c r="R496" s="68"/>
    </row>
    <row r="497" ht="15.75" customHeight="1">
      <c r="E497" s="68"/>
      <c r="J497" s="68"/>
      <c r="L497" s="68"/>
      <c r="M497" s="68"/>
      <c r="O497" s="68"/>
      <c r="R497" s="68"/>
    </row>
    <row r="498" ht="15.75" customHeight="1">
      <c r="E498" s="68"/>
      <c r="J498" s="68"/>
      <c r="L498" s="68"/>
      <c r="M498" s="68"/>
      <c r="O498" s="68"/>
      <c r="R498" s="68"/>
    </row>
    <row r="499" ht="15.75" customHeight="1">
      <c r="E499" s="68"/>
      <c r="J499" s="68"/>
      <c r="L499" s="68"/>
      <c r="M499" s="68"/>
      <c r="O499" s="68"/>
      <c r="R499" s="68"/>
    </row>
    <row r="500" ht="15.75" customHeight="1">
      <c r="E500" s="68"/>
      <c r="J500" s="68"/>
      <c r="L500" s="68"/>
      <c r="M500" s="68"/>
      <c r="O500" s="68"/>
      <c r="R500" s="68"/>
    </row>
    <row r="501" ht="15.75" customHeight="1">
      <c r="E501" s="68"/>
      <c r="J501" s="68"/>
      <c r="L501" s="68"/>
      <c r="M501" s="68"/>
      <c r="O501" s="68"/>
      <c r="R501" s="68"/>
    </row>
    <row r="502" ht="15.75" customHeight="1">
      <c r="E502" s="68"/>
      <c r="J502" s="68"/>
      <c r="L502" s="68"/>
      <c r="M502" s="68"/>
      <c r="O502" s="68"/>
      <c r="R502" s="68"/>
    </row>
    <row r="503" ht="15.75" customHeight="1">
      <c r="E503" s="68"/>
      <c r="J503" s="68"/>
      <c r="L503" s="68"/>
      <c r="M503" s="68"/>
      <c r="O503" s="68"/>
      <c r="R503" s="68"/>
    </row>
    <row r="504" ht="15.75" customHeight="1">
      <c r="E504" s="68"/>
      <c r="J504" s="68"/>
      <c r="L504" s="68"/>
      <c r="M504" s="68"/>
      <c r="O504" s="68"/>
      <c r="R504" s="68"/>
    </row>
    <row r="505" ht="15.75" customHeight="1">
      <c r="E505" s="68"/>
      <c r="J505" s="68"/>
      <c r="L505" s="68"/>
      <c r="M505" s="68"/>
      <c r="O505" s="68"/>
      <c r="R505" s="68"/>
    </row>
    <row r="506" ht="15.75" customHeight="1">
      <c r="E506" s="68"/>
      <c r="J506" s="68"/>
      <c r="L506" s="68"/>
      <c r="M506" s="68"/>
      <c r="O506" s="68"/>
      <c r="R506" s="68"/>
    </row>
    <row r="507" ht="15.75" customHeight="1">
      <c r="E507" s="68"/>
      <c r="J507" s="68"/>
      <c r="L507" s="68"/>
      <c r="M507" s="68"/>
      <c r="O507" s="68"/>
      <c r="R507" s="68"/>
    </row>
    <row r="508" ht="15.75" customHeight="1">
      <c r="E508" s="68"/>
      <c r="J508" s="68"/>
      <c r="L508" s="68"/>
      <c r="M508" s="68"/>
      <c r="O508" s="68"/>
      <c r="R508" s="68"/>
    </row>
    <row r="509" ht="15.75" customHeight="1">
      <c r="E509" s="68"/>
      <c r="J509" s="68"/>
      <c r="L509" s="68"/>
      <c r="M509" s="68"/>
      <c r="O509" s="68"/>
      <c r="R509" s="68"/>
    </row>
    <row r="510" ht="15.75" customHeight="1">
      <c r="E510" s="68"/>
      <c r="J510" s="68"/>
      <c r="L510" s="68"/>
      <c r="M510" s="68"/>
      <c r="O510" s="68"/>
      <c r="R510" s="68"/>
    </row>
    <row r="511" ht="15.75" customHeight="1">
      <c r="E511" s="68"/>
      <c r="J511" s="68"/>
      <c r="L511" s="68"/>
      <c r="M511" s="68"/>
      <c r="O511" s="68"/>
      <c r="R511" s="68"/>
    </row>
    <row r="512" ht="15.75" customHeight="1">
      <c r="E512" s="68"/>
      <c r="J512" s="68"/>
      <c r="L512" s="68"/>
      <c r="M512" s="68"/>
      <c r="O512" s="68"/>
      <c r="R512" s="68"/>
    </row>
    <row r="513" ht="15.75" customHeight="1">
      <c r="E513" s="68"/>
      <c r="J513" s="68"/>
      <c r="L513" s="68"/>
      <c r="M513" s="68"/>
      <c r="O513" s="68"/>
      <c r="R513" s="68"/>
    </row>
    <row r="514" ht="15.75" customHeight="1">
      <c r="E514" s="68"/>
      <c r="J514" s="68"/>
      <c r="L514" s="68"/>
      <c r="M514" s="68"/>
      <c r="O514" s="68"/>
      <c r="R514" s="68"/>
    </row>
    <row r="515" ht="15.75" customHeight="1">
      <c r="E515" s="68"/>
      <c r="J515" s="68"/>
      <c r="L515" s="68"/>
      <c r="M515" s="68"/>
      <c r="O515" s="68"/>
      <c r="R515" s="68"/>
    </row>
    <row r="516" ht="15.75" customHeight="1">
      <c r="E516" s="68"/>
      <c r="J516" s="68"/>
      <c r="L516" s="68"/>
      <c r="M516" s="68"/>
      <c r="O516" s="68"/>
      <c r="R516" s="68"/>
    </row>
    <row r="517" ht="15.75" customHeight="1">
      <c r="E517" s="68"/>
      <c r="J517" s="68"/>
      <c r="L517" s="68"/>
      <c r="M517" s="68"/>
      <c r="O517" s="68"/>
      <c r="R517" s="68"/>
    </row>
    <row r="518" ht="15.75" customHeight="1">
      <c r="E518" s="68"/>
      <c r="J518" s="68"/>
      <c r="L518" s="68"/>
      <c r="M518" s="68"/>
      <c r="O518" s="68"/>
      <c r="R518" s="68"/>
    </row>
    <row r="519" ht="15.75" customHeight="1">
      <c r="E519" s="68"/>
      <c r="J519" s="68"/>
      <c r="L519" s="68"/>
      <c r="M519" s="68"/>
      <c r="O519" s="68"/>
      <c r="R519" s="68"/>
    </row>
    <row r="520" ht="15.75" customHeight="1">
      <c r="E520" s="68"/>
      <c r="J520" s="68"/>
      <c r="L520" s="68"/>
      <c r="M520" s="68"/>
      <c r="O520" s="68"/>
      <c r="R520" s="68"/>
    </row>
    <row r="521" ht="15.75" customHeight="1">
      <c r="E521" s="68"/>
      <c r="J521" s="68"/>
      <c r="L521" s="68"/>
      <c r="M521" s="68"/>
      <c r="O521" s="68"/>
      <c r="R521" s="68"/>
    </row>
    <row r="522" ht="15.75" customHeight="1">
      <c r="E522" s="68"/>
      <c r="J522" s="68"/>
      <c r="L522" s="68"/>
      <c r="M522" s="68"/>
      <c r="O522" s="68"/>
      <c r="R522" s="68"/>
    </row>
    <row r="523" ht="15.75" customHeight="1">
      <c r="E523" s="68"/>
      <c r="J523" s="68"/>
      <c r="L523" s="68"/>
      <c r="M523" s="68"/>
      <c r="O523" s="68"/>
      <c r="R523" s="68"/>
    </row>
    <row r="524" ht="15.75" customHeight="1">
      <c r="E524" s="68"/>
      <c r="J524" s="68"/>
      <c r="L524" s="68"/>
      <c r="M524" s="68"/>
      <c r="O524" s="68"/>
      <c r="R524" s="68"/>
    </row>
    <row r="525" ht="15.75" customHeight="1">
      <c r="E525" s="68"/>
      <c r="J525" s="68"/>
      <c r="L525" s="68"/>
      <c r="M525" s="68"/>
      <c r="O525" s="68"/>
      <c r="R525" s="68"/>
    </row>
    <row r="526" ht="15.75" customHeight="1">
      <c r="E526" s="68"/>
      <c r="J526" s="68"/>
      <c r="L526" s="68"/>
      <c r="M526" s="68"/>
      <c r="O526" s="68"/>
      <c r="R526" s="68"/>
    </row>
    <row r="527" ht="15.75" customHeight="1">
      <c r="E527" s="68"/>
      <c r="J527" s="68"/>
      <c r="L527" s="68"/>
      <c r="M527" s="68"/>
      <c r="O527" s="68"/>
      <c r="R527" s="68"/>
    </row>
    <row r="528" ht="15.75" customHeight="1">
      <c r="E528" s="68"/>
      <c r="J528" s="68"/>
      <c r="L528" s="68"/>
      <c r="M528" s="68"/>
      <c r="O528" s="68"/>
      <c r="R528" s="68"/>
    </row>
    <row r="529" ht="15.75" customHeight="1">
      <c r="E529" s="68"/>
      <c r="J529" s="68"/>
      <c r="L529" s="68"/>
      <c r="M529" s="68"/>
      <c r="O529" s="68"/>
      <c r="R529" s="68"/>
    </row>
    <row r="530" ht="15.75" customHeight="1">
      <c r="E530" s="68"/>
      <c r="J530" s="68"/>
      <c r="L530" s="68"/>
      <c r="M530" s="68"/>
      <c r="O530" s="68"/>
      <c r="R530" s="68"/>
    </row>
    <row r="531" ht="15.75" customHeight="1">
      <c r="E531" s="68"/>
      <c r="J531" s="68"/>
      <c r="L531" s="68"/>
      <c r="M531" s="68"/>
      <c r="O531" s="68"/>
      <c r="R531" s="68"/>
    </row>
    <row r="532" ht="15.75" customHeight="1">
      <c r="E532" s="68"/>
      <c r="J532" s="68"/>
      <c r="L532" s="68"/>
      <c r="M532" s="68"/>
      <c r="O532" s="68"/>
      <c r="R532" s="68"/>
    </row>
    <row r="533" ht="15.75" customHeight="1">
      <c r="E533" s="68"/>
      <c r="J533" s="68"/>
      <c r="L533" s="68"/>
      <c r="M533" s="68"/>
      <c r="O533" s="68"/>
      <c r="R533" s="68"/>
    </row>
    <row r="534" ht="15.75" customHeight="1">
      <c r="E534" s="68"/>
      <c r="J534" s="68"/>
      <c r="L534" s="68"/>
      <c r="M534" s="68"/>
      <c r="O534" s="68"/>
      <c r="R534" s="68"/>
    </row>
    <row r="535" ht="15.75" customHeight="1">
      <c r="E535" s="68"/>
      <c r="J535" s="68"/>
      <c r="L535" s="68"/>
      <c r="M535" s="68"/>
      <c r="O535" s="68"/>
      <c r="R535" s="68"/>
    </row>
    <row r="536" ht="15.75" customHeight="1">
      <c r="E536" s="68"/>
      <c r="J536" s="68"/>
      <c r="L536" s="68"/>
      <c r="M536" s="68"/>
      <c r="O536" s="68"/>
      <c r="R536" s="68"/>
    </row>
    <row r="537" ht="15.75" customHeight="1">
      <c r="E537" s="68"/>
      <c r="J537" s="68"/>
      <c r="L537" s="68"/>
      <c r="M537" s="68"/>
      <c r="O537" s="68"/>
      <c r="R537" s="68"/>
    </row>
    <row r="538" ht="15.75" customHeight="1">
      <c r="E538" s="68"/>
      <c r="J538" s="68"/>
      <c r="L538" s="68"/>
      <c r="M538" s="68"/>
      <c r="O538" s="68"/>
      <c r="R538" s="68"/>
    </row>
    <row r="539" ht="15.75" customHeight="1">
      <c r="E539" s="68"/>
      <c r="J539" s="68"/>
      <c r="L539" s="68"/>
      <c r="M539" s="68"/>
      <c r="O539" s="68"/>
      <c r="R539" s="68"/>
    </row>
    <row r="540" ht="15.75" customHeight="1">
      <c r="E540" s="68"/>
      <c r="J540" s="68"/>
      <c r="L540" s="68"/>
      <c r="M540" s="68"/>
      <c r="O540" s="68"/>
      <c r="R540" s="68"/>
    </row>
    <row r="541" ht="15.75" customHeight="1">
      <c r="E541" s="68"/>
      <c r="J541" s="68"/>
      <c r="L541" s="68"/>
      <c r="M541" s="68"/>
      <c r="O541" s="68"/>
      <c r="R541" s="68"/>
    </row>
    <row r="542" ht="15.75" customHeight="1">
      <c r="E542" s="68"/>
      <c r="J542" s="68"/>
      <c r="L542" s="68"/>
      <c r="M542" s="68"/>
      <c r="O542" s="68"/>
      <c r="R542" s="68"/>
    </row>
    <row r="543" ht="15.75" customHeight="1">
      <c r="E543" s="68"/>
      <c r="J543" s="68"/>
      <c r="L543" s="68"/>
      <c r="M543" s="68"/>
      <c r="O543" s="68"/>
      <c r="R543" s="68"/>
    </row>
    <row r="544" ht="15.75" customHeight="1">
      <c r="E544" s="68"/>
      <c r="J544" s="68"/>
      <c r="L544" s="68"/>
      <c r="M544" s="68"/>
      <c r="O544" s="68"/>
      <c r="R544" s="68"/>
    </row>
    <row r="545" ht="15.75" customHeight="1">
      <c r="E545" s="68"/>
      <c r="J545" s="68"/>
      <c r="L545" s="68"/>
      <c r="M545" s="68"/>
      <c r="O545" s="68"/>
      <c r="R545" s="68"/>
    </row>
    <row r="546" ht="15.75" customHeight="1">
      <c r="E546" s="68"/>
      <c r="J546" s="68"/>
      <c r="L546" s="68"/>
      <c r="M546" s="68"/>
      <c r="O546" s="68"/>
      <c r="R546" s="68"/>
    </row>
    <row r="547" ht="15.75" customHeight="1">
      <c r="E547" s="68"/>
      <c r="J547" s="68"/>
      <c r="L547" s="68"/>
      <c r="M547" s="68"/>
      <c r="O547" s="68"/>
      <c r="R547" s="68"/>
    </row>
    <row r="548" ht="15.75" customHeight="1">
      <c r="E548" s="68"/>
      <c r="J548" s="68"/>
      <c r="L548" s="68"/>
      <c r="M548" s="68"/>
      <c r="O548" s="68"/>
      <c r="R548" s="68"/>
    </row>
    <row r="549" ht="15.75" customHeight="1">
      <c r="E549" s="68"/>
      <c r="J549" s="68"/>
      <c r="L549" s="68"/>
      <c r="M549" s="68"/>
      <c r="O549" s="68"/>
      <c r="R549" s="68"/>
    </row>
    <row r="550" ht="15.75" customHeight="1">
      <c r="E550" s="68"/>
      <c r="J550" s="68"/>
      <c r="L550" s="68"/>
      <c r="M550" s="68"/>
      <c r="O550" s="68"/>
      <c r="R550" s="68"/>
    </row>
    <row r="551" ht="15.75" customHeight="1">
      <c r="E551" s="68"/>
      <c r="J551" s="68"/>
      <c r="L551" s="68"/>
      <c r="M551" s="68"/>
      <c r="O551" s="68"/>
      <c r="R551" s="68"/>
    </row>
    <row r="552" ht="15.75" customHeight="1">
      <c r="E552" s="68"/>
      <c r="J552" s="68"/>
      <c r="L552" s="68"/>
      <c r="M552" s="68"/>
      <c r="O552" s="68"/>
      <c r="R552" s="68"/>
    </row>
    <row r="553" ht="15.75" customHeight="1">
      <c r="E553" s="68"/>
      <c r="J553" s="68"/>
      <c r="L553" s="68"/>
      <c r="M553" s="68"/>
      <c r="O553" s="68"/>
      <c r="R553" s="68"/>
    </row>
    <row r="554" ht="15.75" customHeight="1">
      <c r="E554" s="68"/>
      <c r="J554" s="68"/>
      <c r="L554" s="68"/>
      <c r="M554" s="68"/>
      <c r="O554" s="68"/>
      <c r="R554" s="68"/>
    </row>
    <row r="555" ht="15.75" customHeight="1">
      <c r="E555" s="68"/>
      <c r="J555" s="68"/>
      <c r="L555" s="68"/>
      <c r="M555" s="68"/>
      <c r="O555" s="68"/>
      <c r="R555" s="68"/>
    </row>
    <row r="556" ht="15.75" customHeight="1">
      <c r="E556" s="68"/>
      <c r="J556" s="68"/>
      <c r="L556" s="68"/>
      <c r="M556" s="68"/>
      <c r="O556" s="68"/>
      <c r="R556" s="68"/>
    </row>
    <row r="557" ht="15.75" customHeight="1">
      <c r="E557" s="68"/>
      <c r="J557" s="68"/>
      <c r="L557" s="68"/>
      <c r="M557" s="68"/>
      <c r="O557" s="68"/>
      <c r="R557" s="68"/>
    </row>
    <row r="558" ht="15.75" customHeight="1">
      <c r="E558" s="68"/>
      <c r="J558" s="68"/>
      <c r="L558" s="68"/>
      <c r="M558" s="68"/>
      <c r="O558" s="68"/>
      <c r="R558" s="68"/>
    </row>
    <row r="559" ht="15.75" customHeight="1">
      <c r="E559" s="68"/>
      <c r="J559" s="68"/>
      <c r="L559" s="68"/>
      <c r="M559" s="68"/>
      <c r="O559" s="68"/>
      <c r="R559" s="68"/>
    </row>
    <row r="560" ht="15.75" customHeight="1">
      <c r="E560" s="68"/>
      <c r="J560" s="68"/>
      <c r="L560" s="68"/>
      <c r="M560" s="68"/>
      <c r="O560" s="68"/>
      <c r="R560" s="68"/>
    </row>
    <row r="561" ht="15.75" customHeight="1">
      <c r="E561" s="68"/>
      <c r="J561" s="68"/>
      <c r="L561" s="68"/>
      <c r="M561" s="68"/>
      <c r="O561" s="68"/>
      <c r="R561" s="68"/>
    </row>
    <row r="562" ht="15.75" customHeight="1">
      <c r="E562" s="68"/>
      <c r="J562" s="68"/>
      <c r="L562" s="68"/>
      <c r="M562" s="68"/>
      <c r="O562" s="68"/>
      <c r="R562" s="68"/>
    </row>
    <row r="563" ht="15.75" customHeight="1">
      <c r="E563" s="68"/>
      <c r="J563" s="68"/>
      <c r="L563" s="68"/>
      <c r="M563" s="68"/>
      <c r="O563" s="68"/>
      <c r="R563" s="68"/>
    </row>
    <row r="564" ht="15.75" customHeight="1">
      <c r="E564" s="68"/>
      <c r="J564" s="68"/>
      <c r="L564" s="68"/>
      <c r="M564" s="68"/>
      <c r="O564" s="68"/>
      <c r="R564" s="68"/>
    </row>
    <row r="565" ht="15.75" customHeight="1">
      <c r="E565" s="68"/>
      <c r="J565" s="68"/>
      <c r="L565" s="68"/>
      <c r="M565" s="68"/>
      <c r="O565" s="68"/>
      <c r="R565" s="68"/>
    </row>
    <row r="566" ht="15.75" customHeight="1">
      <c r="E566" s="68"/>
      <c r="J566" s="68"/>
      <c r="L566" s="68"/>
      <c r="M566" s="68"/>
      <c r="O566" s="68"/>
      <c r="R566" s="68"/>
    </row>
    <row r="567" ht="15.75" customHeight="1">
      <c r="E567" s="68"/>
      <c r="J567" s="68"/>
      <c r="L567" s="68"/>
      <c r="M567" s="68"/>
      <c r="O567" s="68"/>
      <c r="R567" s="68"/>
    </row>
    <row r="568" ht="15.75" customHeight="1">
      <c r="E568" s="68"/>
      <c r="J568" s="68"/>
      <c r="L568" s="68"/>
      <c r="M568" s="68"/>
      <c r="O568" s="68"/>
      <c r="R568" s="68"/>
    </row>
    <row r="569" ht="15.75" customHeight="1">
      <c r="E569" s="68"/>
      <c r="J569" s="68"/>
      <c r="L569" s="68"/>
      <c r="M569" s="68"/>
      <c r="O569" s="68"/>
      <c r="R569" s="68"/>
    </row>
    <row r="570" ht="15.75" customHeight="1">
      <c r="E570" s="68"/>
      <c r="J570" s="68"/>
      <c r="L570" s="68"/>
      <c r="M570" s="68"/>
      <c r="O570" s="68"/>
      <c r="R570" s="68"/>
    </row>
    <row r="571" ht="15.75" customHeight="1">
      <c r="E571" s="68"/>
      <c r="J571" s="68"/>
      <c r="L571" s="68"/>
      <c r="M571" s="68"/>
      <c r="O571" s="68"/>
      <c r="R571" s="68"/>
    </row>
    <row r="572" ht="15.75" customHeight="1">
      <c r="E572" s="68"/>
      <c r="J572" s="68"/>
      <c r="L572" s="68"/>
      <c r="M572" s="68"/>
      <c r="O572" s="68"/>
      <c r="R572" s="68"/>
    </row>
    <row r="573" ht="15.75" customHeight="1">
      <c r="E573" s="68"/>
      <c r="J573" s="68"/>
      <c r="L573" s="68"/>
      <c r="M573" s="68"/>
      <c r="O573" s="68"/>
      <c r="R573" s="68"/>
    </row>
    <row r="574" ht="15.75" customHeight="1">
      <c r="E574" s="68"/>
      <c r="J574" s="68"/>
      <c r="L574" s="68"/>
      <c r="M574" s="68"/>
      <c r="O574" s="68"/>
      <c r="R574" s="68"/>
    </row>
    <row r="575" ht="15.75" customHeight="1">
      <c r="E575" s="68"/>
      <c r="J575" s="68"/>
      <c r="L575" s="68"/>
      <c r="M575" s="68"/>
      <c r="O575" s="68"/>
      <c r="R575" s="68"/>
    </row>
    <row r="576" ht="15.75" customHeight="1">
      <c r="E576" s="68"/>
      <c r="J576" s="68"/>
      <c r="L576" s="68"/>
      <c r="M576" s="68"/>
      <c r="O576" s="68"/>
      <c r="R576" s="68"/>
    </row>
    <row r="577" ht="15.75" customHeight="1">
      <c r="E577" s="68"/>
      <c r="J577" s="68"/>
      <c r="L577" s="68"/>
      <c r="M577" s="68"/>
      <c r="O577" s="68"/>
      <c r="R577" s="68"/>
    </row>
    <row r="578" ht="15.75" customHeight="1">
      <c r="E578" s="68"/>
      <c r="J578" s="68"/>
      <c r="L578" s="68"/>
      <c r="M578" s="68"/>
      <c r="O578" s="68"/>
      <c r="R578" s="68"/>
    </row>
    <row r="579" ht="15.75" customHeight="1">
      <c r="E579" s="68"/>
      <c r="J579" s="68"/>
      <c r="L579" s="68"/>
      <c r="M579" s="68"/>
      <c r="O579" s="68"/>
      <c r="R579" s="68"/>
    </row>
    <row r="580" ht="15.75" customHeight="1">
      <c r="E580" s="68"/>
      <c r="J580" s="68"/>
      <c r="L580" s="68"/>
      <c r="M580" s="68"/>
      <c r="O580" s="68"/>
      <c r="R580" s="68"/>
    </row>
    <row r="581" ht="15.75" customHeight="1">
      <c r="E581" s="68"/>
      <c r="J581" s="68"/>
      <c r="L581" s="68"/>
      <c r="M581" s="68"/>
      <c r="O581" s="68"/>
      <c r="R581" s="68"/>
    </row>
    <row r="582" ht="15.75" customHeight="1">
      <c r="E582" s="68"/>
      <c r="J582" s="68"/>
      <c r="L582" s="68"/>
      <c r="M582" s="68"/>
      <c r="O582" s="68"/>
      <c r="R582" s="68"/>
    </row>
    <row r="583" ht="15.75" customHeight="1">
      <c r="E583" s="68"/>
      <c r="J583" s="68"/>
      <c r="L583" s="68"/>
      <c r="M583" s="68"/>
      <c r="O583" s="68"/>
      <c r="R583" s="68"/>
    </row>
    <row r="584" ht="15.75" customHeight="1">
      <c r="E584" s="68"/>
      <c r="J584" s="68"/>
      <c r="L584" s="68"/>
      <c r="M584" s="68"/>
      <c r="O584" s="68"/>
      <c r="R584" s="68"/>
    </row>
    <row r="585" ht="15.75" customHeight="1">
      <c r="E585" s="68"/>
      <c r="J585" s="68"/>
      <c r="L585" s="68"/>
      <c r="M585" s="68"/>
      <c r="O585" s="68"/>
      <c r="R585" s="68"/>
    </row>
    <row r="586" ht="15.75" customHeight="1">
      <c r="E586" s="68"/>
      <c r="J586" s="68"/>
      <c r="L586" s="68"/>
      <c r="M586" s="68"/>
      <c r="O586" s="68"/>
      <c r="R586" s="68"/>
    </row>
    <row r="587" ht="15.75" customHeight="1">
      <c r="E587" s="68"/>
      <c r="J587" s="68"/>
      <c r="L587" s="68"/>
      <c r="M587" s="68"/>
      <c r="O587" s="68"/>
      <c r="R587" s="68"/>
    </row>
    <row r="588" ht="15.75" customHeight="1">
      <c r="E588" s="68"/>
      <c r="J588" s="68"/>
      <c r="L588" s="68"/>
      <c r="M588" s="68"/>
      <c r="O588" s="68"/>
      <c r="R588" s="68"/>
    </row>
    <row r="589" ht="15.75" customHeight="1">
      <c r="E589" s="68"/>
      <c r="J589" s="68"/>
      <c r="L589" s="68"/>
      <c r="M589" s="68"/>
      <c r="O589" s="68"/>
      <c r="R589" s="68"/>
    </row>
    <row r="590" ht="15.75" customHeight="1">
      <c r="E590" s="68"/>
      <c r="J590" s="68"/>
      <c r="L590" s="68"/>
      <c r="M590" s="68"/>
      <c r="O590" s="68"/>
      <c r="R590" s="68"/>
    </row>
    <row r="591" ht="15.75" customHeight="1">
      <c r="E591" s="68"/>
      <c r="J591" s="68"/>
      <c r="L591" s="68"/>
      <c r="M591" s="68"/>
      <c r="O591" s="68"/>
      <c r="R591" s="68"/>
    </row>
    <row r="592" ht="15.75" customHeight="1">
      <c r="E592" s="68"/>
      <c r="J592" s="68"/>
      <c r="L592" s="68"/>
      <c r="M592" s="68"/>
      <c r="O592" s="68"/>
      <c r="R592" s="68"/>
    </row>
    <row r="593" ht="15.75" customHeight="1">
      <c r="E593" s="68"/>
      <c r="J593" s="68"/>
      <c r="L593" s="68"/>
      <c r="M593" s="68"/>
      <c r="O593" s="68"/>
      <c r="R593" s="68"/>
    </row>
    <row r="594" ht="15.75" customHeight="1">
      <c r="E594" s="68"/>
      <c r="J594" s="68"/>
      <c r="L594" s="68"/>
      <c r="M594" s="68"/>
      <c r="O594" s="68"/>
      <c r="R594" s="68"/>
    </row>
    <row r="595" ht="15.75" customHeight="1">
      <c r="E595" s="68"/>
      <c r="J595" s="68"/>
      <c r="L595" s="68"/>
      <c r="M595" s="68"/>
      <c r="O595" s="68"/>
      <c r="R595" s="68"/>
    </row>
    <row r="596" ht="15.75" customHeight="1">
      <c r="E596" s="68"/>
      <c r="J596" s="68"/>
      <c r="L596" s="68"/>
      <c r="M596" s="68"/>
      <c r="O596" s="68"/>
      <c r="R596" s="68"/>
    </row>
    <row r="597" ht="15.75" customHeight="1">
      <c r="E597" s="68"/>
      <c r="J597" s="68"/>
      <c r="L597" s="68"/>
      <c r="M597" s="68"/>
      <c r="O597" s="68"/>
      <c r="R597" s="68"/>
    </row>
    <row r="598" ht="15.75" customHeight="1">
      <c r="E598" s="68"/>
      <c r="J598" s="68"/>
      <c r="L598" s="68"/>
      <c r="M598" s="68"/>
      <c r="O598" s="68"/>
      <c r="R598" s="68"/>
    </row>
    <row r="599" ht="15.75" customHeight="1">
      <c r="E599" s="68"/>
      <c r="J599" s="68"/>
      <c r="L599" s="68"/>
      <c r="M599" s="68"/>
      <c r="O599" s="68"/>
      <c r="R599" s="68"/>
    </row>
    <row r="600" ht="15.75" customHeight="1">
      <c r="E600" s="68"/>
      <c r="J600" s="68"/>
      <c r="L600" s="68"/>
      <c r="M600" s="68"/>
      <c r="O600" s="68"/>
      <c r="R600" s="68"/>
    </row>
    <row r="601" ht="15.75" customHeight="1">
      <c r="E601" s="68"/>
      <c r="J601" s="68"/>
      <c r="L601" s="68"/>
      <c r="M601" s="68"/>
      <c r="O601" s="68"/>
      <c r="R601" s="68"/>
    </row>
    <row r="602" ht="15.75" customHeight="1">
      <c r="E602" s="68"/>
      <c r="J602" s="68"/>
      <c r="L602" s="68"/>
      <c r="M602" s="68"/>
      <c r="O602" s="68"/>
      <c r="R602" s="68"/>
    </row>
    <row r="603" ht="15.75" customHeight="1">
      <c r="E603" s="68"/>
      <c r="J603" s="68"/>
      <c r="L603" s="68"/>
      <c r="M603" s="68"/>
      <c r="O603" s="68"/>
      <c r="R603" s="68"/>
    </row>
    <row r="604" ht="15.75" customHeight="1">
      <c r="E604" s="68"/>
      <c r="J604" s="68"/>
      <c r="L604" s="68"/>
      <c r="M604" s="68"/>
      <c r="O604" s="68"/>
      <c r="R604" s="68"/>
    </row>
    <row r="605" ht="15.75" customHeight="1">
      <c r="E605" s="68"/>
      <c r="J605" s="68"/>
      <c r="L605" s="68"/>
      <c r="M605" s="68"/>
      <c r="O605" s="68"/>
      <c r="R605" s="68"/>
    </row>
    <row r="606" ht="15.75" customHeight="1">
      <c r="E606" s="68"/>
      <c r="J606" s="68"/>
      <c r="L606" s="68"/>
      <c r="M606" s="68"/>
      <c r="O606" s="68"/>
      <c r="R606" s="68"/>
    </row>
    <row r="607" ht="15.75" customHeight="1">
      <c r="E607" s="68"/>
      <c r="J607" s="68"/>
      <c r="L607" s="68"/>
      <c r="M607" s="68"/>
      <c r="O607" s="68"/>
      <c r="R607" s="68"/>
    </row>
    <row r="608" ht="15.75" customHeight="1">
      <c r="E608" s="68"/>
      <c r="J608" s="68"/>
      <c r="L608" s="68"/>
      <c r="M608" s="68"/>
      <c r="O608" s="68"/>
      <c r="R608" s="68"/>
    </row>
    <row r="609" ht="15.75" customHeight="1">
      <c r="E609" s="68"/>
      <c r="J609" s="68"/>
      <c r="L609" s="68"/>
      <c r="M609" s="68"/>
      <c r="O609" s="68"/>
      <c r="R609" s="68"/>
    </row>
    <row r="610" ht="15.75" customHeight="1">
      <c r="E610" s="68"/>
      <c r="J610" s="68"/>
      <c r="L610" s="68"/>
      <c r="M610" s="68"/>
      <c r="O610" s="68"/>
      <c r="R610" s="68"/>
    </row>
    <row r="611" ht="15.75" customHeight="1">
      <c r="E611" s="68"/>
      <c r="J611" s="68"/>
      <c r="L611" s="68"/>
      <c r="M611" s="68"/>
      <c r="O611" s="68"/>
      <c r="R611" s="68"/>
    </row>
    <row r="612" ht="15.75" customHeight="1">
      <c r="E612" s="68"/>
      <c r="J612" s="68"/>
      <c r="L612" s="68"/>
      <c r="M612" s="68"/>
      <c r="O612" s="68"/>
      <c r="R612" s="68"/>
    </row>
    <row r="613" ht="15.75" customHeight="1">
      <c r="E613" s="68"/>
      <c r="J613" s="68"/>
      <c r="L613" s="68"/>
      <c r="M613" s="68"/>
      <c r="O613" s="68"/>
      <c r="R613" s="68"/>
    </row>
    <row r="614" ht="15.75" customHeight="1">
      <c r="E614" s="68"/>
      <c r="J614" s="68"/>
      <c r="L614" s="68"/>
      <c r="M614" s="68"/>
      <c r="O614" s="68"/>
      <c r="R614" s="68"/>
    </row>
    <row r="615" ht="15.75" customHeight="1">
      <c r="E615" s="68"/>
      <c r="J615" s="68"/>
      <c r="L615" s="68"/>
      <c r="M615" s="68"/>
      <c r="O615" s="68"/>
      <c r="R615" s="68"/>
    </row>
    <row r="616" ht="15.75" customHeight="1">
      <c r="E616" s="68"/>
      <c r="J616" s="68"/>
      <c r="L616" s="68"/>
      <c r="M616" s="68"/>
      <c r="O616" s="68"/>
      <c r="R616" s="68"/>
    </row>
    <row r="617" ht="15.75" customHeight="1">
      <c r="E617" s="68"/>
      <c r="J617" s="68"/>
      <c r="L617" s="68"/>
      <c r="M617" s="68"/>
      <c r="O617" s="68"/>
      <c r="R617" s="68"/>
    </row>
    <row r="618" ht="15.75" customHeight="1">
      <c r="E618" s="68"/>
      <c r="J618" s="68"/>
      <c r="L618" s="68"/>
      <c r="M618" s="68"/>
      <c r="O618" s="68"/>
      <c r="R618" s="68"/>
    </row>
    <row r="619" ht="15.75" customHeight="1">
      <c r="E619" s="68"/>
      <c r="J619" s="68"/>
      <c r="L619" s="68"/>
      <c r="M619" s="68"/>
      <c r="O619" s="68"/>
      <c r="R619" s="68"/>
    </row>
    <row r="620" ht="15.75" customHeight="1">
      <c r="E620" s="68"/>
      <c r="J620" s="68"/>
      <c r="L620" s="68"/>
      <c r="M620" s="68"/>
      <c r="O620" s="68"/>
      <c r="R620" s="68"/>
    </row>
    <row r="621" ht="15.75" customHeight="1">
      <c r="E621" s="68"/>
      <c r="J621" s="68"/>
      <c r="L621" s="68"/>
      <c r="M621" s="68"/>
      <c r="O621" s="68"/>
      <c r="R621" s="68"/>
    </row>
    <row r="622" ht="15.75" customHeight="1">
      <c r="E622" s="68"/>
      <c r="J622" s="68"/>
      <c r="L622" s="68"/>
      <c r="M622" s="68"/>
      <c r="O622" s="68"/>
      <c r="R622" s="68"/>
    </row>
    <row r="623" ht="15.75" customHeight="1">
      <c r="E623" s="68"/>
      <c r="J623" s="68"/>
      <c r="L623" s="68"/>
      <c r="M623" s="68"/>
      <c r="O623" s="68"/>
      <c r="R623" s="68"/>
    </row>
    <row r="624" ht="15.75" customHeight="1">
      <c r="E624" s="68"/>
      <c r="J624" s="68"/>
      <c r="L624" s="68"/>
      <c r="M624" s="68"/>
      <c r="O624" s="68"/>
      <c r="R624" s="68"/>
    </row>
    <row r="625" ht="15.75" customHeight="1">
      <c r="E625" s="68"/>
      <c r="J625" s="68"/>
      <c r="L625" s="68"/>
      <c r="M625" s="68"/>
      <c r="O625" s="68"/>
      <c r="R625" s="68"/>
    </row>
    <row r="626" ht="15.75" customHeight="1">
      <c r="E626" s="68"/>
      <c r="J626" s="68"/>
      <c r="L626" s="68"/>
      <c r="M626" s="68"/>
      <c r="O626" s="68"/>
      <c r="R626" s="68"/>
    </row>
    <row r="627" ht="15.75" customHeight="1">
      <c r="E627" s="68"/>
      <c r="J627" s="68"/>
      <c r="L627" s="68"/>
      <c r="M627" s="68"/>
      <c r="O627" s="68"/>
      <c r="R627" s="68"/>
    </row>
    <row r="628" ht="15.75" customHeight="1">
      <c r="E628" s="68"/>
      <c r="J628" s="68"/>
      <c r="L628" s="68"/>
      <c r="M628" s="68"/>
      <c r="O628" s="68"/>
      <c r="R628" s="68"/>
    </row>
    <row r="629" ht="15.75" customHeight="1">
      <c r="E629" s="68"/>
      <c r="J629" s="68"/>
      <c r="L629" s="68"/>
      <c r="M629" s="68"/>
      <c r="O629" s="68"/>
      <c r="R629" s="68"/>
    </row>
    <row r="630" ht="15.75" customHeight="1">
      <c r="E630" s="68"/>
      <c r="J630" s="68"/>
      <c r="L630" s="68"/>
      <c r="M630" s="68"/>
      <c r="O630" s="68"/>
      <c r="R630" s="68"/>
    </row>
    <row r="631" ht="15.75" customHeight="1">
      <c r="E631" s="68"/>
      <c r="J631" s="68"/>
      <c r="L631" s="68"/>
      <c r="M631" s="68"/>
      <c r="O631" s="68"/>
      <c r="R631" s="68"/>
    </row>
    <row r="632" ht="15.75" customHeight="1">
      <c r="E632" s="68"/>
      <c r="J632" s="68"/>
      <c r="L632" s="68"/>
      <c r="M632" s="68"/>
      <c r="O632" s="68"/>
      <c r="R632" s="68"/>
    </row>
    <row r="633" ht="15.75" customHeight="1">
      <c r="E633" s="68"/>
      <c r="J633" s="68"/>
      <c r="L633" s="68"/>
      <c r="M633" s="68"/>
      <c r="O633" s="68"/>
      <c r="R633" s="68"/>
    </row>
    <row r="634" ht="15.75" customHeight="1">
      <c r="E634" s="68"/>
      <c r="J634" s="68"/>
      <c r="L634" s="68"/>
      <c r="M634" s="68"/>
      <c r="O634" s="68"/>
      <c r="R634" s="68"/>
    </row>
    <row r="635" ht="15.75" customHeight="1">
      <c r="E635" s="68"/>
      <c r="J635" s="68"/>
      <c r="L635" s="68"/>
      <c r="M635" s="68"/>
      <c r="O635" s="68"/>
      <c r="R635" s="68"/>
    </row>
    <row r="636" ht="15.75" customHeight="1">
      <c r="E636" s="68"/>
      <c r="J636" s="68"/>
      <c r="L636" s="68"/>
      <c r="M636" s="68"/>
      <c r="O636" s="68"/>
      <c r="R636" s="68"/>
    </row>
    <row r="637" ht="15.75" customHeight="1">
      <c r="E637" s="68"/>
      <c r="J637" s="68"/>
      <c r="L637" s="68"/>
      <c r="M637" s="68"/>
      <c r="O637" s="68"/>
      <c r="R637" s="68"/>
    </row>
    <row r="638" ht="15.75" customHeight="1">
      <c r="E638" s="68"/>
      <c r="J638" s="68"/>
      <c r="L638" s="68"/>
      <c r="M638" s="68"/>
      <c r="O638" s="68"/>
      <c r="R638" s="68"/>
    </row>
    <row r="639" ht="15.75" customHeight="1">
      <c r="E639" s="68"/>
      <c r="J639" s="68"/>
      <c r="L639" s="68"/>
      <c r="M639" s="68"/>
      <c r="O639" s="68"/>
      <c r="R639" s="68"/>
    </row>
    <row r="640" ht="15.75" customHeight="1">
      <c r="E640" s="68"/>
      <c r="J640" s="68"/>
      <c r="L640" s="68"/>
      <c r="M640" s="68"/>
      <c r="O640" s="68"/>
      <c r="R640" s="68"/>
    </row>
    <row r="641" ht="15.75" customHeight="1">
      <c r="E641" s="68"/>
      <c r="J641" s="68"/>
      <c r="L641" s="68"/>
      <c r="M641" s="68"/>
      <c r="O641" s="68"/>
      <c r="R641" s="68"/>
    </row>
    <row r="642" ht="15.75" customHeight="1">
      <c r="E642" s="68"/>
      <c r="J642" s="68"/>
      <c r="L642" s="68"/>
      <c r="M642" s="68"/>
      <c r="O642" s="68"/>
      <c r="R642" s="68"/>
    </row>
    <row r="643" ht="15.75" customHeight="1">
      <c r="E643" s="68"/>
      <c r="J643" s="68"/>
      <c r="L643" s="68"/>
      <c r="M643" s="68"/>
      <c r="O643" s="68"/>
      <c r="R643" s="68"/>
    </row>
    <row r="644" ht="15.75" customHeight="1">
      <c r="E644" s="68"/>
      <c r="J644" s="68"/>
      <c r="L644" s="68"/>
      <c r="M644" s="68"/>
      <c r="O644" s="68"/>
      <c r="R644" s="68"/>
    </row>
    <row r="645" ht="15.75" customHeight="1">
      <c r="E645" s="68"/>
      <c r="J645" s="68"/>
      <c r="L645" s="68"/>
      <c r="M645" s="68"/>
      <c r="O645" s="68"/>
      <c r="R645" s="68"/>
    </row>
    <row r="646" ht="15.75" customHeight="1">
      <c r="E646" s="68"/>
      <c r="J646" s="68"/>
      <c r="L646" s="68"/>
      <c r="M646" s="68"/>
      <c r="O646" s="68"/>
      <c r="R646" s="68"/>
    </row>
    <row r="647" ht="15.75" customHeight="1">
      <c r="E647" s="68"/>
      <c r="J647" s="68"/>
      <c r="L647" s="68"/>
      <c r="M647" s="68"/>
      <c r="O647" s="68"/>
      <c r="R647" s="68"/>
    </row>
    <row r="648" ht="15.75" customHeight="1">
      <c r="E648" s="68"/>
      <c r="J648" s="68"/>
      <c r="L648" s="68"/>
      <c r="M648" s="68"/>
      <c r="O648" s="68"/>
      <c r="R648" s="68"/>
    </row>
    <row r="649" ht="15.75" customHeight="1">
      <c r="E649" s="68"/>
      <c r="J649" s="68"/>
      <c r="L649" s="68"/>
      <c r="M649" s="68"/>
      <c r="O649" s="68"/>
      <c r="R649" s="68"/>
    </row>
    <row r="650" ht="15.75" customHeight="1">
      <c r="E650" s="68"/>
      <c r="J650" s="68"/>
      <c r="L650" s="68"/>
      <c r="M650" s="68"/>
      <c r="O650" s="68"/>
      <c r="R650" s="68"/>
    </row>
    <row r="651" ht="15.75" customHeight="1">
      <c r="E651" s="68"/>
      <c r="J651" s="68"/>
      <c r="L651" s="68"/>
      <c r="M651" s="68"/>
      <c r="O651" s="68"/>
      <c r="R651" s="68"/>
    </row>
    <row r="652" ht="15.75" customHeight="1">
      <c r="E652" s="68"/>
      <c r="J652" s="68"/>
      <c r="L652" s="68"/>
      <c r="M652" s="68"/>
      <c r="O652" s="68"/>
      <c r="R652" s="68"/>
    </row>
    <row r="653" ht="15.75" customHeight="1">
      <c r="E653" s="68"/>
      <c r="J653" s="68"/>
      <c r="L653" s="68"/>
      <c r="M653" s="68"/>
      <c r="O653" s="68"/>
      <c r="R653" s="68"/>
    </row>
    <row r="654" ht="15.75" customHeight="1">
      <c r="E654" s="68"/>
      <c r="J654" s="68"/>
      <c r="L654" s="68"/>
      <c r="M654" s="68"/>
      <c r="O654" s="68"/>
      <c r="R654" s="68"/>
    </row>
    <row r="655" ht="15.75" customHeight="1">
      <c r="E655" s="68"/>
      <c r="J655" s="68"/>
      <c r="L655" s="68"/>
      <c r="M655" s="68"/>
      <c r="O655" s="68"/>
      <c r="R655" s="68"/>
    </row>
    <row r="656" ht="15.75" customHeight="1">
      <c r="E656" s="68"/>
      <c r="J656" s="68"/>
      <c r="L656" s="68"/>
      <c r="M656" s="68"/>
      <c r="O656" s="68"/>
      <c r="R656" s="68"/>
    </row>
    <row r="657" ht="15.75" customHeight="1">
      <c r="E657" s="68"/>
      <c r="J657" s="68"/>
      <c r="L657" s="68"/>
      <c r="M657" s="68"/>
      <c r="O657" s="68"/>
      <c r="R657" s="68"/>
    </row>
    <row r="658" ht="15.75" customHeight="1">
      <c r="E658" s="68"/>
      <c r="J658" s="68"/>
      <c r="L658" s="68"/>
      <c r="M658" s="68"/>
      <c r="O658" s="68"/>
      <c r="R658" s="68"/>
    </row>
    <row r="659" ht="15.75" customHeight="1">
      <c r="E659" s="68"/>
      <c r="J659" s="68"/>
      <c r="L659" s="68"/>
      <c r="M659" s="68"/>
      <c r="O659" s="68"/>
      <c r="R659" s="68"/>
    </row>
    <row r="660" ht="15.75" customHeight="1">
      <c r="E660" s="68"/>
      <c r="J660" s="68"/>
      <c r="L660" s="68"/>
      <c r="M660" s="68"/>
      <c r="O660" s="68"/>
      <c r="R660" s="68"/>
    </row>
    <row r="661" ht="15.75" customHeight="1">
      <c r="E661" s="68"/>
      <c r="J661" s="68"/>
      <c r="L661" s="68"/>
      <c r="M661" s="68"/>
      <c r="O661" s="68"/>
      <c r="R661" s="68"/>
    </row>
    <row r="662" ht="15.75" customHeight="1">
      <c r="E662" s="68"/>
      <c r="J662" s="68"/>
      <c r="L662" s="68"/>
      <c r="M662" s="68"/>
      <c r="O662" s="68"/>
      <c r="R662" s="68"/>
    </row>
    <row r="663" ht="15.75" customHeight="1">
      <c r="E663" s="68"/>
      <c r="J663" s="68"/>
      <c r="L663" s="68"/>
      <c r="M663" s="68"/>
      <c r="O663" s="68"/>
      <c r="R663" s="68"/>
    </row>
    <row r="664" ht="15.75" customHeight="1">
      <c r="E664" s="68"/>
      <c r="J664" s="68"/>
      <c r="L664" s="68"/>
      <c r="M664" s="68"/>
      <c r="O664" s="68"/>
      <c r="R664" s="68"/>
    </row>
    <row r="665" ht="15.75" customHeight="1">
      <c r="E665" s="68"/>
      <c r="J665" s="68"/>
      <c r="L665" s="68"/>
      <c r="M665" s="68"/>
      <c r="O665" s="68"/>
      <c r="R665" s="68"/>
    </row>
    <row r="666" ht="15.75" customHeight="1">
      <c r="E666" s="68"/>
      <c r="J666" s="68"/>
      <c r="L666" s="68"/>
      <c r="M666" s="68"/>
      <c r="O666" s="68"/>
      <c r="R666" s="68"/>
    </row>
    <row r="667" ht="15.75" customHeight="1">
      <c r="E667" s="68"/>
      <c r="J667" s="68"/>
      <c r="L667" s="68"/>
      <c r="M667" s="68"/>
      <c r="O667" s="68"/>
      <c r="R667" s="68"/>
    </row>
    <row r="668" ht="15.75" customHeight="1">
      <c r="E668" s="68"/>
      <c r="J668" s="68"/>
      <c r="L668" s="68"/>
      <c r="M668" s="68"/>
      <c r="O668" s="68"/>
      <c r="R668" s="68"/>
    </row>
    <row r="669" ht="15.75" customHeight="1">
      <c r="E669" s="68"/>
      <c r="J669" s="68"/>
      <c r="L669" s="68"/>
      <c r="M669" s="68"/>
      <c r="O669" s="68"/>
      <c r="R669" s="68"/>
    </row>
    <row r="670" ht="15.75" customHeight="1">
      <c r="E670" s="68"/>
      <c r="J670" s="68"/>
      <c r="L670" s="68"/>
      <c r="M670" s="68"/>
      <c r="O670" s="68"/>
      <c r="R670" s="68"/>
    </row>
    <row r="671" ht="15.75" customHeight="1">
      <c r="E671" s="68"/>
      <c r="J671" s="68"/>
      <c r="L671" s="68"/>
      <c r="M671" s="68"/>
      <c r="O671" s="68"/>
      <c r="R671" s="68"/>
    </row>
    <row r="672" ht="15.75" customHeight="1">
      <c r="E672" s="68"/>
      <c r="J672" s="68"/>
      <c r="L672" s="68"/>
      <c r="M672" s="68"/>
      <c r="O672" s="68"/>
      <c r="R672" s="68"/>
    </row>
    <row r="673" ht="15.75" customHeight="1">
      <c r="E673" s="68"/>
      <c r="J673" s="68"/>
      <c r="L673" s="68"/>
      <c r="M673" s="68"/>
      <c r="O673" s="68"/>
      <c r="R673" s="68"/>
    </row>
    <row r="674" ht="15.75" customHeight="1">
      <c r="E674" s="68"/>
      <c r="J674" s="68"/>
      <c r="L674" s="68"/>
      <c r="M674" s="68"/>
      <c r="O674" s="68"/>
      <c r="R674" s="68"/>
    </row>
    <row r="675" ht="15.75" customHeight="1">
      <c r="E675" s="68"/>
      <c r="J675" s="68"/>
      <c r="L675" s="68"/>
      <c r="M675" s="68"/>
      <c r="O675" s="68"/>
      <c r="R675" s="68"/>
    </row>
    <row r="676" ht="15.75" customHeight="1">
      <c r="E676" s="68"/>
      <c r="J676" s="68"/>
      <c r="L676" s="68"/>
      <c r="M676" s="68"/>
      <c r="O676" s="68"/>
      <c r="R676" s="68"/>
    </row>
    <row r="677" ht="15.75" customHeight="1">
      <c r="E677" s="68"/>
      <c r="J677" s="68"/>
      <c r="L677" s="68"/>
      <c r="M677" s="68"/>
      <c r="O677" s="68"/>
      <c r="R677" s="68"/>
    </row>
    <row r="678" ht="15.75" customHeight="1">
      <c r="E678" s="68"/>
      <c r="J678" s="68"/>
      <c r="L678" s="68"/>
      <c r="M678" s="68"/>
      <c r="O678" s="68"/>
      <c r="R678" s="68"/>
    </row>
    <row r="679" ht="15.75" customHeight="1">
      <c r="E679" s="68"/>
      <c r="J679" s="68"/>
      <c r="L679" s="68"/>
      <c r="M679" s="68"/>
      <c r="O679" s="68"/>
      <c r="R679" s="68"/>
    </row>
    <row r="680" ht="15.75" customHeight="1">
      <c r="E680" s="68"/>
      <c r="J680" s="68"/>
      <c r="L680" s="68"/>
      <c r="M680" s="68"/>
      <c r="O680" s="68"/>
      <c r="R680" s="68"/>
    </row>
    <row r="681" ht="15.75" customHeight="1">
      <c r="E681" s="68"/>
      <c r="J681" s="68"/>
      <c r="L681" s="68"/>
      <c r="M681" s="68"/>
      <c r="O681" s="68"/>
      <c r="R681" s="68"/>
    </row>
    <row r="682" ht="15.75" customHeight="1">
      <c r="E682" s="68"/>
      <c r="J682" s="68"/>
      <c r="L682" s="68"/>
      <c r="M682" s="68"/>
      <c r="O682" s="68"/>
      <c r="R682" s="68"/>
    </row>
    <row r="683" ht="15.75" customHeight="1">
      <c r="E683" s="68"/>
      <c r="J683" s="68"/>
      <c r="L683" s="68"/>
      <c r="M683" s="68"/>
      <c r="O683" s="68"/>
      <c r="R683" s="68"/>
    </row>
    <row r="684" ht="15.75" customHeight="1">
      <c r="E684" s="68"/>
      <c r="J684" s="68"/>
      <c r="L684" s="68"/>
      <c r="M684" s="68"/>
      <c r="O684" s="68"/>
      <c r="R684" s="68"/>
    </row>
    <row r="685" ht="15.75" customHeight="1">
      <c r="E685" s="68"/>
      <c r="J685" s="68"/>
      <c r="L685" s="68"/>
      <c r="M685" s="68"/>
      <c r="O685" s="68"/>
      <c r="R685" s="68"/>
    </row>
    <row r="686" ht="15.75" customHeight="1">
      <c r="E686" s="68"/>
      <c r="J686" s="68"/>
      <c r="L686" s="68"/>
      <c r="M686" s="68"/>
      <c r="O686" s="68"/>
      <c r="R686" s="68"/>
    </row>
    <row r="687" ht="15.75" customHeight="1">
      <c r="E687" s="68"/>
      <c r="J687" s="68"/>
      <c r="L687" s="68"/>
      <c r="M687" s="68"/>
      <c r="O687" s="68"/>
      <c r="R687" s="68"/>
    </row>
    <row r="688" ht="15.75" customHeight="1">
      <c r="E688" s="68"/>
      <c r="J688" s="68"/>
      <c r="L688" s="68"/>
      <c r="M688" s="68"/>
      <c r="O688" s="68"/>
      <c r="R688" s="68"/>
    </row>
    <row r="689" ht="15.75" customHeight="1">
      <c r="E689" s="68"/>
      <c r="J689" s="68"/>
      <c r="L689" s="68"/>
      <c r="M689" s="68"/>
      <c r="O689" s="68"/>
      <c r="R689" s="68"/>
    </row>
    <row r="690" ht="15.75" customHeight="1">
      <c r="E690" s="68"/>
      <c r="J690" s="68"/>
      <c r="L690" s="68"/>
      <c r="M690" s="68"/>
      <c r="O690" s="68"/>
      <c r="R690" s="68"/>
    </row>
    <row r="691" ht="15.75" customHeight="1">
      <c r="E691" s="68"/>
      <c r="J691" s="68"/>
      <c r="L691" s="68"/>
      <c r="M691" s="68"/>
      <c r="O691" s="68"/>
      <c r="R691" s="68"/>
    </row>
    <row r="692" ht="15.75" customHeight="1">
      <c r="E692" s="68"/>
      <c r="J692" s="68"/>
      <c r="L692" s="68"/>
      <c r="M692" s="68"/>
      <c r="O692" s="68"/>
      <c r="R692" s="68"/>
    </row>
    <row r="693" ht="15.75" customHeight="1">
      <c r="E693" s="68"/>
      <c r="J693" s="68"/>
      <c r="L693" s="68"/>
      <c r="M693" s="68"/>
      <c r="O693" s="68"/>
      <c r="R693" s="68"/>
    </row>
    <row r="694" ht="15.75" customHeight="1">
      <c r="E694" s="68"/>
      <c r="J694" s="68"/>
      <c r="L694" s="68"/>
      <c r="M694" s="68"/>
      <c r="O694" s="68"/>
      <c r="R694" s="68"/>
    </row>
    <row r="695" ht="15.75" customHeight="1">
      <c r="E695" s="68"/>
      <c r="J695" s="68"/>
      <c r="L695" s="68"/>
      <c r="M695" s="68"/>
      <c r="O695" s="68"/>
      <c r="R695" s="68"/>
    </row>
    <row r="696" ht="15.75" customHeight="1">
      <c r="E696" s="68"/>
      <c r="J696" s="68"/>
      <c r="L696" s="68"/>
      <c r="M696" s="68"/>
      <c r="O696" s="68"/>
      <c r="R696" s="68"/>
    </row>
    <row r="697" ht="15.75" customHeight="1">
      <c r="E697" s="68"/>
      <c r="J697" s="68"/>
      <c r="L697" s="68"/>
      <c r="M697" s="68"/>
      <c r="O697" s="68"/>
      <c r="R697" s="68"/>
    </row>
    <row r="698" ht="15.75" customHeight="1">
      <c r="E698" s="68"/>
      <c r="J698" s="68"/>
      <c r="L698" s="68"/>
      <c r="M698" s="68"/>
      <c r="O698" s="68"/>
      <c r="R698" s="68"/>
    </row>
    <row r="699" ht="15.75" customHeight="1">
      <c r="E699" s="68"/>
      <c r="J699" s="68"/>
      <c r="L699" s="68"/>
      <c r="M699" s="68"/>
      <c r="O699" s="68"/>
      <c r="R699" s="68"/>
    </row>
    <row r="700" ht="15.75" customHeight="1">
      <c r="E700" s="68"/>
      <c r="J700" s="68"/>
      <c r="L700" s="68"/>
      <c r="M700" s="68"/>
      <c r="O700" s="68"/>
      <c r="R700" s="68"/>
    </row>
    <row r="701" ht="15.75" customHeight="1">
      <c r="E701" s="68"/>
      <c r="J701" s="68"/>
      <c r="L701" s="68"/>
      <c r="M701" s="68"/>
      <c r="O701" s="68"/>
      <c r="R701" s="68"/>
    </row>
    <row r="702" ht="15.75" customHeight="1">
      <c r="E702" s="68"/>
      <c r="J702" s="68"/>
      <c r="L702" s="68"/>
      <c r="M702" s="68"/>
      <c r="O702" s="68"/>
      <c r="R702" s="68"/>
    </row>
    <row r="703" ht="15.75" customHeight="1">
      <c r="E703" s="68"/>
      <c r="J703" s="68"/>
      <c r="L703" s="68"/>
      <c r="M703" s="68"/>
      <c r="O703" s="68"/>
      <c r="R703" s="68"/>
    </row>
    <row r="704" ht="15.75" customHeight="1">
      <c r="E704" s="68"/>
      <c r="J704" s="68"/>
      <c r="L704" s="68"/>
      <c r="M704" s="68"/>
      <c r="O704" s="68"/>
      <c r="R704" s="68"/>
    </row>
    <row r="705" ht="15.75" customHeight="1">
      <c r="E705" s="68"/>
      <c r="J705" s="68"/>
      <c r="L705" s="68"/>
      <c r="M705" s="68"/>
      <c r="O705" s="68"/>
      <c r="R705" s="68"/>
    </row>
    <row r="706" ht="15.75" customHeight="1">
      <c r="E706" s="68"/>
      <c r="J706" s="68"/>
      <c r="L706" s="68"/>
      <c r="M706" s="68"/>
      <c r="O706" s="68"/>
      <c r="R706" s="68"/>
    </row>
    <row r="707" ht="15.75" customHeight="1">
      <c r="E707" s="68"/>
      <c r="J707" s="68"/>
      <c r="L707" s="68"/>
      <c r="M707" s="68"/>
      <c r="O707" s="68"/>
      <c r="R707" s="68"/>
    </row>
    <row r="708" ht="15.75" customHeight="1">
      <c r="E708" s="68"/>
      <c r="J708" s="68"/>
      <c r="L708" s="68"/>
      <c r="M708" s="68"/>
      <c r="O708" s="68"/>
      <c r="R708" s="68"/>
    </row>
    <row r="709" ht="15.75" customHeight="1">
      <c r="E709" s="68"/>
      <c r="J709" s="68"/>
      <c r="L709" s="68"/>
      <c r="M709" s="68"/>
      <c r="O709" s="68"/>
      <c r="R709" s="68"/>
    </row>
    <row r="710" ht="15.75" customHeight="1">
      <c r="E710" s="68"/>
      <c r="J710" s="68"/>
      <c r="L710" s="68"/>
      <c r="M710" s="68"/>
      <c r="O710" s="68"/>
      <c r="R710" s="68"/>
    </row>
    <row r="711" ht="15.75" customHeight="1">
      <c r="E711" s="68"/>
      <c r="J711" s="68"/>
      <c r="L711" s="68"/>
      <c r="M711" s="68"/>
      <c r="O711" s="68"/>
      <c r="R711" s="68"/>
    </row>
    <row r="712" ht="15.75" customHeight="1">
      <c r="E712" s="68"/>
      <c r="J712" s="68"/>
      <c r="L712" s="68"/>
      <c r="M712" s="68"/>
      <c r="O712" s="68"/>
      <c r="R712" s="68"/>
    </row>
    <row r="713" ht="15.75" customHeight="1">
      <c r="E713" s="68"/>
      <c r="J713" s="68"/>
      <c r="L713" s="68"/>
      <c r="M713" s="68"/>
      <c r="O713" s="68"/>
      <c r="R713" s="68"/>
    </row>
    <row r="714" ht="15.75" customHeight="1">
      <c r="E714" s="68"/>
      <c r="J714" s="68"/>
      <c r="L714" s="68"/>
      <c r="M714" s="68"/>
      <c r="O714" s="68"/>
      <c r="R714" s="68"/>
    </row>
    <row r="715" ht="15.75" customHeight="1">
      <c r="E715" s="68"/>
      <c r="J715" s="68"/>
      <c r="L715" s="68"/>
      <c r="M715" s="68"/>
      <c r="O715" s="68"/>
      <c r="R715" s="68"/>
    </row>
    <row r="716" ht="15.75" customHeight="1">
      <c r="E716" s="68"/>
      <c r="J716" s="68"/>
      <c r="L716" s="68"/>
      <c r="M716" s="68"/>
      <c r="O716" s="68"/>
      <c r="R716" s="68"/>
    </row>
    <row r="717" ht="15.75" customHeight="1">
      <c r="E717" s="68"/>
      <c r="J717" s="68"/>
      <c r="L717" s="68"/>
      <c r="M717" s="68"/>
      <c r="O717" s="68"/>
      <c r="R717" s="68"/>
    </row>
    <row r="718" ht="15.75" customHeight="1">
      <c r="E718" s="68"/>
      <c r="J718" s="68"/>
      <c r="L718" s="68"/>
      <c r="M718" s="68"/>
      <c r="O718" s="68"/>
      <c r="R718" s="68"/>
    </row>
    <row r="719" ht="15.75" customHeight="1">
      <c r="E719" s="68"/>
      <c r="J719" s="68"/>
      <c r="L719" s="68"/>
      <c r="M719" s="68"/>
      <c r="O719" s="68"/>
      <c r="R719" s="68"/>
    </row>
    <row r="720" ht="15.75" customHeight="1">
      <c r="E720" s="68"/>
      <c r="J720" s="68"/>
      <c r="L720" s="68"/>
      <c r="M720" s="68"/>
      <c r="O720" s="68"/>
      <c r="R720" s="68"/>
    </row>
    <row r="721" ht="15.75" customHeight="1">
      <c r="E721" s="68"/>
      <c r="J721" s="68"/>
      <c r="L721" s="68"/>
      <c r="M721" s="68"/>
      <c r="O721" s="68"/>
      <c r="R721" s="68"/>
    </row>
    <row r="722" ht="15.75" customHeight="1">
      <c r="E722" s="68"/>
      <c r="J722" s="68"/>
      <c r="L722" s="68"/>
      <c r="M722" s="68"/>
      <c r="O722" s="68"/>
      <c r="R722" s="68"/>
    </row>
    <row r="723" ht="15.75" customHeight="1">
      <c r="E723" s="68"/>
      <c r="J723" s="68"/>
      <c r="L723" s="68"/>
      <c r="M723" s="68"/>
      <c r="O723" s="68"/>
      <c r="R723" s="68"/>
    </row>
    <row r="724" ht="15.75" customHeight="1">
      <c r="E724" s="68"/>
      <c r="J724" s="68"/>
      <c r="L724" s="68"/>
      <c r="M724" s="68"/>
      <c r="O724" s="68"/>
      <c r="R724" s="68"/>
    </row>
    <row r="725" ht="15.75" customHeight="1">
      <c r="E725" s="68"/>
      <c r="J725" s="68"/>
      <c r="L725" s="68"/>
      <c r="M725" s="68"/>
      <c r="O725" s="68"/>
      <c r="R725" s="68"/>
    </row>
    <row r="726" ht="15.75" customHeight="1">
      <c r="E726" s="68"/>
      <c r="J726" s="68"/>
      <c r="L726" s="68"/>
      <c r="M726" s="68"/>
      <c r="O726" s="68"/>
      <c r="R726" s="68"/>
    </row>
    <row r="727" ht="15.75" customHeight="1">
      <c r="E727" s="68"/>
      <c r="J727" s="68"/>
      <c r="L727" s="68"/>
      <c r="M727" s="68"/>
      <c r="O727" s="68"/>
      <c r="R727" s="68"/>
    </row>
    <row r="728" ht="15.75" customHeight="1">
      <c r="E728" s="68"/>
      <c r="J728" s="68"/>
      <c r="L728" s="68"/>
      <c r="M728" s="68"/>
      <c r="O728" s="68"/>
      <c r="R728" s="68"/>
    </row>
    <row r="729" ht="15.75" customHeight="1">
      <c r="E729" s="68"/>
      <c r="J729" s="68"/>
      <c r="L729" s="68"/>
      <c r="M729" s="68"/>
      <c r="O729" s="68"/>
      <c r="R729" s="68"/>
    </row>
    <row r="730" ht="15.75" customHeight="1">
      <c r="E730" s="68"/>
      <c r="J730" s="68"/>
      <c r="L730" s="68"/>
      <c r="M730" s="68"/>
      <c r="O730" s="68"/>
      <c r="R730" s="68"/>
    </row>
    <row r="731" ht="15.75" customHeight="1">
      <c r="E731" s="68"/>
      <c r="J731" s="68"/>
      <c r="L731" s="68"/>
      <c r="M731" s="68"/>
      <c r="O731" s="68"/>
      <c r="R731" s="68"/>
    </row>
    <row r="732" ht="15.75" customHeight="1">
      <c r="E732" s="68"/>
      <c r="J732" s="68"/>
      <c r="L732" s="68"/>
      <c r="M732" s="68"/>
      <c r="O732" s="68"/>
      <c r="R732" s="68"/>
    </row>
    <row r="733" ht="15.75" customHeight="1">
      <c r="E733" s="68"/>
      <c r="J733" s="68"/>
      <c r="L733" s="68"/>
      <c r="M733" s="68"/>
      <c r="O733" s="68"/>
      <c r="R733" s="68"/>
    </row>
    <row r="734" ht="15.75" customHeight="1">
      <c r="E734" s="68"/>
      <c r="J734" s="68"/>
      <c r="L734" s="68"/>
      <c r="M734" s="68"/>
      <c r="O734" s="68"/>
      <c r="R734" s="68"/>
    </row>
    <row r="735" ht="15.75" customHeight="1">
      <c r="E735" s="68"/>
      <c r="J735" s="68"/>
      <c r="L735" s="68"/>
      <c r="M735" s="68"/>
      <c r="O735" s="68"/>
      <c r="R735" s="68"/>
    </row>
    <row r="736" ht="15.75" customHeight="1">
      <c r="E736" s="68"/>
      <c r="J736" s="68"/>
      <c r="L736" s="68"/>
      <c r="M736" s="68"/>
      <c r="O736" s="68"/>
      <c r="R736" s="68"/>
    </row>
    <row r="737" ht="15.75" customHeight="1">
      <c r="E737" s="68"/>
      <c r="J737" s="68"/>
      <c r="L737" s="68"/>
      <c r="M737" s="68"/>
      <c r="O737" s="68"/>
      <c r="R737" s="68"/>
    </row>
    <row r="738" ht="15.75" customHeight="1">
      <c r="E738" s="68"/>
      <c r="J738" s="68"/>
      <c r="L738" s="68"/>
      <c r="M738" s="68"/>
      <c r="O738" s="68"/>
      <c r="R738" s="68"/>
    </row>
    <row r="739" ht="15.75" customHeight="1">
      <c r="E739" s="68"/>
      <c r="J739" s="68"/>
      <c r="L739" s="68"/>
      <c r="M739" s="68"/>
      <c r="O739" s="68"/>
      <c r="R739" s="68"/>
    </row>
    <row r="740" ht="15.75" customHeight="1">
      <c r="E740" s="68"/>
      <c r="J740" s="68"/>
      <c r="L740" s="68"/>
      <c r="M740" s="68"/>
      <c r="O740" s="68"/>
      <c r="R740" s="68"/>
    </row>
    <row r="741" ht="15.75" customHeight="1">
      <c r="E741" s="68"/>
      <c r="J741" s="68"/>
      <c r="L741" s="68"/>
      <c r="M741" s="68"/>
      <c r="O741" s="68"/>
      <c r="R741" s="68"/>
    </row>
    <row r="742" ht="15.75" customHeight="1">
      <c r="E742" s="68"/>
      <c r="J742" s="68"/>
      <c r="L742" s="68"/>
      <c r="M742" s="68"/>
      <c r="O742" s="68"/>
      <c r="R742" s="68"/>
    </row>
    <row r="743" ht="15.75" customHeight="1">
      <c r="E743" s="68"/>
      <c r="J743" s="68"/>
      <c r="L743" s="68"/>
      <c r="M743" s="68"/>
      <c r="O743" s="68"/>
      <c r="R743" s="68"/>
    </row>
    <row r="744" ht="15.75" customHeight="1">
      <c r="E744" s="68"/>
      <c r="J744" s="68"/>
      <c r="L744" s="68"/>
      <c r="M744" s="68"/>
      <c r="O744" s="68"/>
      <c r="R744" s="68"/>
    </row>
    <row r="745" ht="15.75" customHeight="1">
      <c r="E745" s="68"/>
      <c r="J745" s="68"/>
      <c r="L745" s="68"/>
      <c r="M745" s="68"/>
      <c r="O745" s="68"/>
      <c r="R745" s="68"/>
    </row>
    <row r="746" ht="15.75" customHeight="1">
      <c r="E746" s="68"/>
      <c r="J746" s="68"/>
      <c r="L746" s="68"/>
      <c r="M746" s="68"/>
      <c r="O746" s="68"/>
      <c r="R746" s="68"/>
    </row>
    <row r="747" ht="15.75" customHeight="1">
      <c r="E747" s="68"/>
      <c r="J747" s="68"/>
      <c r="L747" s="68"/>
      <c r="M747" s="68"/>
      <c r="O747" s="68"/>
      <c r="R747" s="68"/>
    </row>
    <row r="748" ht="15.75" customHeight="1">
      <c r="E748" s="68"/>
      <c r="J748" s="68"/>
      <c r="L748" s="68"/>
      <c r="M748" s="68"/>
      <c r="O748" s="68"/>
      <c r="R748" s="68"/>
    </row>
    <row r="749" ht="15.75" customHeight="1">
      <c r="E749" s="68"/>
      <c r="J749" s="68"/>
      <c r="L749" s="68"/>
      <c r="M749" s="68"/>
      <c r="O749" s="68"/>
      <c r="R749" s="68"/>
    </row>
    <row r="750" ht="15.75" customHeight="1">
      <c r="E750" s="68"/>
      <c r="J750" s="68"/>
      <c r="L750" s="68"/>
      <c r="M750" s="68"/>
      <c r="O750" s="68"/>
      <c r="R750" s="68"/>
    </row>
    <row r="751" ht="15.75" customHeight="1">
      <c r="E751" s="68"/>
      <c r="J751" s="68"/>
      <c r="L751" s="68"/>
      <c r="M751" s="68"/>
      <c r="O751" s="68"/>
      <c r="R751" s="68"/>
    </row>
    <row r="752" ht="15.75" customHeight="1">
      <c r="E752" s="68"/>
      <c r="J752" s="68"/>
      <c r="L752" s="68"/>
      <c r="M752" s="68"/>
      <c r="O752" s="68"/>
      <c r="R752" s="68"/>
    </row>
    <row r="753" ht="15.75" customHeight="1">
      <c r="E753" s="68"/>
      <c r="J753" s="68"/>
      <c r="L753" s="68"/>
      <c r="M753" s="68"/>
      <c r="O753" s="68"/>
      <c r="R753" s="68"/>
    </row>
    <row r="754" ht="15.75" customHeight="1">
      <c r="E754" s="68"/>
      <c r="J754" s="68"/>
      <c r="L754" s="68"/>
      <c r="M754" s="68"/>
      <c r="O754" s="68"/>
      <c r="R754" s="68"/>
    </row>
    <row r="755" ht="15.75" customHeight="1">
      <c r="E755" s="68"/>
      <c r="J755" s="68"/>
      <c r="L755" s="68"/>
      <c r="M755" s="68"/>
      <c r="O755" s="68"/>
      <c r="R755" s="68"/>
    </row>
    <row r="756" ht="15.75" customHeight="1">
      <c r="E756" s="68"/>
      <c r="J756" s="68"/>
      <c r="L756" s="68"/>
      <c r="M756" s="68"/>
      <c r="O756" s="68"/>
      <c r="R756" s="68"/>
    </row>
    <row r="757" ht="15.75" customHeight="1">
      <c r="E757" s="68"/>
      <c r="J757" s="68"/>
      <c r="L757" s="68"/>
      <c r="M757" s="68"/>
      <c r="O757" s="68"/>
      <c r="R757" s="68"/>
    </row>
    <row r="758" ht="15.75" customHeight="1">
      <c r="E758" s="68"/>
      <c r="J758" s="68"/>
      <c r="L758" s="68"/>
      <c r="M758" s="68"/>
      <c r="O758" s="68"/>
      <c r="R758" s="68"/>
    </row>
    <row r="759" ht="15.75" customHeight="1">
      <c r="E759" s="68"/>
      <c r="J759" s="68"/>
      <c r="L759" s="68"/>
      <c r="M759" s="68"/>
      <c r="O759" s="68"/>
      <c r="R759" s="68"/>
    </row>
    <row r="760" ht="15.75" customHeight="1">
      <c r="E760" s="68"/>
      <c r="J760" s="68"/>
      <c r="L760" s="68"/>
      <c r="M760" s="68"/>
      <c r="O760" s="68"/>
      <c r="R760" s="68"/>
    </row>
    <row r="761" ht="15.75" customHeight="1">
      <c r="E761" s="68"/>
      <c r="J761" s="68"/>
      <c r="L761" s="68"/>
      <c r="M761" s="68"/>
      <c r="O761" s="68"/>
      <c r="R761" s="68"/>
    </row>
    <row r="762" ht="15.75" customHeight="1">
      <c r="E762" s="68"/>
      <c r="J762" s="68"/>
      <c r="L762" s="68"/>
      <c r="M762" s="68"/>
      <c r="O762" s="68"/>
      <c r="R762" s="68"/>
    </row>
    <row r="763" ht="15.75" customHeight="1">
      <c r="E763" s="68"/>
      <c r="J763" s="68"/>
      <c r="L763" s="68"/>
      <c r="M763" s="68"/>
      <c r="O763" s="68"/>
      <c r="R763" s="68"/>
    </row>
    <row r="764" ht="15.75" customHeight="1">
      <c r="E764" s="68"/>
      <c r="J764" s="68"/>
      <c r="L764" s="68"/>
      <c r="M764" s="68"/>
      <c r="O764" s="68"/>
      <c r="R764" s="68"/>
    </row>
    <row r="765" ht="15.75" customHeight="1">
      <c r="E765" s="68"/>
      <c r="J765" s="68"/>
      <c r="L765" s="68"/>
      <c r="M765" s="68"/>
      <c r="O765" s="68"/>
      <c r="R765" s="68"/>
    </row>
    <row r="766" ht="15.75" customHeight="1">
      <c r="E766" s="68"/>
      <c r="J766" s="68"/>
      <c r="L766" s="68"/>
      <c r="M766" s="68"/>
      <c r="O766" s="68"/>
      <c r="R766" s="68"/>
    </row>
    <row r="767" ht="15.75" customHeight="1">
      <c r="E767" s="68"/>
      <c r="J767" s="68"/>
      <c r="L767" s="68"/>
      <c r="M767" s="68"/>
      <c r="O767" s="68"/>
      <c r="R767" s="68"/>
    </row>
    <row r="768" ht="15.75" customHeight="1">
      <c r="E768" s="68"/>
      <c r="J768" s="68"/>
      <c r="L768" s="68"/>
      <c r="M768" s="68"/>
      <c r="O768" s="68"/>
      <c r="R768" s="68"/>
    </row>
    <row r="769" ht="15.75" customHeight="1">
      <c r="E769" s="68"/>
      <c r="J769" s="68"/>
      <c r="L769" s="68"/>
      <c r="M769" s="68"/>
      <c r="O769" s="68"/>
      <c r="R769" s="68"/>
    </row>
    <row r="770" ht="15.75" customHeight="1">
      <c r="E770" s="68"/>
      <c r="J770" s="68"/>
      <c r="L770" s="68"/>
      <c r="M770" s="68"/>
      <c r="O770" s="68"/>
      <c r="R770" s="68"/>
    </row>
    <row r="771" ht="15.75" customHeight="1">
      <c r="E771" s="68"/>
      <c r="J771" s="68"/>
      <c r="L771" s="68"/>
      <c r="M771" s="68"/>
      <c r="O771" s="68"/>
      <c r="R771" s="68"/>
    </row>
    <row r="772" ht="15.75" customHeight="1">
      <c r="E772" s="68"/>
      <c r="J772" s="68"/>
      <c r="L772" s="68"/>
      <c r="M772" s="68"/>
      <c r="O772" s="68"/>
      <c r="R772" s="68"/>
    </row>
    <row r="773" ht="15.75" customHeight="1">
      <c r="E773" s="68"/>
      <c r="J773" s="68"/>
      <c r="L773" s="68"/>
      <c r="M773" s="68"/>
      <c r="O773" s="68"/>
      <c r="R773" s="68"/>
    </row>
    <row r="774" ht="15.75" customHeight="1">
      <c r="E774" s="68"/>
      <c r="J774" s="68"/>
      <c r="L774" s="68"/>
      <c r="M774" s="68"/>
      <c r="O774" s="68"/>
      <c r="R774" s="68"/>
    </row>
    <row r="775" ht="15.75" customHeight="1">
      <c r="E775" s="68"/>
      <c r="J775" s="68"/>
      <c r="L775" s="68"/>
      <c r="M775" s="68"/>
      <c r="O775" s="68"/>
      <c r="R775" s="68"/>
    </row>
    <row r="776" ht="15.75" customHeight="1">
      <c r="E776" s="68"/>
      <c r="J776" s="68"/>
      <c r="L776" s="68"/>
      <c r="M776" s="68"/>
      <c r="O776" s="68"/>
      <c r="R776" s="68"/>
    </row>
    <row r="777" ht="15.75" customHeight="1">
      <c r="E777" s="68"/>
      <c r="J777" s="68"/>
      <c r="L777" s="68"/>
      <c r="M777" s="68"/>
      <c r="O777" s="68"/>
      <c r="R777" s="68"/>
    </row>
    <row r="778" ht="15.75" customHeight="1">
      <c r="E778" s="68"/>
      <c r="J778" s="68"/>
      <c r="L778" s="68"/>
      <c r="M778" s="68"/>
      <c r="O778" s="68"/>
      <c r="R778" s="68"/>
    </row>
    <row r="779" ht="15.75" customHeight="1">
      <c r="E779" s="68"/>
      <c r="J779" s="68"/>
      <c r="L779" s="68"/>
      <c r="M779" s="68"/>
      <c r="O779" s="68"/>
      <c r="R779" s="68"/>
    </row>
    <row r="780" ht="15.75" customHeight="1">
      <c r="E780" s="68"/>
      <c r="J780" s="68"/>
      <c r="L780" s="68"/>
      <c r="M780" s="68"/>
      <c r="O780" s="68"/>
      <c r="R780" s="68"/>
    </row>
    <row r="781" ht="15.75" customHeight="1">
      <c r="E781" s="68"/>
      <c r="J781" s="68"/>
      <c r="L781" s="68"/>
      <c r="M781" s="68"/>
      <c r="O781" s="68"/>
      <c r="R781" s="68"/>
    </row>
    <row r="782" ht="15.75" customHeight="1">
      <c r="E782" s="68"/>
      <c r="J782" s="68"/>
      <c r="L782" s="68"/>
      <c r="M782" s="68"/>
      <c r="O782" s="68"/>
      <c r="R782" s="68"/>
    </row>
    <row r="783" ht="15.75" customHeight="1">
      <c r="E783" s="68"/>
      <c r="J783" s="68"/>
      <c r="L783" s="68"/>
      <c r="M783" s="68"/>
      <c r="O783" s="68"/>
      <c r="R783" s="68"/>
    </row>
    <row r="784" ht="15.75" customHeight="1">
      <c r="E784" s="68"/>
      <c r="J784" s="68"/>
      <c r="L784" s="68"/>
      <c r="M784" s="68"/>
      <c r="O784" s="68"/>
      <c r="R784" s="68"/>
    </row>
    <row r="785" ht="15.75" customHeight="1">
      <c r="E785" s="68"/>
      <c r="J785" s="68"/>
      <c r="L785" s="68"/>
      <c r="M785" s="68"/>
      <c r="O785" s="68"/>
      <c r="R785" s="68"/>
    </row>
    <row r="786" ht="15.75" customHeight="1">
      <c r="E786" s="68"/>
      <c r="J786" s="68"/>
      <c r="L786" s="68"/>
      <c r="M786" s="68"/>
      <c r="O786" s="68"/>
      <c r="R786" s="68"/>
    </row>
    <row r="787" ht="15.75" customHeight="1">
      <c r="E787" s="68"/>
      <c r="J787" s="68"/>
      <c r="L787" s="68"/>
      <c r="M787" s="68"/>
      <c r="O787" s="68"/>
      <c r="R787" s="68"/>
    </row>
    <row r="788" ht="15.75" customHeight="1">
      <c r="E788" s="68"/>
      <c r="J788" s="68"/>
      <c r="L788" s="68"/>
      <c r="M788" s="68"/>
      <c r="O788" s="68"/>
      <c r="R788" s="68"/>
    </row>
    <row r="789" ht="15.75" customHeight="1">
      <c r="E789" s="68"/>
      <c r="J789" s="68"/>
      <c r="L789" s="68"/>
      <c r="M789" s="68"/>
      <c r="O789" s="68"/>
      <c r="R789" s="68"/>
    </row>
    <row r="790" ht="15.75" customHeight="1">
      <c r="E790" s="68"/>
      <c r="J790" s="68"/>
      <c r="L790" s="68"/>
      <c r="M790" s="68"/>
      <c r="O790" s="68"/>
      <c r="R790" s="68"/>
    </row>
    <row r="791" ht="15.75" customHeight="1">
      <c r="E791" s="68"/>
      <c r="J791" s="68"/>
      <c r="L791" s="68"/>
      <c r="M791" s="68"/>
      <c r="O791" s="68"/>
      <c r="R791" s="68"/>
    </row>
    <row r="792" ht="15.75" customHeight="1">
      <c r="E792" s="68"/>
      <c r="J792" s="68"/>
      <c r="L792" s="68"/>
      <c r="M792" s="68"/>
      <c r="O792" s="68"/>
      <c r="R792" s="68"/>
    </row>
    <row r="793" ht="15.75" customHeight="1">
      <c r="E793" s="68"/>
      <c r="J793" s="68"/>
      <c r="L793" s="68"/>
      <c r="M793" s="68"/>
      <c r="O793" s="68"/>
      <c r="R793" s="68"/>
    </row>
    <row r="794" ht="15.75" customHeight="1">
      <c r="E794" s="68"/>
      <c r="J794" s="68"/>
      <c r="L794" s="68"/>
      <c r="M794" s="68"/>
      <c r="O794" s="68"/>
      <c r="R794" s="68"/>
    </row>
    <row r="795" ht="15.75" customHeight="1">
      <c r="E795" s="68"/>
      <c r="J795" s="68"/>
      <c r="L795" s="68"/>
      <c r="M795" s="68"/>
      <c r="O795" s="68"/>
      <c r="R795" s="68"/>
    </row>
    <row r="796" ht="15.75" customHeight="1">
      <c r="E796" s="68"/>
      <c r="J796" s="68"/>
      <c r="L796" s="68"/>
      <c r="M796" s="68"/>
      <c r="O796" s="68"/>
      <c r="R796" s="68"/>
    </row>
    <row r="797" ht="15.75" customHeight="1">
      <c r="E797" s="68"/>
      <c r="J797" s="68"/>
      <c r="L797" s="68"/>
      <c r="M797" s="68"/>
      <c r="O797" s="68"/>
      <c r="R797" s="68"/>
    </row>
    <row r="798" ht="15.75" customHeight="1">
      <c r="E798" s="68"/>
      <c r="J798" s="68"/>
      <c r="L798" s="68"/>
      <c r="M798" s="68"/>
      <c r="O798" s="68"/>
      <c r="R798" s="68"/>
    </row>
    <row r="799" ht="15.75" customHeight="1">
      <c r="E799" s="68"/>
      <c r="J799" s="68"/>
      <c r="L799" s="68"/>
      <c r="M799" s="68"/>
      <c r="O799" s="68"/>
      <c r="R799" s="68"/>
    </row>
    <row r="800" ht="15.75" customHeight="1">
      <c r="E800" s="68"/>
      <c r="J800" s="68"/>
      <c r="L800" s="68"/>
      <c r="M800" s="68"/>
      <c r="O800" s="68"/>
      <c r="R800" s="68"/>
    </row>
    <row r="801" ht="15.75" customHeight="1">
      <c r="E801" s="68"/>
      <c r="J801" s="68"/>
      <c r="L801" s="68"/>
      <c r="M801" s="68"/>
      <c r="O801" s="68"/>
      <c r="R801" s="68"/>
    </row>
    <row r="802" ht="15.75" customHeight="1">
      <c r="E802" s="68"/>
      <c r="J802" s="68"/>
      <c r="L802" s="68"/>
      <c r="M802" s="68"/>
      <c r="O802" s="68"/>
      <c r="R802" s="68"/>
    </row>
    <row r="803" ht="15.75" customHeight="1">
      <c r="E803" s="68"/>
      <c r="J803" s="68"/>
      <c r="L803" s="68"/>
      <c r="M803" s="68"/>
      <c r="O803" s="68"/>
      <c r="R803" s="68"/>
    </row>
    <row r="804" ht="15.75" customHeight="1">
      <c r="E804" s="68"/>
      <c r="J804" s="68"/>
      <c r="L804" s="68"/>
      <c r="M804" s="68"/>
      <c r="O804" s="68"/>
      <c r="R804" s="68"/>
    </row>
    <row r="805" ht="15.75" customHeight="1">
      <c r="E805" s="68"/>
      <c r="J805" s="68"/>
      <c r="L805" s="68"/>
      <c r="M805" s="68"/>
      <c r="O805" s="68"/>
      <c r="R805" s="68"/>
    </row>
    <row r="806" ht="15.75" customHeight="1">
      <c r="E806" s="68"/>
      <c r="J806" s="68"/>
      <c r="L806" s="68"/>
      <c r="M806" s="68"/>
      <c r="O806" s="68"/>
      <c r="R806" s="68"/>
    </row>
    <row r="807" ht="15.75" customHeight="1">
      <c r="E807" s="68"/>
      <c r="J807" s="68"/>
      <c r="L807" s="68"/>
      <c r="M807" s="68"/>
      <c r="O807" s="68"/>
      <c r="R807" s="68"/>
    </row>
    <row r="808" ht="15.75" customHeight="1">
      <c r="E808" s="68"/>
      <c r="J808" s="68"/>
      <c r="L808" s="68"/>
      <c r="M808" s="68"/>
      <c r="O808" s="68"/>
      <c r="R808" s="68"/>
    </row>
    <row r="809" ht="15.75" customHeight="1">
      <c r="E809" s="68"/>
      <c r="J809" s="68"/>
      <c r="L809" s="68"/>
      <c r="M809" s="68"/>
      <c r="O809" s="68"/>
      <c r="R809" s="68"/>
    </row>
    <row r="810" ht="15.75" customHeight="1">
      <c r="E810" s="68"/>
      <c r="J810" s="68"/>
      <c r="L810" s="68"/>
      <c r="M810" s="68"/>
      <c r="O810" s="68"/>
      <c r="R810" s="68"/>
    </row>
    <row r="811" ht="15.75" customHeight="1">
      <c r="E811" s="68"/>
      <c r="J811" s="68"/>
      <c r="L811" s="68"/>
      <c r="M811" s="68"/>
      <c r="O811" s="68"/>
      <c r="R811" s="68"/>
    </row>
    <row r="812" ht="15.75" customHeight="1">
      <c r="E812" s="68"/>
      <c r="J812" s="68"/>
      <c r="L812" s="68"/>
      <c r="M812" s="68"/>
      <c r="O812" s="68"/>
      <c r="R812" s="68"/>
    </row>
    <row r="813" ht="15.75" customHeight="1">
      <c r="E813" s="68"/>
      <c r="J813" s="68"/>
      <c r="L813" s="68"/>
      <c r="M813" s="68"/>
      <c r="O813" s="68"/>
      <c r="R813" s="68"/>
    </row>
    <row r="814" ht="15.75" customHeight="1">
      <c r="E814" s="68"/>
      <c r="J814" s="68"/>
      <c r="L814" s="68"/>
      <c r="M814" s="68"/>
      <c r="O814" s="68"/>
      <c r="R814" s="68"/>
    </row>
    <row r="815" ht="15.75" customHeight="1">
      <c r="E815" s="68"/>
      <c r="J815" s="68"/>
      <c r="L815" s="68"/>
      <c r="M815" s="68"/>
      <c r="O815" s="68"/>
      <c r="R815" s="68"/>
    </row>
    <row r="816" ht="15.75" customHeight="1">
      <c r="E816" s="68"/>
      <c r="J816" s="68"/>
      <c r="L816" s="68"/>
      <c r="M816" s="68"/>
      <c r="O816" s="68"/>
      <c r="R816" s="68"/>
    </row>
    <row r="817" ht="15.75" customHeight="1">
      <c r="E817" s="68"/>
      <c r="J817" s="68"/>
      <c r="L817" s="68"/>
      <c r="M817" s="68"/>
      <c r="O817" s="68"/>
      <c r="R817" s="68"/>
    </row>
    <row r="818" ht="15.75" customHeight="1">
      <c r="E818" s="68"/>
      <c r="J818" s="68"/>
      <c r="L818" s="68"/>
      <c r="M818" s="68"/>
      <c r="O818" s="68"/>
      <c r="R818" s="68"/>
    </row>
    <row r="819" ht="15.75" customHeight="1">
      <c r="E819" s="68"/>
      <c r="J819" s="68"/>
      <c r="L819" s="68"/>
      <c r="M819" s="68"/>
      <c r="O819" s="68"/>
      <c r="R819" s="68"/>
    </row>
    <row r="820" ht="15.75" customHeight="1">
      <c r="E820" s="68"/>
      <c r="J820" s="68"/>
      <c r="L820" s="68"/>
      <c r="M820" s="68"/>
      <c r="O820" s="68"/>
      <c r="R820" s="68"/>
    </row>
    <row r="821" ht="15.75" customHeight="1">
      <c r="E821" s="68"/>
      <c r="J821" s="68"/>
      <c r="L821" s="68"/>
      <c r="M821" s="68"/>
      <c r="O821" s="68"/>
      <c r="R821" s="68"/>
    </row>
    <row r="822" ht="15.75" customHeight="1">
      <c r="E822" s="68"/>
      <c r="J822" s="68"/>
      <c r="L822" s="68"/>
      <c r="M822" s="68"/>
      <c r="O822" s="68"/>
      <c r="R822" s="68"/>
    </row>
    <row r="823" ht="15.75" customHeight="1">
      <c r="E823" s="68"/>
      <c r="J823" s="68"/>
      <c r="L823" s="68"/>
      <c r="M823" s="68"/>
      <c r="O823" s="68"/>
      <c r="R823" s="68"/>
    </row>
    <row r="824" ht="15.75" customHeight="1">
      <c r="E824" s="68"/>
      <c r="J824" s="68"/>
      <c r="L824" s="68"/>
      <c r="M824" s="68"/>
      <c r="O824" s="68"/>
      <c r="R824" s="68"/>
    </row>
    <row r="825" ht="15.75" customHeight="1">
      <c r="E825" s="68"/>
      <c r="J825" s="68"/>
      <c r="L825" s="68"/>
      <c r="M825" s="68"/>
      <c r="O825" s="68"/>
      <c r="R825" s="68"/>
    </row>
    <row r="826" ht="15.75" customHeight="1">
      <c r="E826" s="68"/>
      <c r="J826" s="68"/>
      <c r="L826" s="68"/>
      <c r="M826" s="68"/>
      <c r="O826" s="68"/>
      <c r="R826" s="68"/>
    </row>
    <row r="827" ht="15.75" customHeight="1">
      <c r="E827" s="68"/>
      <c r="J827" s="68"/>
      <c r="L827" s="68"/>
      <c r="M827" s="68"/>
      <c r="O827" s="68"/>
      <c r="R827" s="68"/>
    </row>
    <row r="828" ht="15.75" customHeight="1">
      <c r="E828" s="68"/>
      <c r="J828" s="68"/>
      <c r="L828" s="68"/>
      <c r="M828" s="68"/>
      <c r="O828" s="68"/>
      <c r="R828" s="68"/>
    </row>
    <row r="829" ht="15.75" customHeight="1">
      <c r="E829" s="68"/>
      <c r="J829" s="68"/>
      <c r="L829" s="68"/>
      <c r="M829" s="68"/>
      <c r="O829" s="68"/>
      <c r="R829" s="68"/>
    </row>
    <row r="830" ht="15.75" customHeight="1">
      <c r="E830" s="68"/>
      <c r="J830" s="68"/>
      <c r="L830" s="68"/>
      <c r="M830" s="68"/>
      <c r="O830" s="68"/>
      <c r="R830" s="68"/>
    </row>
    <row r="831" ht="15.75" customHeight="1">
      <c r="E831" s="68"/>
      <c r="J831" s="68"/>
      <c r="L831" s="68"/>
      <c r="M831" s="68"/>
      <c r="O831" s="68"/>
      <c r="R831" s="68"/>
    </row>
    <row r="832" ht="15.75" customHeight="1">
      <c r="E832" s="68"/>
      <c r="J832" s="68"/>
      <c r="L832" s="68"/>
      <c r="M832" s="68"/>
      <c r="O832" s="68"/>
      <c r="R832" s="68"/>
    </row>
    <row r="833" ht="15.75" customHeight="1">
      <c r="E833" s="68"/>
      <c r="J833" s="68"/>
      <c r="L833" s="68"/>
      <c r="M833" s="68"/>
      <c r="O833" s="68"/>
      <c r="R833" s="68"/>
    </row>
    <row r="834" ht="15.75" customHeight="1">
      <c r="E834" s="68"/>
      <c r="J834" s="68"/>
      <c r="L834" s="68"/>
      <c r="M834" s="68"/>
      <c r="O834" s="68"/>
      <c r="R834" s="68"/>
    </row>
    <row r="835" ht="15.75" customHeight="1">
      <c r="E835" s="68"/>
      <c r="J835" s="68"/>
      <c r="L835" s="68"/>
      <c r="M835" s="68"/>
      <c r="O835" s="68"/>
      <c r="R835" s="68"/>
    </row>
    <row r="836" ht="15.75" customHeight="1">
      <c r="E836" s="68"/>
      <c r="J836" s="68"/>
      <c r="L836" s="68"/>
      <c r="M836" s="68"/>
      <c r="O836" s="68"/>
      <c r="R836" s="68"/>
    </row>
    <row r="837" ht="15.75" customHeight="1">
      <c r="E837" s="68"/>
      <c r="J837" s="68"/>
      <c r="L837" s="68"/>
      <c r="M837" s="68"/>
      <c r="O837" s="68"/>
      <c r="R837" s="68"/>
    </row>
    <row r="838" ht="15.75" customHeight="1">
      <c r="E838" s="68"/>
      <c r="J838" s="68"/>
      <c r="L838" s="68"/>
      <c r="M838" s="68"/>
      <c r="O838" s="68"/>
      <c r="R838" s="68"/>
    </row>
    <row r="839" ht="15.75" customHeight="1">
      <c r="E839" s="68"/>
      <c r="J839" s="68"/>
      <c r="L839" s="68"/>
      <c r="M839" s="68"/>
      <c r="O839" s="68"/>
      <c r="R839" s="68"/>
    </row>
    <row r="840" ht="15.75" customHeight="1">
      <c r="E840" s="68"/>
      <c r="J840" s="68"/>
      <c r="L840" s="68"/>
      <c r="M840" s="68"/>
      <c r="O840" s="68"/>
      <c r="R840" s="68"/>
    </row>
    <row r="841" ht="15.75" customHeight="1">
      <c r="E841" s="68"/>
      <c r="J841" s="68"/>
      <c r="L841" s="68"/>
      <c r="M841" s="68"/>
      <c r="O841" s="68"/>
      <c r="R841" s="68"/>
    </row>
    <row r="842" ht="15.75" customHeight="1">
      <c r="E842" s="68"/>
      <c r="J842" s="68"/>
      <c r="L842" s="68"/>
      <c r="M842" s="68"/>
      <c r="O842" s="68"/>
      <c r="R842" s="68"/>
    </row>
    <row r="843" ht="15.75" customHeight="1">
      <c r="E843" s="68"/>
      <c r="J843" s="68"/>
      <c r="L843" s="68"/>
      <c r="M843" s="68"/>
      <c r="O843" s="68"/>
      <c r="R843" s="68"/>
    </row>
    <row r="844" ht="15.75" customHeight="1">
      <c r="E844" s="68"/>
      <c r="J844" s="68"/>
      <c r="L844" s="68"/>
      <c r="M844" s="68"/>
      <c r="O844" s="68"/>
      <c r="R844" s="68"/>
    </row>
    <row r="845" ht="15.75" customHeight="1">
      <c r="E845" s="68"/>
      <c r="J845" s="68"/>
      <c r="L845" s="68"/>
      <c r="M845" s="68"/>
      <c r="O845" s="68"/>
      <c r="R845" s="68"/>
    </row>
    <row r="846" ht="15.75" customHeight="1">
      <c r="E846" s="68"/>
      <c r="J846" s="68"/>
      <c r="L846" s="68"/>
      <c r="M846" s="68"/>
      <c r="O846" s="68"/>
      <c r="R846" s="68"/>
    </row>
    <row r="847" ht="15.75" customHeight="1">
      <c r="E847" s="68"/>
      <c r="J847" s="68"/>
      <c r="L847" s="68"/>
      <c r="M847" s="68"/>
      <c r="O847" s="68"/>
      <c r="R847" s="68"/>
    </row>
    <row r="848" ht="15.75" customHeight="1">
      <c r="E848" s="68"/>
      <c r="J848" s="68"/>
      <c r="L848" s="68"/>
      <c r="M848" s="68"/>
      <c r="O848" s="68"/>
      <c r="R848" s="68"/>
    </row>
    <row r="849" ht="15.75" customHeight="1">
      <c r="E849" s="68"/>
      <c r="J849" s="68"/>
      <c r="L849" s="68"/>
      <c r="M849" s="68"/>
      <c r="O849" s="68"/>
      <c r="R849" s="68"/>
    </row>
    <row r="850" ht="15.75" customHeight="1">
      <c r="E850" s="68"/>
      <c r="J850" s="68"/>
      <c r="L850" s="68"/>
      <c r="M850" s="68"/>
      <c r="O850" s="68"/>
      <c r="R850" s="68"/>
    </row>
    <row r="851" ht="15.75" customHeight="1">
      <c r="E851" s="68"/>
      <c r="J851" s="68"/>
      <c r="L851" s="68"/>
      <c r="M851" s="68"/>
      <c r="O851" s="68"/>
      <c r="R851" s="68"/>
    </row>
    <row r="852" ht="15.75" customHeight="1">
      <c r="E852" s="68"/>
      <c r="J852" s="68"/>
      <c r="L852" s="68"/>
      <c r="M852" s="68"/>
      <c r="O852" s="68"/>
      <c r="R852" s="68"/>
    </row>
    <row r="853" ht="15.75" customHeight="1">
      <c r="E853" s="68"/>
      <c r="J853" s="68"/>
      <c r="L853" s="68"/>
      <c r="M853" s="68"/>
      <c r="O853" s="68"/>
      <c r="R853" s="68"/>
    </row>
    <row r="854" ht="15.75" customHeight="1">
      <c r="E854" s="68"/>
      <c r="J854" s="68"/>
      <c r="L854" s="68"/>
      <c r="M854" s="68"/>
      <c r="O854" s="68"/>
      <c r="R854" s="68"/>
    </row>
    <row r="855" ht="15.75" customHeight="1">
      <c r="E855" s="68"/>
      <c r="J855" s="68"/>
      <c r="L855" s="68"/>
      <c r="M855" s="68"/>
      <c r="O855" s="68"/>
      <c r="R855" s="68"/>
    </row>
    <row r="856" ht="15.75" customHeight="1">
      <c r="E856" s="68"/>
      <c r="J856" s="68"/>
      <c r="L856" s="68"/>
      <c r="M856" s="68"/>
      <c r="O856" s="68"/>
      <c r="R856" s="68"/>
    </row>
    <row r="857" ht="15.75" customHeight="1">
      <c r="E857" s="68"/>
      <c r="J857" s="68"/>
      <c r="L857" s="68"/>
      <c r="M857" s="68"/>
      <c r="O857" s="68"/>
      <c r="R857" s="68"/>
    </row>
    <row r="858" ht="15.75" customHeight="1">
      <c r="E858" s="68"/>
      <c r="J858" s="68"/>
      <c r="L858" s="68"/>
      <c r="M858" s="68"/>
      <c r="O858" s="68"/>
      <c r="R858" s="68"/>
    </row>
    <row r="859" ht="15.75" customHeight="1">
      <c r="E859" s="68"/>
      <c r="J859" s="68"/>
      <c r="L859" s="68"/>
      <c r="M859" s="68"/>
      <c r="O859" s="68"/>
      <c r="R859" s="68"/>
    </row>
    <row r="860" ht="15.75" customHeight="1">
      <c r="E860" s="68"/>
      <c r="J860" s="68"/>
      <c r="L860" s="68"/>
      <c r="M860" s="68"/>
      <c r="O860" s="68"/>
      <c r="R860" s="68"/>
    </row>
    <row r="861" ht="15.75" customHeight="1">
      <c r="E861" s="68"/>
      <c r="J861" s="68"/>
      <c r="L861" s="68"/>
      <c r="M861" s="68"/>
      <c r="O861" s="68"/>
      <c r="R861" s="68"/>
    </row>
    <row r="862" ht="15.75" customHeight="1">
      <c r="E862" s="68"/>
      <c r="J862" s="68"/>
      <c r="L862" s="68"/>
      <c r="M862" s="68"/>
      <c r="O862" s="68"/>
      <c r="R862" s="68"/>
    </row>
    <row r="863" ht="15.75" customHeight="1">
      <c r="E863" s="68"/>
      <c r="J863" s="68"/>
      <c r="L863" s="68"/>
      <c r="M863" s="68"/>
      <c r="O863" s="68"/>
      <c r="R863" s="68"/>
    </row>
    <row r="864" ht="15.75" customHeight="1">
      <c r="E864" s="68"/>
      <c r="J864" s="68"/>
      <c r="L864" s="68"/>
      <c r="M864" s="68"/>
      <c r="O864" s="68"/>
      <c r="R864" s="68"/>
    </row>
    <row r="865" ht="15.75" customHeight="1">
      <c r="E865" s="68"/>
      <c r="J865" s="68"/>
      <c r="L865" s="68"/>
      <c r="M865" s="68"/>
      <c r="O865" s="68"/>
      <c r="R865" s="68"/>
    </row>
    <row r="866" ht="15.75" customHeight="1">
      <c r="E866" s="68"/>
      <c r="J866" s="68"/>
      <c r="L866" s="68"/>
      <c r="M866" s="68"/>
      <c r="O866" s="68"/>
      <c r="R866" s="68"/>
    </row>
    <row r="867" ht="15.75" customHeight="1">
      <c r="E867" s="68"/>
      <c r="J867" s="68"/>
      <c r="L867" s="68"/>
      <c r="M867" s="68"/>
      <c r="O867" s="68"/>
      <c r="R867" s="68"/>
    </row>
    <row r="868" ht="15.75" customHeight="1">
      <c r="E868" s="68"/>
      <c r="J868" s="68"/>
      <c r="L868" s="68"/>
      <c r="M868" s="68"/>
      <c r="O868" s="68"/>
      <c r="R868" s="68"/>
    </row>
    <row r="869" ht="15.75" customHeight="1">
      <c r="E869" s="68"/>
      <c r="J869" s="68"/>
      <c r="L869" s="68"/>
      <c r="M869" s="68"/>
      <c r="O869" s="68"/>
      <c r="R869" s="68"/>
    </row>
    <row r="870" ht="15.75" customHeight="1">
      <c r="E870" s="68"/>
      <c r="J870" s="68"/>
      <c r="L870" s="68"/>
      <c r="M870" s="68"/>
      <c r="O870" s="68"/>
      <c r="R870" s="68"/>
    </row>
    <row r="871" ht="15.75" customHeight="1">
      <c r="E871" s="68"/>
      <c r="J871" s="68"/>
      <c r="L871" s="68"/>
      <c r="M871" s="68"/>
      <c r="O871" s="68"/>
      <c r="R871" s="68"/>
    </row>
    <row r="872" ht="15.75" customHeight="1">
      <c r="E872" s="68"/>
      <c r="J872" s="68"/>
      <c r="L872" s="68"/>
      <c r="M872" s="68"/>
      <c r="O872" s="68"/>
      <c r="R872" s="68"/>
    </row>
    <row r="873" ht="15.75" customHeight="1">
      <c r="E873" s="68"/>
      <c r="J873" s="68"/>
      <c r="L873" s="68"/>
      <c r="M873" s="68"/>
      <c r="O873" s="68"/>
      <c r="R873" s="68"/>
    </row>
    <row r="874" ht="15.75" customHeight="1">
      <c r="E874" s="68"/>
      <c r="J874" s="68"/>
      <c r="L874" s="68"/>
      <c r="M874" s="68"/>
      <c r="O874" s="68"/>
      <c r="R874" s="68"/>
    </row>
    <row r="875" ht="15.75" customHeight="1">
      <c r="E875" s="68"/>
      <c r="J875" s="68"/>
      <c r="L875" s="68"/>
      <c r="M875" s="68"/>
      <c r="O875" s="68"/>
      <c r="R875" s="68"/>
    </row>
    <row r="876" ht="15.75" customHeight="1">
      <c r="E876" s="68"/>
      <c r="J876" s="68"/>
      <c r="L876" s="68"/>
      <c r="M876" s="68"/>
      <c r="O876" s="68"/>
      <c r="R876" s="68"/>
    </row>
    <row r="877" ht="15.75" customHeight="1">
      <c r="E877" s="68"/>
      <c r="J877" s="68"/>
      <c r="L877" s="68"/>
      <c r="M877" s="68"/>
      <c r="O877" s="68"/>
      <c r="R877" s="68"/>
    </row>
    <row r="878" ht="15.75" customHeight="1">
      <c r="E878" s="68"/>
      <c r="J878" s="68"/>
      <c r="L878" s="68"/>
      <c r="M878" s="68"/>
      <c r="O878" s="68"/>
      <c r="R878" s="68"/>
    </row>
    <row r="879" ht="15.75" customHeight="1">
      <c r="E879" s="68"/>
      <c r="J879" s="68"/>
      <c r="L879" s="68"/>
      <c r="M879" s="68"/>
      <c r="O879" s="68"/>
      <c r="R879" s="68"/>
    </row>
    <row r="880" ht="15.75" customHeight="1">
      <c r="E880" s="68"/>
      <c r="J880" s="68"/>
      <c r="L880" s="68"/>
      <c r="M880" s="68"/>
      <c r="O880" s="68"/>
      <c r="R880" s="68"/>
    </row>
    <row r="881" ht="15.75" customHeight="1">
      <c r="E881" s="68"/>
      <c r="J881" s="68"/>
      <c r="L881" s="68"/>
      <c r="M881" s="68"/>
      <c r="O881" s="68"/>
      <c r="R881" s="68"/>
    </row>
    <row r="882" ht="15.75" customHeight="1">
      <c r="E882" s="68"/>
      <c r="J882" s="68"/>
      <c r="L882" s="68"/>
      <c r="M882" s="68"/>
      <c r="O882" s="68"/>
      <c r="R882" s="68"/>
    </row>
    <row r="883" ht="15.75" customHeight="1">
      <c r="E883" s="68"/>
      <c r="J883" s="68"/>
      <c r="L883" s="68"/>
      <c r="M883" s="68"/>
      <c r="O883" s="68"/>
      <c r="R883" s="68"/>
    </row>
    <row r="884" ht="15.75" customHeight="1">
      <c r="E884" s="68"/>
      <c r="J884" s="68"/>
      <c r="L884" s="68"/>
      <c r="M884" s="68"/>
      <c r="O884" s="68"/>
      <c r="R884" s="68"/>
    </row>
    <row r="885" ht="15.75" customHeight="1">
      <c r="E885" s="68"/>
      <c r="J885" s="68"/>
      <c r="L885" s="68"/>
      <c r="M885" s="68"/>
      <c r="O885" s="68"/>
      <c r="R885" s="68"/>
    </row>
    <row r="886" ht="15.75" customHeight="1">
      <c r="E886" s="68"/>
      <c r="J886" s="68"/>
      <c r="L886" s="68"/>
      <c r="M886" s="68"/>
      <c r="O886" s="68"/>
      <c r="R886" s="68"/>
    </row>
    <row r="887" ht="15.75" customHeight="1">
      <c r="E887" s="68"/>
      <c r="J887" s="68"/>
      <c r="L887" s="68"/>
      <c r="M887" s="68"/>
      <c r="O887" s="68"/>
      <c r="R887" s="68"/>
    </row>
    <row r="888" ht="15.75" customHeight="1">
      <c r="E888" s="68"/>
      <c r="J888" s="68"/>
      <c r="L888" s="68"/>
      <c r="M888" s="68"/>
      <c r="O888" s="68"/>
      <c r="R888" s="68"/>
    </row>
    <row r="889" ht="15.75" customHeight="1">
      <c r="E889" s="68"/>
      <c r="J889" s="68"/>
      <c r="L889" s="68"/>
      <c r="M889" s="68"/>
      <c r="O889" s="68"/>
      <c r="R889" s="68"/>
    </row>
    <row r="890" ht="15.75" customHeight="1">
      <c r="E890" s="68"/>
      <c r="J890" s="68"/>
      <c r="L890" s="68"/>
      <c r="M890" s="68"/>
      <c r="O890" s="68"/>
      <c r="R890" s="68"/>
    </row>
    <row r="891" ht="15.75" customHeight="1">
      <c r="E891" s="68"/>
      <c r="J891" s="68"/>
      <c r="L891" s="68"/>
      <c r="M891" s="68"/>
      <c r="O891" s="68"/>
      <c r="R891" s="68"/>
    </row>
    <row r="892" ht="15.75" customHeight="1">
      <c r="E892" s="68"/>
      <c r="J892" s="68"/>
      <c r="L892" s="68"/>
      <c r="M892" s="68"/>
      <c r="O892" s="68"/>
      <c r="R892" s="68"/>
    </row>
    <row r="893" ht="15.75" customHeight="1">
      <c r="E893" s="68"/>
      <c r="J893" s="68"/>
      <c r="L893" s="68"/>
      <c r="M893" s="68"/>
      <c r="O893" s="68"/>
      <c r="R893" s="68"/>
    </row>
    <row r="894" ht="15.75" customHeight="1">
      <c r="E894" s="68"/>
      <c r="J894" s="68"/>
      <c r="L894" s="68"/>
      <c r="M894" s="68"/>
      <c r="O894" s="68"/>
      <c r="R894" s="68"/>
    </row>
    <row r="895" ht="15.75" customHeight="1">
      <c r="E895" s="68"/>
      <c r="J895" s="68"/>
      <c r="L895" s="68"/>
      <c r="M895" s="68"/>
      <c r="O895" s="68"/>
      <c r="R895" s="68"/>
    </row>
    <row r="896" ht="15.75" customHeight="1">
      <c r="E896" s="68"/>
      <c r="J896" s="68"/>
      <c r="L896" s="68"/>
      <c r="M896" s="68"/>
      <c r="O896" s="68"/>
      <c r="R896" s="68"/>
    </row>
    <row r="897" ht="15.75" customHeight="1">
      <c r="E897" s="68"/>
      <c r="J897" s="68"/>
      <c r="L897" s="68"/>
      <c r="M897" s="68"/>
      <c r="O897" s="68"/>
      <c r="R897" s="68"/>
    </row>
    <row r="898" ht="15.75" customHeight="1">
      <c r="E898" s="68"/>
      <c r="J898" s="68"/>
      <c r="L898" s="68"/>
      <c r="M898" s="68"/>
      <c r="O898" s="68"/>
      <c r="R898" s="68"/>
    </row>
    <row r="899" ht="15.75" customHeight="1">
      <c r="E899" s="68"/>
      <c r="J899" s="68"/>
      <c r="L899" s="68"/>
      <c r="M899" s="68"/>
      <c r="O899" s="68"/>
      <c r="R899" s="68"/>
    </row>
    <row r="900" ht="15.75" customHeight="1">
      <c r="E900" s="68"/>
      <c r="J900" s="68"/>
      <c r="L900" s="68"/>
      <c r="M900" s="68"/>
      <c r="O900" s="68"/>
      <c r="R900" s="68"/>
    </row>
    <row r="901" ht="15.75" customHeight="1">
      <c r="E901" s="68"/>
      <c r="J901" s="68"/>
      <c r="L901" s="68"/>
      <c r="M901" s="68"/>
      <c r="O901" s="68"/>
      <c r="R901" s="68"/>
    </row>
    <row r="902" ht="15.75" customHeight="1">
      <c r="E902" s="68"/>
      <c r="J902" s="68"/>
      <c r="L902" s="68"/>
      <c r="M902" s="68"/>
      <c r="O902" s="68"/>
      <c r="R902" s="68"/>
    </row>
    <row r="903" ht="15.75" customHeight="1">
      <c r="E903" s="68"/>
      <c r="J903" s="68"/>
      <c r="L903" s="68"/>
      <c r="M903" s="68"/>
      <c r="O903" s="68"/>
      <c r="R903" s="68"/>
    </row>
    <row r="904" ht="15.75" customHeight="1">
      <c r="E904" s="68"/>
      <c r="J904" s="68"/>
      <c r="L904" s="68"/>
      <c r="M904" s="68"/>
      <c r="O904" s="68"/>
      <c r="R904" s="68"/>
    </row>
    <row r="905" ht="15.75" customHeight="1">
      <c r="E905" s="68"/>
      <c r="J905" s="68"/>
      <c r="L905" s="68"/>
      <c r="M905" s="68"/>
      <c r="O905" s="68"/>
      <c r="R905" s="68"/>
    </row>
    <row r="906" ht="15.75" customHeight="1">
      <c r="E906" s="68"/>
      <c r="J906" s="68"/>
      <c r="L906" s="68"/>
      <c r="M906" s="68"/>
      <c r="O906" s="68"/>
      <c r="R906" s="68"/>
    </row>
    <row r="907" ht="15.75" customHeight="1">
      <c r="E907" s="68"/>
      <c r="J907" s="68"/>
      <c r="L907" s="68"/>
      <c r="M907" s="68"/>
      <c r="O907" s="68"/>
      <c r="R907" s="68"/>
    </row>
    <row r="908" ht="15.75" customHeight="1">
      <c r="E908" s="68"/>
      <c r="J908" s="68"/>
      <c r="L908" s="68"/>
      <c r="M908" s="68"/>
      <c r="O908" s="68"/>
      <c r="R908" s="68"/>
    </row>
    <row r="909" ht="15.75" customHeight="1">
      <c r="E909" s="68"/>
      <c r="J909" s="68"/>
      <c r="L909" s="68"/>
      <c r="M909" s="68"/>
      <c r="O909" s="68"/>
      <c r="R909" s="68"/>
    </row>
    <row r="910" ht="15.75" customHeight="1">
      <c r="E910" s="68"/>
      <c r="J910" s="68"/>
      <c r="L910" s="68"/>
      <c r="M910" s="68"/>
      <c r="O910" s="68"/>
      <c r="R910" s="68"/>
    </row>
    <row r="911" ht="15.75" customHeight="1">
      <c r="E911" s="68"/>
      <c r="J911" s="68"/>
      <c r="L911" s="68"/>
      <c r="M911" s="68"/>
      <c r="O911" s="68"/>
      <c r="R911" s="68"/>
    </row>
    <row r="912" ht="15.75" customHeight="1">
      <c r="E912" s="68"/>
      <c r="J912" s="68"/>
      <c r="L912" s="68"/>
      <c r="M912" s="68"/>
      <c r="O912" s="68"/>
      <c r="R912" s="68"/>
    </row>
    <row r="913" ht="15.75" customHeight="1">
      <c r="E913" s="68"/>
      <c r="J913" s="68"/>
      <c r="L913" s="68"/>
      <c r="M913" s="68"/>
      <c r="O913" s="68"/>
      <c r="R913" s="68"/>
    </row>
    <row r="914" ht="15.75" customHeight="1">
      <c r="E914" s="68"/>
      <c r="J914" s="68"/>
      <c r="L914" s="68"/>
      <c r="M914" s="68"/>
      <c r="O914" s="68"/>
      <c r="R914" s="68"/>
    </row>
    <row r="915" ht="15.75" customHeight="1">
      <c r="E915" s="68"/>
      <c r="J915" s="68"/>
      <c r="L915" s="68"/>
      <c r="M915" s="68"/>
      <c r="O915" s="68"/>
      <c r="R915" s="68"/>
    </row>
    <row r="916" ht="15.75" customHeight="1">
      <c r="E916" s="68"/>
      <c r="J916" s="68"/>
      <c r="L916" s="68"/>
      <c r="M916" s="68"/>
      <c r="O916" s="68"/>
      <c r="R916" s="68"/>
    </row>
    <row r="917" ht="15.75" customHeight="1">
      <c r="E917" s="68"/>
      <c r="J917" s="68"/>
      <c r="L917" s="68"/>
      <c r="M917" s="68"/>
      <c r="O917" s="68"/>
      <c r="R917" s="68"/>
    </row>
    <row r="918" ht="15.75" customHeight="1">
      <c r="E918" s="68"/>
      <c r="J918" s="68"/>
      <c r="L918" s="68"/>
      <c r="M918" s="68"/>
      <c r="O918" s="68"/>
      <c r="R918" s="68"/>
    </row>
    <row r="919" ht="15.75" customHeight="1">
      <c r="E919" s="68"/>
      <c r="J919" s="68"/>
      <c r="L919" s="68"/>
      <c r="M919" s="68"/>
      <c r="O919" s="68"/>
      <c r="R919" s="68"/>
    </row>
    <row r="920" ht="15.75" customHeight="1">
      <c r="E920" s="68"/>
      <c r="J920" s="68"/>
      <c r="L920" s="68"/>
      <c r="M920" s="68"/>
      <c r="O920" s="68"/>
      <c r="R920" s="68"/>
    </row>
    <row r="921" ht="15.75" customHeight="1">
      <c r="E921" s="68"/>
      <c r="J921" s="68"/>
      <c r="L921" s="68"/>
      <c r="M921" s="68"/>
      <c r="O921" s="68"/>
      <c r="R921" s="68"/>
    </row>
    <row r="922" ht="15.75" customHeight="1">
      <c r="E922" s="68"/>
      <c r="J922" s="68"/>
      <c r="L922" s="68"/>
      <c r="M922" s="68"/>
      <c r="O922" s="68"/>
      <c r="R922" s="68"/>
    </row>
    <row r="923" ht="15.75" customHeight="1">
      <c r="E923" s="68"/>
      <c r="J923" s="68"/>
      <c r="L923" s="68"/>
      <c r="M923" s="68"/>
      <c r="O923" s="68"/>
      <c r="R923" s="68"/>
    </row>
    <row r="924" ht="15.75" customHeight="1">
      <c r="E924" s="68"/>
      <c r="J924" s="68"/>
      <c r="L924" s="68"/>
      <c r="M924" s="68"/>
      <c r="O924" s="68"/>
      <c r="R924" s="68"/>
    </row>
    <row r="925" ht="15.75" customHeight="1">
      <c r="E925" s="68"/>
      <c r="J925" s="68"/>
      <c r="L925" s="68"/>
      <c r="M925" s="68"/>
      <c r="O925" s="68"/>
      <c r="R925" s="68"/>
    </row>
    <row r="926" ht="15.75" customHeight="1">
      <c r="E926" s="68"/>
      <c r="J926" s="68"/>
      <c r="L926" s="68"/>
      <c r="M926" s="68"/>
      <c r="O926" s="68"/>
      <c r="R926" s="68"/>
    </row>
    <row r="927" ht="15.75" customHeight="1">
      <c r="E927" s="68"/>
      <c r="J927" s="68"/>
      <c r="L927" s="68"/>
      <c r="M927" s="68"/>
      <c r="O927" s="68"/>
      <c r="R927" s="68"/>
    </row>
    <row r="928" ht="15.75" customHeight="1">
      <c r="E928" s="68"/>
      <c r="J928" s="68"/>
      <c r="L928" s="68"/>
      <c r="M928" s="68"/>
      <c r="O928" s="68"/>
      <c r="R928" s="68"/>
    </row>
    <row r="929" ht="15.75" customHeight="1">
      <c r="E929" s="68"/>
      <c r="J929" s="68"/>
      <c r="L929" s="68"/>
      <c r="M929" s="68"/>
      <c r="O929" s="68"/>
      <c r="R929" s="68"/>
    </row>
    <row r="930" ht="15.75" customHeight="1">
      <c r="E930" s="68"/>
      <c r="J930" s="68"/>
      <c r="L930" s="68"/>
      <c r="M930" s="68"/>
      <c r="O930" s="68"/>
      <c r="R930" s="68"/>
    </row>
    <row r="931" ht="15.75" customHeight="1">
      <c r="E931" s="68"/>
      <c r="J931" s="68"/>
      <c r="L931" s="68"/>
      <c r="M931" s="68"/>
      <c r="O931" s="68"/>
      <c r="R931" s="68"/>
    </row>
    <row r="932" ht="15.75" customHeight="1">
      <c r="E932" s="68"/>
      <c r="J932" s="68"/>
      <c r="L932" s="68"/>
      <c r="M932" s="68"/>
      <c r="O932" s="68"/>
      <c r="R932" s="68"/>
    </row>
    <row r="933" ht="15.75" customHeight="1">
      <c r="E933" s="68"/>
      <c r="J933" s="68"/>
      <c r="L933" s="68"/>
      <c r="M933" s="68"/>
      <c r="O933" s="68"/>
      <c r="R933" s="68"/>
    </row>
    <row r="934" ht="15.75" customHeight="1">
      <c r="E934" s="68"/>
      <c r="J934" s="68"/>
      <c r="L934" s="68"/>
      <c r="M934" s="68"/>
      <c r="O934" s="68"/>
      <c r="R934" s="68"/>
    </row>
    <row r="935" ht="15.75" customHeight="1">
      <c r="E935" s="68"/>
      <c r="J935" s="68"/>
      <c r="L935" s="68"/>
      <c r="M935" s="68"/>
      <c r="O935" s="68"/>
      <c r="R935" s="68"/>
    </row>
    <row r="936" ht="15.75" customHeight="1">
      <c r="E936" s="68"/>
      <c r="J936" s="68"/>
      <c r="L936" s="68"/>
      <c r="M936" s="68"/>
      <c r="O936" s="68"/>
      <c r="R936" s="68"/>
    </row>
    <row r="937" ht="15.75" customHeight="1">
      <c r="E937" s="68"/>
      <c r="J937" s="68"/>
      <c r="L937" s="68"/>
      <c r="M937" s="68"/>
      <c r="O937" s="68"/>
      <c r="R937" s="68"/>
    </row>
    <row r="938" ht="15.75" customHeight="1">
      <c r="E938" s="68"/>
      <c r="J938" s="68"/>
      <c r="L938" s="68"/>
      <c r="M938" s="68"/>
      <c r="O938" s="68"/>
      <c r="R938" s="68"/>
    </row>
    <row r="939" ht="15.75" customHeight="1">
      <c r="E939" s="68"/>
      <c r="J939" s="68"/>
      <c r="L939" s="68"/>
      <c r="M939" s="68"/>
      <c r="O939" s="68"/>
      <c r="R939" s="68"/>
    </row>
    <row r="940" ht="15.75" customHeight="1">
      <c r="E940" s="68"/>
      <c r="J940" s="68"/>
      <c r="L940" s="68"/>
      <c r="M940" s="68"/>
      <c r="O940" s="68"/>
      <c r="R940" s="68"/>
    </row>
    <row r="941" ht="15.75" customHeight="1">
      <c r="E941" s="68"/>
      <c r="J941" s="68"/>
      <c r="L941" s="68"/>
      <c r="M941" s="68"/>
      <c r="O941" s="68"/>
      <c r="R941" s="68"/>
    </row>
    <row r="942" ht="15.75" customHeight="1">
      <c r="E942" s="68"/>
      <c r="J942" s="68"/>
      <c r="L942" s="68"/>
      <c r="M942" s="68"/>
      <c r="O942" s="68"/>
      <c r="R942" s="68"/>
    </row>
    <row r="943" ht="15.75" customHeight="1">
      <c r="E943" s="68"/>
      <c r="J943" s="68"/>
      <c r="L943" s="68"/>
      <c r="M943" s="68"/>
      <c r="O943" s="68"/>
      <c r="R943" s="68"/>
    </row>
    <row r="944" ht="15.75" customHeight="1">
      <c r="E944" s="68"/>
      <c r="J944" s="68"/>
      <c r="L944" s="68"/>
      <c r="M944" s="68"/>
      <c r="O944" s="68"/>
      <c r="R944" s="68"/>
    </row>
    <row r="945" ht="15.75" customHeight="1">
      <c r="E945" s="68"/>
      <c r="J945" s="68"/>
      <c r="L945" s="68"/>
      <c r="M945" s="68"/>
      <c r="O945" s="68"/>
      <c r="R945" s="68"/>
    </row>
    <row r="946" ht="15.75" customHeight="1">
      <c r="E946" s="68"/>
      <c r="J946" s="68"/>
      <c r="L946" s="68"/>
      <c r="M946" s="68"/>
      <c r="O946" s="68"/>
      <c r="R946" s="68"/>
    </row>
    <row r="947" ht="15.75" customHeight="1">
      <c r="E947" s="68"/>
      <c r="J947" s="68"/>
      <c r="L947" s="68"/>
      <c r="M947" s="68"/>
      <c r="O947" s="68"/>
      <c r="R947" s="68"/>
    </row>
    <row r="948" ht="15.75" customHeight="1">
      <c r="E948" s="68"/>
      <c r="J948" s="68"/>
      <c r="L948" s="68"/>
      <c r="M948" s="68"/>
      <c r="O948" s="68"/>
      <c r="R948" s="68"/>
    </row>
    <row r="949" ht="15.75" customHeight="1">
      <c r="E949" s="68"/>
      <c r="J949" s="68"/>
      <c r="L949" s="68"/>
      <c r="M949" s="68"/>
      <c r="O949" s="68"/>
      <c r="R949" s="68"/>
    </row>
    <row r="950" ht="15.75" customHeight="1">
      <c r="E950" s="68"/>
      <c r="J950" s="68"/>
      <c r="L950" s="68"/>
      <c r="M950" s="68"/>
      <c r="O950" s="68"/>
      <c r="R950" s="68"/>
    </row>
    <row r="951" ht="15.75" customHeight="1">
      <c r="E951" s="68"/>
      <c r="J951" s="68"/>
      <c r="L951" s="68"/>
      <c r="M951" s="68"/>
      <c r="O951" s="68"/>
      <c r="R951" s="68"/>
    </row>
    <row r="952" ht="15.75" customHeight="1">
      <c r="E952" s="68"/>
      <c r="J952" s="68"/>
      <c r="L952" s="68"/>
      <c r="M952" s="68"/>
      <c r="O952" s="68"/>
      <c r="R952" s="68"/>
    </row>
    <row r="953" ht="15.75" customHeight="1">
      <c r="E953" s="68"/>
      <c r="J953" s="68"/>
      <c r="L953" s="68"/>
      <c r="M953" s="68"/>
      <c r="O953" s="68"/>
      <c r="R953" s="68"/>
    </row>
    <row r="954" ht="15.75" customHeight="1">
      <c r="E954" s="68"/>
      <c r="J954" s="68"/>
      <c r="L954" s="68"/>
      <c r="M954" s="68"/>
      <c r="O954" s="68"/>
      <c r="R954" s="68"/>
    </row>
    <row r="955" ht="15.75" customHeight="1">
      <c r="E955" s="68"/>
      <c r="J955" s="68"/>
      <c r="L955" s="68"/>
      <c r="M955" s="68"/>
      <c r="O955" s="68"/>
      <c r="R955" s="68"/>
    </row>
    <row r="956" ht="15.75" customHeight="1">
      <c r="E956" s="68"/>
      <c r="J956" s="68"/>
      <c r="L956" s="68"/>
      <c r="M956" s="68"/>
      <c r="O956" s="68"/>
      <c r="R956" s="68"/>
    </row>
    <row r="957" ht="15.75" customHeight="1">
      <c r="E957" s="68"/>
      <c r="J957" s="68"/>
      <c r="L957" s="68"/>
      <c r="M957" s="68"/>
      <c r="O957" s="68"/>
      <c r="R957" s="68"/>
    </row>
    <row r="958" ht="15.75" customHeight="1">
      <c r="E958" s="68"/>
      <c r="J958" s="68"/>
      <c r="L958" s="68"/>
      <c r="M958" s="68"/>
      <c r="O958" s="68"/>
      <c r="R958" s="68"/>
    </row>
    <row r="959" ht="15.75" customHeight="1">
      <c r="E959" s="68"/>
      <c r="J959" s="68"/>
      <c r="L959" s="68"/>
      <c r="M959" s="68"/>
      <c r="O959" s="68"/>
      <c r="R959" s="68"/>
    </row>
    <row r="960" ht="15.75" customHeight="1">
      <c r="E960" s="68"/>
      <c r="J960" s="68"/>
      <c r="L960" s="68"/>
      <c r="M960" s="68"/>
      <c r="O960" s="68"/>
      <c r="R960" s="68"/>
    </row>
    <row r="961" ht="15.75" customHeight="1">
      <c r="E961" s="68"/>
      <c r="J961" s="68"/>
      <c r="L961" s="68"/>
      <c r="M961" s="68"/>
      <c r="O961" s="68"/>
      <c r="R961" s="68"/>
    </row>
    <row r="962" ht="15.75" customHeight="1">
      <c r="E962" s="68"/>
      <c r="J962" s="68"/>
      <c r="L962" s="68"/>
      <c r="M962" s="68"/>
      <c r="O962" s="68"/>
      <c r="R962" s="68"/>
    </row>
    <row r="963" ht="15.75" customHeight="1">
      <c r="E963" s="68"/>
      <c r="J963" s="68"/>
      <c r="L963" s="68"/>
      <c r="M963" s="68"/>
      <c r="O963" s="68"/>
      <c r="R963" s="68"/>
    </row>
    <row r="964" ht="15.75" customHeight="1">
      <c r="E964" s="68"/>
      <c r="J964" s="68"/>
      <c r="L964" s="68"/>
      <c r="M964" s="68"/>
      <c r="O964" s="68"/>
      <c r="R964" s="68"/>
    </row>
    <row r="965" ht="15.75" customHeight="1">
      <c r="E965" s="68"/>
      <c r="J965" s="68"/>
      <c r="L965" s="68"/>
      <c r="M965" s="68"/>
      <c r="O965" s="68"/>
      <c r="R965" s="68"/>
    </row>
    <row r="966" ht="15.75" customHeight="1">
      <c r="E966" s="68"/>
      <c r="J966" s="68"/>
      <c r="L966" s="68"/>
      <c r="M966" s="68"/>
      <c r="O966" s="68"/>
      <c r="R966" s="68"/>
    </row>
    <row r="967" ht="15.75" customHeight="1">
      <c r="E967" s="68"/>
      <c r="J967" s="68"/>
      <c r="L967" s="68"/>
      <c r="M967" s="68"/>
      <c r="O967" s="68"/>
      <c r="R967" s="68"/>
    </row>
    <row r="968" ht="15.75" customHeight="1">
      <c r="E968" s="68"/>
      <c r="J968" s="68"/>
      <c r="L968" s="68"/>
      <c r="M968" s="68"/>
      <c r="O968" s="68"/>
      <c r="R968" s="68"/>
    </row>
    <row r="969" ht="15.75" customHeight="1">
      <c r="E969" s="68"/>
      <c r="J969" s="68"/>
      <c r="L969" s="68"/>
      <c r="M969" s="68"/>
      <c r="O969" s="68"/>
      <c r="R969" s="68"/>
    </row>
    <row r="970" ht="15.75" customHeight="1">
      <c r="E970" s="68"/>
      <c r="J970" s="68"/>
      <c r="L970" s="68"/>
      <c r="M970" s="68"/>
      <c r="O970" s="68"/>
      <c r="R970" s="68"/>
    </row>
    <row r="971" ht="15.75" customHeight="1">
      <c r="E971" s="68"/>
      <c r="J971" s="68"/>
      <c r="L971" s="68"/>
      <c r="M971" s="68"/>
      <c r="O971" s="68"/>
      <c r="R971" s="68"/>
    </row>
    <row r="972" ht="15.75" customHeight="1">
      <c r="E972" s="68"/>
      <c r="J972" s="68"/>
      <c r="L972" s="68"/>
      <c r="M972" s="68"/>
      <c r="O972" s="68"/>
      <c r="R972" s="68"/>
    </row>
    <row r="973" ht="15.75" customHeight="1">
      <c r="E973" s="68"/>
      <c r="J973" s="68"/>
      <c r="L973" s="68"/>
      <c r="M973" s="68"/>
      <c r="O973" s="68"/>
      <c r="R973" s="68"/>
    </row>
    <row r="974" ht="15.75" customHeight="1">
      <c r="E974" s="68"/>
      <c r="J974" s="68"/>
      <c r="L974" s="68"/>
      <c r="M974" s="68"/>
      <c r="O974" s="68"/>
      <c r="R974" s="68"/>
    </row>
    <row r="975" ht="15.75" customHeight="1">
      <c r="E975" s="68"/>
      <c r="J975" s="68"/>
      <c r="L975" s="68"/>
      <c r="M975" s="68"/>
      <c r="O975" s="68"/>
      <c r="R975" s="68"/>
    </row>
    <row r="976" ht="15.75" customHeight="1">
      <c r="E976" s="68"/>
      <c r="J976" s="68"/>
      <c r="L976" s="68"/>
      <c r="M976" s="68"/>
      <c r="O976" s="68"/>
      <c r="R976" s="68"/>
    </row>
    <row r="977" ht="15.75" customHeight="1">
      <c r="E977" s="68"/>
      <c r="J977" s="68"/>
      <c r="L977" s="68"/>
      <c r="M977" s="68"/>
      <c r="O977" s="68"/>
      <c r="R977" s="68"/>
    </row>
    <row r="978" ht="15.75" customHeight="1">
      <c r="E978" s="68"/>
      <c r="J978" s="68"/>
      <c r="L978" s="68"/>
      <c r="M978" s="68"/>
      <c r="O978" s="68"/>
      <c r="R978" s="68"/>
    </row>
    <row r="979" ht="15.75" customHeight="1">
      <c r="E979" s="68"/>
      <c r="J979" s="68"/>
      <c r="L979" s="68"/>
      <c r="M979" s="68"/>
      <c r="O979" s="68"/>
      <c r="R979" s="68"/>
    </row>
    <row r="980" ht="15.75" customHeight="1">
      <c r="E980" s="68"/>
      <c r="J980" s="68"/>
      <c r="L980" s="68"/>
      <c r="M980" s="68"/>
      <c r="O980" s="68"/>
      <c r="R980" s="68"/>
    </row>
    <row r="981" ht="15.75" customHeight="1">
      <c r="E981" s="68"/>
      <c r="J981" s="68"/>
      <c r="L981" s="68"/>
      <c r="M981" s="68"/>
      <c r="O981" s="68"/>
      <c r="R981" s="68"/>
    </row>
    <row r="982" ht="15.75" customHeight="1">
      <c r="E982" s="68"/>
      <c r="J982" s="68"/>
      <c r="L982" s="68"/>
      <c r="M982" s="68"/>
      <c r="O982" s="68"/>
      <c r="R982" s="68"/>
    </row>
    <row r="983" ht="15.75" customHeight="1">
      <c r="E983" s="68"/>
      <c r="J983" s="68"/>
      <c r="L983" s="68"/>
      <c r="M983" s="68"/>
      <c r="O983" s="68"/>
      <c r="R983" s="68"/>
    </row>
    <row r="984" ht="15.75" customHeight="1">
      <c r="E984" s="68"/>
      <c r="J984" s="68"/>
      <c r="L984" s="68"/>
      <c r="M984" s="68"/>
      <c r="O984" s="68"/>
      <c r="R984" s="68"/>
    </row>
    <row r="985" ht="15.75" customHeight="1">
      <c r="E985" s="68"/>
      <c r="J985" s="68"/>
      <c r="L985" s="68"/>
      <c r="M985" s="68"/>
      <c r="O985" s="68"/>
      <c r="R985" s="68"/>
    </row>
    <row r="986" ht="15.75" customHeight="1">
      <c r="E986" s="68"/>
      <c r="J986" s="68"/>
      <c r="L986" s="68"/>
      <c r="M986" s="68"/>
      <c r="O986" s="68"/>
      <c r="R986" s="68"/>
    </row>
    <row r="987" ht="15.75" customHeight="1">
      <c r="E987" s="68"/>
      <c r="J987" s="68"/>
      <c r="L987" s="68"/>
      <c r="M987" s="68"/>
      <c r="O987" s="68"/>
      <c r="R987" s="68"/>
    </row>
    <row r="988" ht="15.75" customHeight="1">
      <c r="E988" s="68"/>
      <c r="J988" s="68"/>
      <c r="L988" s="68"/>
      <c r="M988" s="68"/>
      <c r="O988" s="68"/>
      <c r="R988" s="68"/>
    </row>
    <row r="989" ht="15.75" customHeight="1">
      <c r="E989" s="68"/>
      <c r="J989" s="68"/>
      <c r="L989" s="68"/>
      <c r="M989" s="68"/>
      <c r="O989" s="68"/>
      <c r="R989" s="68"/>
    </row>
    <row r="990" ht="15.75" customHeight="1">
      <c r="E990" s="68"/>
      <c r="J990" s="68"/>
      <c r="L990" s="68"/>
      <c r="M990" s="68"/>
      <c r="O990" s="68"/>
      <c r="R990" s="68"/>
    </row>
    <row r="991" ht="15.75" customHeight="1">
      <c r="E991" s="68"/>
      <c r="J991" s="68"/>
      <c r="L991" s="68"/>
      <c r="M991" s="68"/>
      <c r="O991" s="68"/>
      <c r="R991" s="68"/>
    </row>
    <row r="992" ht="15.75" customHeight="1">
      <c r="E992" s="68"/>
      <c r="J992" s="68"/>
      <c r="L992" s="68"/>
      <c r="M992" s="68"/>
      <c r="O992" s="68"/>
      <c r="R992" s="68"/>
    </row>
    <row r="993" ht="15.75" customHeight="1">
      <c r="E993" s="68"/>
      <c r="J993" s="68"/>
      <c r="L993" s="68"/>
      <c r="M993" s="68"/>
      <c r="O993" s="68"/>
      <c r="R993" s="68"/>
    </row>
    <row r="994" ht="15.75" customHeight="1">
      <c r="E994" s="68"/>
      <c r="J994" s="68"/>
      <c r="L994" s="68"/>
      <c r="M994" s="68"/>
      <c r="O994" s="68"/>
      <c r="R994" s="68"/>
    </row>
    <row r="995" ht="15.75" customHeight="1">
      <c r="E995" s="68"/>
      <c r="J995" s="68"/>
      <c r="L995" s="68"/>
      <c r="M995" s="68"/>
      <c r="O995" s="68"/>
      <c r="R995" s="68"/>
    </row>
    <row r="996" ht="15.75" customHeight="1">
      <c r="E996" s="68"/>
      <c r="J996" s="68"/>
      <c r="L996" s="68"/>
      <c r="M996" s="68"/>
      <c r="O996" s="68"/>
      <c r="R996" s="68"/>
    </row>
    <row r="997" ht="15.75" customHeight="1">
      <c r="E997" s="68"/>
      <c r="J997" s="68"/>
      <c r="L997" s="68"/>
      <c r="M997" s="68"/>
      <c r="O997" s="68"/>
      <c r="R997" s="68"/>
    </row>
    <row r="998" ht="15.75" customHeight="1">
      <c r="E998" s="68"/>
      <c r="J998" s="68"/>
      <c r="L998" s="68"/>
      <c r="M998" s="68"/>
      <c r="O998" s="68"/>
      <c r="R998" s="68"/>
    </row>
    <row r="999" ht="15.75" customHeight="1">
      <c r="E999" s="68"/>
      <c r="O999" s="68"/>
    </row>
    <row r="1000" ht="15.75" customHeight="1">
      <c r="E1000" s="68"/>
      <c r="O1000" s="68"/>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howErrorMessage="1" sqref="E7:E1000">
      <formula1>"UI,API,PL/SQL,DB"</formula1>
    </dataValidation>
    <dataValidation type="list" allowBlank="1" showErrorMessage="1" sqref="M7:M998">
      <formula1>"High,Medium,Low"</formula1>
    </dataValidation>
    <dataValidation type="list" allowBlank="1" sqref="J7:J998 R7:R998">
      <formula1>"PASS,FAIL,NT"</formula1>
    </dataValidation>
    <dataValidation type="list" allowBlank="1" sqref="L7:L998">
      <formula1>"Critical,High,Medium,Low"</formula1>
    </dataValidation>
    <dataValidation type="list" allowBlank="1" showErrorMessage="1" sqref="O7:O1000">
      <formula1>"Accepted,Rejected"</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3"/>
    <hyperlink r:id="rId17" ref="N24"/>
    <hyperlink r:id="rId18" ref="N25"/>
    <hyperlink r:id="rId19" ref="N26"/>
    <hyperlink r:id="rId20" ref="N28"/>
    <hyperlink r:id="rId21" ref="N29"/>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88"/>
    <col customWidth="1" min="3" max="3" width="12.63"/>
    <col customWidth="1" min="4" max="4" width="54.88"/>
    <col customWidth="1" min="5" max="5" width="12.63"/>
    <col customWidth="1" min="6" max="6" width="57.75"/>
    <col customWidth="1" min="7" max="7" width="21.63"/>
    <col customWidth="1" min="8" max="8" width="30.63"/>
    <col customWidth="1" min="9" max="9" width="22.75"/>
    <col customWidth="1" min="14" max="14" width="28.63"/>
    <col customWidth="1" min="18" max="18" width="27.63"/>
  </cols>
  <sheetData>
    <row r="1" ht="15.75" customHeight="1">
      <c r="A1" s="6" t="s">
        <v>0</v>
      </c>
      <c r="B1" s="2"/>
      <c r="C1" s="8" t="s">
        <v>1</v>
      </c>
      <c r="D1" s="10" t="s">
        <v>2</v>
      </c>
      <c r="E1" s="12"/>
      <c r="F1" s="10" t="s">
        <v>3</v>
      </c>
      <c r="G1" s="12"/>
      <c r="H1" s="14"/>
      <c r="I1" s="15"/>
      <c r="J1" s="6" t="s">
        <v>4</v>
      </c>
      <c r="K1" s="11"/>
      <c r="L1" s="18" t="s">
        <v>5</v>
      </c>
      <c r="M1" s="2"/>
      <c r="N1" s="21" t="s">
        <v>6</v>
      </c>
      <c r="O1" s="2"/>
      <c r="P1" s="22"/>
      <c r="Q1" s="2"/>
      <c r="R1" s="23"/>
      <c r="S1" s="24"/>
      <c r="T1" s="24"/>
      <c r="U1" s="24"/>
      <c r="V1" s="24"/>
      <c r="W1" s="24"/>
      <c r="X1" s="24"/>
      <c r="Y1" s="24"/>
      <c r="Z1" s="24"/>
      <c r="AA1" s="24"/>
      <c r="AB1" s="24"/>
      <c r="AC1" s="24"/>
      <c r="AD1" s="24"/>
      <c r="AE1" s="24"/>
      <c r="AF1" s="24"/>
    </row>
    <row r="2" ht="15.75" customHeight="1">
      <c r="A2" s="6" t="s">
        <v>7</v>
      </c>
      <c r="B2" s="2"/>
      <c r="C2" s="27"/>
      <c r="D2" s="10" t="s">
        <v>8</v>
      </c>
      <c r="E2" s="12"/>
      <c r="F2" s="10" t="s">
        <v>9</v>
      </c>
      <c r="G2" s="12"/>
      <c r="H2" s="14"/>
      <c r="I2" s="15"/>
      <c r="J2" s="29" t="s">
        <v>10</v>
      </c>
      <c r="K2" s="31">
        <f>COUNTIF(J7:J1002, "PASS")</f>
        <v>21</v>
      </c>
      <c r="L2" s="33" t="s">
        <v>11</v>
      </c>
      <c r="M2" s="31">
        <f>COUNTIF(L7:L1002, "Critical")</f>
        <v>0</v>
      </c>
      <c r="N2" s="35" t="s">
        <v>12</v>
      </c>
      <c r="O2" s="31">
        <f>COUNTIF(M6:M1001, "High")</f>
        <v>0</v>
      </c>
      <c r="P2" s="22"/>
      <c r="Q2" s="2"/>
      <c r="R2" s="23"/>
      <c r="S2" s="24"/>
      <c r="T2" s="24"/>
      <c r="U2" s="24"/>
      <c r="V2" s="24"/>
      <c r="W2" s="24"/>
      <c r="X2" s="24"/>
      <c r="Y2" s="24"/>
      <c r="Z2" s="24"/>
      <c r="AA2" s="24"/>
      <c r="AB2" s="24"/>
      <c r="AC2" s="24"/>
      <c r="AD2" s="24"/>
      <c r="AE2" s="24"/>
      <c r="AF2" s="24"/>
    </row>
    <row r="3" ht="15.75" customHeight="1">
      <c r="A3" s="6" t="s">
        <v>13</v>
      </c>
      <c r="B3" s="2"/>
      <c r="C3" s="38"/>
      <c r="D3" s="10" t="s">
        <v>14</v>
      </c>
      <c r="E3" s="40" t="s">
        <v>16</v>
      </c>
      <c r="F3" s="41"/>
      <c r="G3" s="23"/>
      <c r="H3" s="14"/>
      <c r="I3" s="15"/>
      <c r="J3" s="33" t="s">
        <v>15</v>
      </c>
      <c r="K3" s="31">
        <f>COUNTIF(J7:J1002, "FAIL")</f>
        <v>1</v>
      </c>
      <c r="L3" s="35" t="s">
        <v>12</v>
      </c>
      <c r="M3" s="31">
        <f>COUNTIF(L7:L1002, "High")</f>
        <v>0</v>
      </c>
      <c r="N3" s="43" t="s">
        <v>17</v>
      </c>
      <c r="O3" s="31">
        <f>COUNTIF(M6:M1001, "Medium")</f>
        <v>0</v>
      </c>
      <c r="P3" s="22"/>
      <c r="Q3" s="2"/>
      <c r="R3" s="23"/>
      <c r="S3" s="24"/>
      <c r="T3" s="24"/>
      <c r="U3" s="24"/>
      <c r="V3" s="24"/>
      <c r="W3" s="24"/>
      <c r="X3" s="24"/>
      <c r="Y3" s="24"/>
      <c r="Z3" s="24"/>
      <c r="AA3" s="24"/>
      <c r="AB3" s="24"/>
      <c r="AC3" s="24"/>
      <c r="AD3" s="24"/>
      <c r="AE3" s="24"/>
      <c r="AF3" s="24"/>
    </row>
    <row r="4" ht="15.75" customHeight="1">
      <c r="A4" s="6" t="s">
        <v>18</v>
      </c>
      <c r="B4" s="2"/>
      <c r="C4" s="38"/>
      <c r="D4" s="10" t="s">
        <v>20</v>
      </c>
      <c r="E4" s="23"/>
      <c r="F4" s="41"/>
      <c r="G4" s="23"/>
      <c r="H4" s="14"/>
      <c r="I4" s="15"/>
      <c r="J4" s="46" t="s">
        <v>21</v>
      </c>
      <c r="K4" s="31">
        <f>COUNTIF(J7:J1002, "NT")</f>
        <v>0</v>
      </c>
      <c r="L4" s="43" t="s">
        <v>17</v>
      </c>
      <c r="M4" s="31">
        <f>COUNTIF(L7:L1002, "Medium")</f>
        <v>0</v>
      </c>
      <c r="N4" s="48" t="s">
        <v>22</v>
      </c>
      <c r="O4" s="31">
        <f>COUNTIF(M6:M1002, "Low")</f>
        <v>0</v>
      </c>
      <c r="P4" s="22"/>
      <c r="Q4" s="2"/>
      <c r="R4" s="23"/>
      <c r="S4" s="24"/>
      <c r="T4" s="24"/>
      <c r="U4" s="24"/>
      <c r="V4" s="24"/>
      <c r="W4" s="24"/>
      <c r="X4" s="24"/>
      <c r="Y4" s="24"/>
      <c r="Z4" s="24"/>
      <c r="AA4" s="24"/>
      <c r="AB4" s="24"/>
      <c r="AC4" s="24"/>
      <c r="AD4" s="24"/>
      <c r="AE4" s="24"/>
      <c r="AF4" s="24"/>
    </row>
    <row r="5" ht="15.75" customHeight="1">
      <c r="A5" s="6" t="s">
        <v>23</v>
      </c>
      <c r="B5" s="2"/>
      <c r="C5" s="38"/>
      <c r="D5" s="10" t="s">
        <v>24</v>
      </c>
      <c r="E5" s="34">
        <v>19805.0</v>
      </c>
      <c r="F5" s="41"/>
      <c r="G5" s="23"/>
      <c r="H5" s="14"/>
      <c r="I5" s="15"/>
      <c r="J5" s="51" t="s">
        <v>25</v>
      </c>
      <c r="K5" s="31">
        <f>SUM(K2,K3,K4)</f>
        <v>22</v>
      </c>
      <c r="L5" s="48" t="s">
        <v>22</v>
      </c>
      <c r="M5" s="31">
        <f>COUNTIF(L7:L1003, "Low")</f>
        <v>0</v>
      </c>
      <c r="N5" s="53" t="s">
        <v>26</v>
      </c>
      <c r="O5" s="31">
        <f>COUNTIF(O7:O1002, "Accepted")</f>
        <v>0</v>
      </c>
      <c r="P5" s="22"/>
      <c r="Q5" s="2"/>
      <c r="R5" s="23"/>
      <c r="S5" s="24"/>
      <c r="T5" s="24"/>
      <c r="U5" s="24"/>
      <c r="V5" s="24"/>
      <c r="W5" s="24"/>
      <c r="X5" s="24"/>
      <c r="Y5" s="24"/>
      <c r="Z5" s="24"/>
      <c r="AA5" s="24"/>
      <c r="AB5" s="24"/>
      <c r="AC5" s="24"/>
      <c r="AD5" s="24"/>
      <c r="AE5" s="24"/>
      <c r="AF5" s="24"/>
    </row>
    <row r="6" ht="15.75" customHeight="1">
      <c r="A6" s="54" t="s">
        <v>27</v>
      </c>
      <c r="B6" s="54" t="s">
        <v>28</v>
      </c>
      <c r="C6" s="54" t="s">
        <v>29</v>
      </c>
      <c r="D6" s="54" t="s">
        <v>30</v>
      </c>
      <c r="E6" s="54" t="s">
        <v>31</v>
      </c>
      <c r="F6" s="54" t="s">
        <v>32</v>
      </c>
      <c r="G6" s="54" t="s">
        <v>33</v>
      </c>
      <c r="H6" s="54" t="s">
        <v>34</v>
      </c>
      <c r="I6" s="54" t="s">
        <v>35</v>
      </c>
      <c r="J6" s="55" t="s">
        <v>36</v>
      </c>
      <c r="K6" s="55" t="s">
        <v>37</v>
      </c>
      <c r="L6" s="54" t="s">
        <v>5</v>
      </c>
      <c r="M6" s="54" t="s">
        <v>6</v>
      </c>
      <c r="N6" s="54" t="s">
        <v>38</v>
      </c>
      <c r="O6" s="55" t="s">
        <v>39</v>
      </c>
      <c r="P6" s="55" t="s">
        <v>40</v>
      </c>
      <c r="Q6" s="55" t="s">
        <v>41</v>
      </c>
      <c r="R6" s="55" t="s">
        <v>42</v>
      </c>
      <c r="S6" s="24"/>
      <c r="T6" s="24"/>
      <c r="U6" s="24"/>
      <c r="V6" s="24"/>
      <c r="W6" s="24"/>
      <c r="X6" s="24"/>
      <c r="Y6" s="24"/>
      <c r="Z6" s="24"/>
      <c r="AA6" s="24"/>
      <c r="AB6" s="24"/>
      <c r="AC6" s="24"/>
      <c r="AD6" s="24"/>
      <c r="AE6" s="24"/>
      <c r="AF6" s="24"/>
    </row>
    <row r="7" ht="15.75" customHeight="1">
      <c r="A7" s="9"/>
      <c r="B7" s="9"/>
      <c r="C7" s="3" t="s">
        <v>48</v>
      </c>
      <c r="D7" s="9" t="s">
        <v>49</v>
      </c>
      <c r="E7" s="9"/>
      <c r="F7" s="9" t="s">
        <v>50</v>
      </c>
      <c r="G7" s="9" t="s">
        <v>51</v>
      </c>
      <c r="H7" s="9" t="s">
        <v>52</v>
      </c>
      <c r="I7" s="9" t="s">
        <v>53</v>
      </c>
      <c r="J7" s="52" t="s">
        <v>10</v>
      </c>
      <c r="K7" s="9"/>
      <c r="L7" s="52"/>
      <c r="M7" s="52"/>
      <c r="N7" s="56" t="s">
        <v>131</v>
      </c>
      <c r="O7" s="52"/>
      <c r="P7" s="9"/>
      <c r="Q7" s="9"/>
      <c r="R7" s="52"/>
      <c r="S7" s="17"/>
      <c r="T7" s="17"/>
      <c r="U7" s="17"/>
      <c r="V7" s="17"/>
      <c r="W7" s="17"/>
      <c r="X7" s="17"/>
      <c r="Y7" s="17"/>
      <c r="Z7" s="17"/>
      <c r="AA7" s="17"/>
      <c r="AB7" s="17"/>
      <c r="AC7" s="17"/>
      <c r="AD7" s="17"/>
      <c r="AE7" s="17"/>
      <c r="AF7" s="17"/>
    </row>
    <row r="8" ht="15.75" customHeight="1">
      <c r="A8" s="23"/>
      <c r="B8" s="23"/>
      <c r="C8" s="3" t="s">
        <v>91</v>
      </c>
      <c r="D8" s="9" t="s">
        <v>92</v>
      </c>
      <c r="E8" s="9"/>
      <c r="F8" s="9" t="s">
        <v>144</v>
      </c>
      <c r="G8" s="9" t="s">
        <v>145</v>
      </c>
      <c r="H8" s="9" t="s">
        <v>99</v>
      </c>
      <c r="I8" s="23" t="s">
        <v>53</v>
      </c>
      <c r="J8" s="52" t="s">
        <v>10</v>
      </c>
      <c r="K8" s="23"/>
      <c r="L8" s="57"/>
      <c r="M8" s="57"/>
      <c r="N8" s="61" t="s">
        <v>158</v>
      </c>
      <c r="O8" s="57"/>
      <c r="P8" s="23"/>
      <c r="Q8" s="23"/>
      <c r="R8" s="23"/>
      <c r="S8" s="24"/>
      <c r="T8" s="24"/>
      <c r="U8" s="24"/>
      <c r="V8" s="24"/>
      <c r="W8" s="24"/>
      <c r="X8" s="24"/>
      <c r="Y8" s="24"/>
      <c r="Z8" s="24"/>
      <c r="AA8" s="24"/>
      <c r="AB8" s="24"/>
      <c r="AC8" s="24"/>
      <c r="AD8" s="24"/>
      <c r="AE8" s="24"/>
      <c r="AF8" s="24"/>
    </row>
    <row r="9" ht="15.75" customHeight="1">
      <c r="A9" s="23"/>
      <c r="B9" s="23"/>
      <c r="C9" s="3" t="s">
        <v>132</v>
      </c>
      <c r="D9" s="9" t="s">
        <v>133</v>
      </c>
      <c r="E9" s="9"/>
      <c r="F9" s="9" t="s">
        <v>164</v>
      </c>
      <c r="G9" s="9" t="s">
        <v>165</v>
      </c>
      <c r="H9" s="9" t="s">
        <v>136</v>
      </c>
      <c r="I9" s="23" t="s">
        <v>53</v>
      </c>
      <c r="J9" s="52" t="s">
        <v>10</v>
      </c>
      <c r="K9" s="23"/>
      <c r="L9" s="57"/>
      <c r="M9" s="57"/>
      <c r="N9" s="61" t="s">
        <v>172</v>
      </c>
      <c r="O9" s="23"/>
      <c r="P9" s="23"/>
      <c r="Q9" s="23"/>
      <c r="R9" s="23"/>
      <c r="S9" s="24"/>
      <c r="T9" s="24"/>
      <c r="U9" s="24"/>
      <c r="V9" s="24"/>
      <c r="W9" s="24"/>
      <c r="X9" s="24"/>
      <c r="Y9" s="24"/>
      <c r="Z9" s="24"/>
      <c r="AA9" s="24"/>
      <c r="AB9" s="24"/>
      <c r="AC9" s="24"/>
      <c r="AD9" s="24"/>
      <c r="AE9" s="24"/>
      <c r="AF9" s="24"/>
    </row>
    <row r="10" ht="15.75" customHeight="1">
      <c r="A10" s="23"/>
      <c r="B10" s="23"/>
      <c r="C10" s="3" t="s">
        <v>152</v>
      </c>
      <c r="D10" s="9" t="s">
        <v>153</v>
      </c>
      <c r="E10" s="9"/>
      <c r="F10" s="9" t="s">
        <v>154</v>
      </c>
      <c r="G10" s="9" t="s">
        <v>174</v>
      </c>
      <c r="H10" s="9" t="s">
        <v>156</v>
      </c>
      <c r="I10" s="23" t="s">
        <v>157</v>
      </c>
      <c r="J10" s="52" t="s">
        <v>10</v>
      </c>
      <c r="K10" s="23"/>
      <c r="L10" s="57"/>
      <c r="M10" s="23"/>
      <c r="N10" s="56" t="s">
        <v>186</v>
      </c>
      <c r="O10" s="23"/>
      <c r="P10" s="23"/>
      <c r="Q10" s="23"/>
      <c r="R10" s="23"/>
      <c r="S10" s="24"/>
      <c r="T10" s="24"/>
      <c r="U10" s="24"/>
      <c r="V10" s="24"/>
      <c r="W10" s="24"/>
      <c r="X10" s="24"/>
      <c r="Y10" s="24"/>
      <c r="Z10" s="24"/>
      <c r="AA10" s="24"/>
      <c r="AB10" s="24"/>
      <c r="AC10" s="24"/>
      <c r="AD10" s="24"/>
      <c r="AE10" s="24"/>
      <c r="AF10" s="24"/>
    </row>
    <row r="11" ht="15.75" customHeight="1">
      <c r="A11" s="23"/>
      <c r="B11" s="23"/>
      <c r="C11" s="3" t="s">
        <v>166</v>
      </c>
      <c r="D11" s="9" t="s">
        <v>167</v>
      </c>
      <c r="E11" s="9"/>
      <c r="F11" s="9" t="s">
        <v>168</v>
      </c>
      <c r="G11" s="9" t="s">
        <v>189</v>
      </c>
      <c r="H11" s="9" t="s">
        <v>170</v>
      </c>
      <c r="I11" s="23" t="s">
        <v>190</v>
      </c>
      <c r="J11" s="52" t="s">
        <v>10</v>
      </c>
      <c r="K11" s="23"/>
      <c r="L11" s="23"/>
      <c r="M11" s="23"/>
      <c r="N11" s="56" t="s">
        <v>193</v>
      </c>
      <c r="O11" s="23"/>
      <c r="P11" s="23"/>
      <c r="Q11" s="23"/>
      <c r="R11" s="23"/>
      <c r="S11" s="24"/>
      <c r="T11" s="24"/>
      <c r="U11" s="24"/>
      <c r="V11" s="24"/>
      <c r="W11" s="24"/>
      <c r="X11" s="24"/>
      <c r="Y11" s="24"/>
      <c r="Z11" s="24"/>
      <c r="AA11" s="24"/>
      <c r="AB11" s="24"/>
      <c r="AC11" s="24"/>
      <c r="AD11" s="24"/>
      <c r="AE11" s="24"/>
      <c r="AF11" s="24"/>
    </row>
    <row r="12" ht="15.75" customHeight="1">
      <c r="A12" s="23"/>
      <c r="B12" s="23"/>
      <c r="C12" s="3" t="s">
        <v>180</v>
      </c>
      <c r="D12" s="9" t="s">
        <v>181</v>
      </c>
      <c r="E12" s="9"/>
      <c r="F12" s="9" t="s">
        <v>182</v>
      </c>
      <c r="G12" s="9" t="s">
        <v>203</v>
      </c>
      <c r="H12" s="9" t="s">
        <v>184</v>
      </c>
      <c r="I12" s="23" t="s">
        <v>204</v>
      </c>
      <c r="J12" s="52" t="s">
        <v>10</v>
      </c>
      <c r="K12" s="23"/>
      <c r="L12" s="23"/>
      <c r="M12" s="23"/>
      <c r="N12" s="61" t="s">
        <v>212</v>
      </c>
      <c r="O12" s="23"/>
      <c r="P12" s="23"/>
      <c r="Q12" s="23"/>
      <c r="R12" s="23"/>
      <c r="S12" s="24"/>
      <c r="T12" s="24"/>
      <c r="U12" s="24"/>
      <c r="V12" s="24"/>
      <c r="W12" s="24"/>
      <c r="X12" s="24"/>
      <c r="Y12" s="24"/>
      <c r="Z12" s="24"/>
      <c r="AA12" s="24"/>
      <c r="AB12" s="24"/>
      <c r="AC12" s="24"/>
      <c r="AD12" s="24"/>
      <c r="AE12" s="24"/>
      <c r="AF12" s="24"/>
    </row>
    <row r="13" ht="15.75" customHeight="1">
      <c r="A13" s="23"/>
      <c r="B13" s="23"/>
      <c r="C13" s="3" t="s">
        <v>194</v>
      </c>
      <c r="D13" s="9" t="s">
        <v>195</v>
      </c>
      <c r="E13" s="9"/>
      <c r="F13" s="9" t="s">
        <v>182</v>
      </c>
      <c r="G13" s="9" t="s">
        <v>219</v>
      </c>
      <c r="H13" s="9" t="s">
        <v>201</v>
      </c>
      <c r="I13" s="23" t="s">
        <v>220</v>
      </c>
      <c r="J13" s="52" t="s">
        <v>10</v>
      </c>
      <c r="K13" s="23"/>
      <c r="L13" s="23"/>
      <c r="M13" s="23"/>
      <c r="N13" s="56" t="s">
        <v>224</v>
      </c>
      <c r="O13" s="23"/>
      <c r="P13" s="23"/>
      <c r="Q13" s="23"/>
      <c r="R13" s="23"/>
      <c r="S13" s="24"/>
      <c r="T13" s="24"/>
      <c r="U13" s="24"/>
      <c r="V13" s="24"/>
      <c r="W13" s="24"/>
      <c r="X13" s="24"/>
      <c r="Y13" s="24"/>
      <c r="Z13" s="24"/>
      <c r="AA13" s="24"/>
      <c r="AB13" s="24"/>
      <c r="AC13" s="24"/>
      <c r="AD13" s="24"/>
      <c r="AE13" s="24"/>
      <c r="AF13" s="24"/>
    </row>
    <row r="14" ht="15.75" customHeight="1">
      <c r="A14" s="23"/>
      <c r="B14" s="23"/>
      <c r="C14" s="3" t="s">
        <v>207</v>
      </c>
      <c r="D14" s="9" t="s">
        <v>208</v>
      </c>
      <c r="E14" s="9"/>
      <c r="F14" s="9" t="s">
        <v>209</v>
      </c>
      <c r="G14" s="9" t="s">
        <v>230</v>
      </c>
      <c r="H14" s="9" t="s">
        <v>211</v>
      </c>
      <c r="I14" s="23" t="s">
        <v>231</v>
      </c>
      <c r="J14" s="52" t="s">
        <v>10</v>
      </c>
      <c r="K14" s="23"/>
      <c r="L14" s="23"/>
      <c r="M14" s="23"/>
      <c r="N14" s="56" t="s">
        <v>242</v>
      </c>
      <c r="O14" s="23"/>
      <c r="P14" s="23"/>
      <c r="Q14" s="23"/>
      <c r="R14" s="23"/>
      <c r="S14" s="24"/>
      <c r="T14" s="24"/>
      <c r="U14" s="24"/>
      <c r="V14" s="24"/>
      <c r="W14" s="24"/>
      <c r="X14" s="24"/>
      <c r="Y14" s="24"/>
      <c r="Z14" s="24"/>
      <c r="AA14" s="24"/>
      <c r="AB14" s="24"/>
      <c r="AC14" s="24"/>
      <c r="AD14" s="24"/>
      <c r="AE14" s="24"/>
      <c r="AF14" s="24"/>
    </row>
    <row r="15" ht="15.75" customHeight="1">
      <c r="A15" s="23"/>
      <c r="B15" s="23"/>
      <c r="C15" s="3" t="s">
        <v>222</v>
      </c>
      <c r="D15" s="9" t="s">
        <v>223</v>
      </c>
      <c r="E15" s="9"/>
      <c r="F15" s="9" t="s">
        <v>225</v>
      </c>
      <c r="G15" s="9" t="s">
        <v>244</v>
      </c>
      <c r="H15" s="9" t="s">
        <v>227</v>
      </c>
      <c r="I15" s="23" t="s">
        <v>245</v>
      </c>
      <c r="J15" s="52" t="s">
        <v>10</v>
      </c>
      <c r="K15" s="23"/>
      <c r="L15" s="23"/>
      <c r="M15" s="23"/>
      <c r="N15" s="61" t="s">
        <v>250</v>
      </c>
      <c r="O15" s="23"/>
      <c r="P15" s="23"/>
      <c r="Q15" s="23"/>
      <c r="R15" s="23"/>
      <c r="S15" s="24"/>
      <c r="T15" s="24"/>
      <c r="U15" s="24"/>
      <c r="V15" s="24"/>
      <c r="W15" s="24"/>
      <c r="X15" s="24"/>
      <c r="Y15" s="24"/>
      <c r="Z15" s="24"/>
      <c r="AA15" s="24"/>
      <c r="AB15" s="24"/>
      <c r="AC15" s="24"/>
      <c r="AD15" s="24"/>
      <c r="AE15" s="24"/>
      <c r="AF15" s="24"/>
    </row>
    <row r="16" ht="15.75" customHeight="1">
      <c r="A16" s="23"/>
      <c r="B16" s="23"/>
      <c r="C16" s="3" t="s">
        <v>236</v>
      </c>
      <c r="D16" s="9" t="s">
        <v>237</v>
      </c>
      <c r="E16" s="9"/>
      <c r="F16" s="9" t="s">
        <v>238</v>
      </c>
      <c r="G16" s="9" t="s">
        <v>254</v>
      </c>
      <c r="H16" s="9" t="s">
        <v>240</v>
      </c>
      <c r="I16" s="9" t="s">
        <v>257</v>
      </c>
      <c r="J16" s="52" t="s">
        <v>10</v>
      </c>
      <c r="K16" s="23"/>
      <c r="L16" s="23"/>
      <c r="M16" s="23"/>
      <c r="N16" s="61" t="s">
        <v>265</v>
      </c>
      <c r="O16" s="23"/>
      <c r="P16" s="23"/>
      <c r="Q16" s="23"/>
      <c r="R16" s="23"/>
      <c r="S16" s="24"/>
      <c r="T16" s="24"/>
      <c r="U16" s="24"/>
      <c r="V16" s="24"/>
      <c r="W16" s="24"/>
      <c r="X16" s="24"/>
      <c r="Y16" s="24"/>
      <c r="Z16" s="24"/>
      <c r="AA16" s="24"/>
      <c r="AB16" s="24"/>
      <c r="AC16" s="24"/>
      <c r="AD16" s="24"/>
      <c r="AE16" s="24"/>
      <c r="AF16" s="24"/>
    </row>
    <row r="17" ht="15.75" customHeight="1">
      <c r="A17" s="23"/>
      <c r="B17" s="23"/>
      <c r="C17" s="3" t="s">
        <v>251</v>
      </c>
      <c r="D17" s="9" t="s">
        <v>253</v>
      </c>
      <c r="E17" s="9"/>
      <c r="F17" s="9" t="s">
        <v>271</v>
      </c>
      <c r="G17" s="9" t="s">
        <v>272</v>
      </c>
      <c r="H17" s="9" t="s">
        <v>258</v>
      </c>
      <c r="I17" s="9" t="s">
        <v>258</v>
      </c>
      <c r="J17" s="52" t="s">
        <v>10</v>
      </c>
      <c r="K17" s="23"/>
      <c r="L17" s="23"/>
      <c r="M17" s="23"/>
      <c r="N17" s="61" t="s">
        <v>280</v>
      </c>
      <c r="O17" s="23"/>
      <c r="P17" s="23"/>
      <c r="Q17" s="23"/>
      <c r="R17" s="23"/>
      <c r="S17" s="24"/>
      <c r="T17" s="24"/>
      <c r="U17" s="24"/>
      <c r="V17" s="24"/>
      <c r="W17" s="24"/>
      <c r="X17" s="24"/>
      <c r="Y17" s="24"/>
      <c r="Z17" s="24"/>
      <c r="AA17" s="24"/>
      <c r="AB17" s="24"/>
      <c r="AC17" s="24"/>
      <c r="AD17" s="24"/>
      <c r="AE17" s="24"/>
      <c r="AF17" s="24"/>
    </row>
    <row r="18" ht="15.75" customHeight="1">
      <c r="A18" s="23"/>
      <c r="B18" s="23"/>
      <c r="C18" s="3" t="s">
        <v>267</v>
      </c>
      <c r="D18" s="9" t="s">
        <v>268</v>
      </c>
      <c r="E18" s="9"/>
      <c r="F18" s="9" t="s">
        <v>269</v>
      </c>
      <c r="G18" s="9" t="s">
        <v>287</v>
      </c>
      <c r="H18" s="9" t="s">
        <v>273</v>
      </c>
      <c r="I18" s="23" t="s">
        <v>289</v>
      </c>
      <c r="J18" s="52" t="s">
        <v>10</v>
      </c>
      <c r="K18" s="23"/>
      <c r="L18" s="23"/>
      <c r="M18" s="23"/>
      <c r="N18" s="56" t="s">
        <v>296</v>
      </c>
      <c r="O18" s="23"/>
      <c r="P18" s="23"/>
      <c r="Q18" s="23"/>
      <c r="R18" s="23"/>
      <c r="S18" s="24"/>
      <c r="T18" s="24"/>
      <c r="U18" s="24"/>
      <c r="V18" s="24"/>
      <c r="W18" s="24"/>
      <c r="X18" s="24"/>
      <c r="Y18" s="24"/>
      <c r="Z18" s="24"/>
      <c r="AA18" s="24"/>
      <c r="AB18" s="24"/>
      <c r="AC18" s="24"/>
      <c r="AD18" s="24"/>
      <c r="AE18" s="24"/>
      <c r="AF18" s="24"/>
    </row>
    <row r="19" ht="15.75" customHeight="1">
      <c r="A19" s="23"/>
      <c r="B19" s="23"/>
      <c r="C19" s="3" t="s">
        <v>281</v>
      </c>
      <c r="D19" s="9" t="s">
        <v>282</v>
      </c>
      <c r="E19" s="9"/>
      <c r="F19" s="9" t="s">
        <v>283</v>
      </c>
      <c r="G19" s="9" t="s">
        <v>298</v>
      </c>
      <c r="H19" s="9" t="s">
        <v>285</v>
      </c>
      <c r="I19" s="23" t="s">
        <v>286</v>
      </c>
      <c r="J19" s="52" t="s">
        <v>10</v>
      </c>
      <c r="K19" s="23"/>
      <c r="L19" s="23"/>
      <c r="M19" s="23"/>
      <c r="N19" s="61" t="s">
        <v>305</v>
      </c>
      <c r="O19" s="23"/>
      <c r="P19" s="23"/>
      <c r="Q19" s="23"/>
      <c r="R19" s="23"/>
      <c r="S19" s="24"/>
      <c r="T19" s="24"/>
      <c r="U19" s="24"/>
      <c r="V19" s="24"/>
      <c r="W19" s="24"/>
      <c r="X19" s="24"/>
      <c r="Y19" s="24"/>
      <c r="Z19" s="24"/>
      <c r="AA19" s="24"/>
      <c r="AB19" s="24"/>
      <c r="AC19" s="24"/>
      <c r="AD19" s="24"/>
      <c r="AE19" s="24"/>
      <c r="AF19" s="24"/>
    </row>
    <row r="20" ht="15.75" customHeight="1">
      <c r="A20" s="23"/>
      <c r="B20" s="23"/>
      <c r="C20" s="3" t="s">
        <v>288</v>
      </c>
      <c r="D20" s="9" t="s">
        <v>290</v>
      </c>
      <c r="E20" s="9"/>
      <c r="F20" s="9" t="s">
        <v>291</v>
      </c>
      <c r="G20" s="9" t="s">
        <v>311</v>
      </c>
      <c r="H20" s="9" t="s">
        <v>293</v>
      </c>
      <c r="I20" s="23" t="s">
        <v>294</v>
      </c>
      <c r="J20" s="52" t="s">
        <v>10</v>
      </c>
      <c r="K20" s="23"/>
      <c r="L20" s="23"/>
      <c r="M20" s="23"/>
      <c r="N20" s="61" t="s">
        <v>320</v>
      </c>
      <c r="O20" s="23"/>
      <c r="P20" s="23"/>
      <c r="Q20" s="23"/>
      <c r="R20" s="23"/>
      <c r="S20" s="24"/>
      <c r="T20" s="24"/>
      <c r="U20" s="24"/>
      <c r="V20" s="24"/>
      <c r="W20" s="24"/>
      <c r="X20" s="24"/>
      <c r="Y20" s="24"/>
      <c r="Z20" s="24"/>
      <c r="AA20" s="24"/>
      <c r="AB20" s="24"/>
      <c r="AC20" s="24"/>
      <c r="AD20" s="24"/>
      <c r="AE20" s="24"/>
      <c r="AF20" s="24"/>
    </row>
    <row r="21" ht="15.75" customHeight="1">
      <c r="A21" s="23"/>
      <c r="B21" s="23"/>
      <c r="C21" s="3" t="s">
        <v>299</v>
      </c>
      <c r="D21" s="9"/>
      <c r="E21" s="9"/>
      <c r="F21" s="9"/>
      <c r="G21" s="9" t="s">
        <v>322</v>
      </c>
      <c r="H21" s="9" t="s">
        <v>293</v>
      </c>
      <c r="I21" s="23" t="s">
        <v>294</v>
      </c>
      <c r="J21" s="52" t="s">
        <v>10</v>
      </c>
      <c r="K21" s="23"/>
      <c r="L21" s="23"/>
      <c r="M21" s="23"/>
      <c r="N21" s="61" t="s">
        <v>330</v>
      </c>
      <c r="O21" s="23"/>
      <c r="P21" s="23"/>
      <c r="Q21" s="23"/>
      <c r="R21" s="23"/>
      <c r="S21" s="24"/>
      <c r="T21" s="24"/>
      <c r="U21" s="24"/>
      <c r="V21" s="24"/>
      <c r="W21" s="24"/>
      <c r="X21" s="24"/>
      <c r="Y21" s="24"/>
      <c r="Z21" s="24"/>
      <c r="AA21" s="24"/>
      <c r="AB21" s="24"/>
      <c r="AC21" s="24"/>
      <c r="AD21" s="24"/>
      <c r="AE21" s="24"/>
      <c r="AF21" s="24"/>
    </row>
    <row r="22" ht="15.75" customHeight="1">
      <c r="A22" s="23"/>
      <c r="B22" s="23"/>
      <c r="C22" s="3" t="s">
        <v>308</v>
      </c>
      <c r="D22" s="9"/>
      <c r="E22" s="9"/>
      <c r="F22" s="9"/>
      <c r="G22" s="9" t="s">
        <v>333</v>
      </c>
      <c r="H22" s="9" t="s">
        <v>310</v>
      </c>
      <c r="I22" s="9" t="s">
        <v>312</v>
      </c>
      <c r="J22" s="52" t="s">
        <v>10</v>
      </c>
      <c r="K22" s="23"/>
      <c r="L22" s="23"/>
      <c r="M22" s="23"/>
      <c r="N22" s="61" t="s">
        <v>343</v>
      </c>
      <c r="O22" s="23"/>
      <c r="P22" s="23"/>
      <c r="Q22" s="23"/>
      <c r="R22" s="23"/>
      <c r="S22" s="24"/>
      <c r="T22" s="24"/>
      <c r="U22" s="24"/>
      <c r="V22" s="24"/>
      <c r="W22" s="24"/>
      <c r="X22" s="24"/>
      <c r="Y22" s="24"/>
      <c r="Z22" s="24"/>
      <c r="AA22" s="24"/>
      <c r="AB22" s="24"/>
      <c r="AC22" s="24"/>
      <c r="AD22" s="24"/>
      <c r="AE22" s="24"/>
      <c r="AF22" s="24"/>
    </row>
    <row r="23" ht="15.75" customHeight="1">
      <c r="A23" s="23"/>
      <c r="B23" s="23"/>
      <c r="C23" s="3" t="s">
        <v>323</v>
      </c>
      <c r="D23" s="9" t="s">
        <v>324</v>
      </c>
      <c r="E23" s="9"/>
      <c r="F23" s="9" t="s">
        <v>325</v>
      </c>
      <c r="G23" s="9" t="s">
        <v>326</v>
      </c>
      <c r="H23" s="9" t="s">
        <v>327</v>
      </c>
      <c r="I23" s="23" t="s">
        <v>328</v>
      </c>
      <c r="J23" s="52" t="s">
        <v>10</v>
      </c>
      <c r="K23" s="23"/>
      <c r="L23" s="23"/>
      <c r="M23" s="23"/>
      <c r="N23" s="56" t="s">
        <v>356</v>
      </c>
      <c r="O23" s="23"/>
      <c r="P23" s="23"/>
      <c r="Q23" s="23"/>
      <c r="R23" s="23"/>
      <c r="S23" s="24"/>
      <c r="T23" s="24"/>
      <c r="U23" s="24"/>
      <c r="V23" s="24"/>
      <c r="W23" s="24"/>
      <c r="X23" s="24"/>
      <c r="Y23" s="24"/>
      <c r="Z23" s="24"/>
      <c r="AA23" s="24"/>
      <c r="AB23" s="24"/>
      <c r="AC23" s="24"/>
      <c r="AD23" s="24"/>
      <c r="AE23" s="24"/>
      <c r="AF23" s="24"/>
    </row>
    <row r="24" ht="15.75" customHeight="1">
      <c r="A24" s="23"/>
      <c r="B24" s="23"/>
      <c r="C24" s="3" t="s">
        <v>337</v>
      </c>
      <c r="D24" s="9" t="s">
        <v>338</v>
      </c>
      <c r="E24" s="9"/>
      <c r="F24" s="9" t="s">
        <v>339</v>
      </c>
      <c r="G24" s="9" t="s">
        <v>340</v>
      </c>
      <c r="H24" s="9" t="s">
        <v>341</v>
      </c>
      <c r="I24" s="23" t="s">
        <v>328</v>
      </c>
      <c r="J24" s="52" t="s">
        <v>10</v>
      </c>
      <c r="K24" s="23"/>
      <c r="L24" s="23"/>
      <c r="M24" s="23"/>
      <c r="N24" s="56" t="s">
        <v>368</v>
      </c>
      <c r="O24" s="23"/>
      <c r="P24" s="23"/>
      <c r="Q24" s="23"/>
      <c r="R24" s="23"/>
      <c r="S24" s="24"/>
      <c r="T24" s="24"/>
      <c r="U24" s="24"/>
      <c r="V24" s="24"/>
      <c r="W24" s="24"/>
      <c r="X24" s="24"/>
      <c r="Y24" s="24"/>
      <c r="Z24" s="24"/>
      <c r="AA24" s="24"/>
      <c r="AB24" s="24"/>
      <c r="AC24" s="24"/>
      <c r="AD24" s="24"/>
      <c r="AE24" s="24"/>
      <c r="AF24" s="24"/>
    </row>
    <row r="25" ht="15.75" customHeight="1">
      <c r="A25" s="23"/>
      <c r="B25" s="23"/>
      <c r="C25" s="3" t="s">
        <v>345</v>
      </c>
      <c r="D25" s="9" t="s">
        <v>346</v>
      </c>
      <c r="E25" s="23"/>
      <c r="F25" s="9" t="s">
        <v>347</v>
      </c>
      <c r="G25" s="23" t="s">
        <v>348</v>
      </c>
      <c r="H25" s="23" t="s">
        <v>349</v>
      </c>
      <c r="I25" s="23" t="s">
        <v>328</v>
      </c>
      <c r="J25" s="52" t="s">
        <v>10</v>
      </c>
      <c r="K25" s="23"/>
      <c r="L25" s="23"/>
      <c r="M25" s="23"/>
      <c r="N25" s="63" t="s">
        <v>375</v>
      </c>
      <c r="O25" s="23"/>
      <c r="P25" s="23"/>
      <c r="Q25" s="23"/>
      <c r="R25" s="23"/>
      <c r="S25" s="24"/>
      <c r="T25" s="24"/>
      <c r="U25" s="24"/>
      <c r="V25" s="24"/>
      <c r="W25" s="24"/>
      <c r="X25" s="24"/>
      <c r="Y25" s="24"/>
      <c r="Z25" s="24"/>
      <c r="AA25" s="24"/>
      <c r="AB25" s="24"/>
      <c r="AC25" s="24"/>
      <c r="AD25" s="24"/>
      <c r="AE25" s="24"/>
      <c r="AF25" s="24"/>
    </row>
    <row r="26" ht="15.75" customHeight="1">
      <c r="A26" s="23"/>
      <c r="B26" s="23"/>
      <c r="C26" s="3" t="s">
        <v>357</v>
      </c>
      <c r="D26" s="9" t="s">
        <v>358</v>
      </c>
      <c r="E26" s="9"/>
      <c r="F26" s="9" t="s">
        <v>359</v>
      </c>
      <c r="G26" s="9" t="s">
        <v>360</v>
      </c>
      <c r="H26" s="9" t="s">
        <v>361</v>
      </c>
      <c r="I26" s="23" t="s">
        <v>363</v>
      </c>
      <c r="J26" s="52" t="s">
        <v>10</v>
      </c>
      <c r="K26" s="23"/>
      <c r="L26" s="23"/>
      <c r="M26" s="23"/>
      <c r="N26" s="61" t="s">
        <v>382</v>
      </c>
      <c r="O26" s="23"/>
      <c r="P26" s="23"/>
      <c r="Q26" s="23"/>
      <c r="R26" s="23"/>
      <c r="S26" s="24"/>
      <c r="T26" s="24"/>
      <c r="U26" s="24"/>
      <c r="V26" s="24"/>
      <c r="W26" s="24"/>
      <c r="X26" s="24"/>
      <c r="Y26" s="24"/>
      <c r="Z26" s="24"/>
      <c r="AA26" s="24"/>
      <c r="AB26" s="24"/>
      <c r="AC26" s="24"/>
      <c r="AD26" s="24"/>
      <c r="AE26" s="24"/>
      <c r="AF26" s="24"/>
    </row>
    <row r="27" ht="15.75" customHeight="1">
      <c r="A27" s="23"/>
      <c r="B27" s="23"/>
      <c r="C27" s="3" t="s">
        <v>367</v>
      </c>
      <c r="D27" s="9" t="s">
        <v>369</v>
      </c>
      <c r="E27" s="9"/>
      <c r="F27" s="9" t="s">
        <v>371</v>
      </c>
      <c r="G27" s="9"/>
      <c r="H27" s="9" t="s">
        <v>372</v>
      </c>
      <c r="I27" s="23" t="s">
        <v>373</v>
      </c>
      <c r="J27" s="52" t="s">
        <v>10</v>
      </c>
      <c r="K27" s="23"/>
      <c r="L27" s="23"/>
      <c r="M27" s="23"/>
      <c r="N27" s="61" t="s">
        <v>383</v>
      </c>
      <c r="O27" s="23"/>
      <c r="P27" s="23"/>
      <c r="Q27" s="23"/>
      <c r="R27" s="23"/>
      <c r="S27" s="24"/>
      <c r="T27" s="24"/>
      <c r="U27" s="24"/>
      <c r="V27" s="24"/>
      <c r="W27" s="24"/>
      <c r="X27" s="24"/>
      <c r="Y27" s="24"/>
      <c r="Z27" s="24"/>
      <c r="AA27" s="24"/>
      <c r="AB27" s="24"/>
      <c r="AC27" s="24"/>
      <c r="AD27" s="24"/>
      <c r="AE27" s="24"/>
      <c r="AF27" s="24"/>
    </row>
    <row r="28" ht="15.75" customHeight="1">
      <c r="A28" s="23"/>
      <c r="B28" s="23"/>
      <c r="C28" s="3" t="s">
        <v>376</v>
      </c>
      <c r="D28" s="9" t="s">
        <v>377</v>
      </c>
      <c r="E28" s="9"/>
      <c r="F28" s="9" t="s">
        <v>378</v>
      </c>
      <c r="G28" s="9" t="s">
        <v>379</v>
      </c>
      <c r="H28" s="9" t="s">
        <v>380</v>
      </c>
      <c r="I28" s="23" t="s">
        <v>381</v>
      </c>
      <c r="J28" s="64" t="s">
        <v>15</v>
      </c>
      <c r="K28" s="23"/>
      <c r="L28" s="23"/>
      <c r="M28" s="23"/>
      <c r="N28" s="61" t="s">
        <v>397</v>
      </c>
      <c r="O28" s="23"/>
      <c r="P28" s="23"/>
      <c r="Q28" s="23"/>
      <c r="R28" s="23"/>
      <c r="S28" s="24"/>
      <c r="T28" s="24"/>
      <c r="U28" s="24"/>
      <c r="V28" s="24"/>
      <c r="W28" s="24"/>
      <c r="X28" s="24"/>
      <c r="Y28" s="24"/>
      <c r="Z28" s="24"/>
      <c r="AA28" s="24"/>
      <c r="AB28" s="24"/>
      <c r="AC28" s="24"/>
      <c r="AD28" s="24"/>
      <c r="AE28" s="24"/>
      <c r="AF28" s="24"/>
    </row>
    <row r="29" ht="15.75" customHeight="1">
      <c r="A29" s="23"/>
      <c r="B29" s="23"/>
      <c r="C29" s="23"/>
      <c r="D29" s="9"/>
      <c r="E29" s="9"/>
      <c r="F29" s="9"/>
      <c r="G29" s="9"/>
      <c r="H29" s="9"/>
      <c r="I29" s="23"/>
      <c r="J29" s="23"/>
      <c r="K29" s="23"/>
      <c r="L29" s="23"/>
      <c r="M29" s="23"/>
      <c r="N29" s="23"/>
      <c r="O29" s="23"/>
      <c r="P29" s="23"/>
      <c r="Q29" s="23"/>
      <c r="R29" s="23"/>
      <c r="S29" s="24"/>
      <c r="T29" s="24"/>
      <c r="U29" s="24"/>
      <c r="V29" s="24"/>
      <c r="W29" s="24"/>
      <c r="X29" s="24"/>
      <c r="Y29" s="24"/>
      <c r="Z29" s="24"/>
      <c r="AA29" s="24"/>
      <c r="AB29" s="24"/>
      <c r="AC29" s="24"/>
      <c r="AD29" s="24"/>
      <c r="AE29" s="24"/>
      <c r="AF29" s="24"/>
    </row>
    <row r="30" ht="15.75" customHeight="1">
      <c r="A30" s="23"/>
      <c r="B30" s="23"/>
      <c r="C30" s="23"/>
      <c r="D30" s="9"/>
      <c r="E30" s="9"/>
      <c r="F30" s="9"/>
      <c r="G30" s="9"/>
      <c r="H30" s="9"/>
      <c r="I30" s="23"/>
      <c r="J30" s="23"/>
      <c r="K30" s="23"/>
      <c r="L30" s="23"/>
      <c r="M30" s="23"/>
      <c r="N30" s="23"/>
      <c r="O30" s="23"/>
      <c r="P30" s="23"/>
      <c r="Q30" s="23"/>
      <c r="R30" s="23"/>
      <c r="S30" s="24"/>
      <c r="T30" s="24"/>
      <c r="U30" s="24"/>
      <c r="V30" s="24"/>
      <c r="W30" s="24"/>
      <c r="X30" s="24"/>
      <c r="Y30" s="24"/>
      <c r="Z30" s="24"/>
      <c r="AA30" s="24"/>
      <c r="AB30" s="24"/>
      <c r="AC30" s="24"/>
      <c r="AD30" s="24"/>
      <c r="AE30" s="24"/>
      <c r="AF30" s="24"/>
    </row>
    <row r="31" ht="15.75" customHeight="1">
      <c r="A31" s="23"/>
      <c r="B31" s="23"/>
      <c r="C31" s="23"/>
      <c r="D31" s="9"/>
      <c r="E31" s="9"/>
      <c r="F31" s="9"/>
      <c r="G31" s="9"/>
      <c r="H31" s="9"/>
      <c r="I31" s="23"/>
      <c r="J31" s="23"/>
      <c r="K31" s="23"/>
      <c r="L31" s="23"/>
      <c r="M31" s="23"/>
      <c r="N31" s="23"/>
      <c r="O31" s="23"/>
      <c r="P31" s="23"/>
      <c r="Q31" s="23"/>
      <c r="R31" s="23"/>
      <c r="S31" s="24"/>
      <c r="T31" s="24"/>
      <c r="U31" s="24"/>
      <c r="V31" s="24"/>
      <c r="W31" s="24"/>
      <c r="X31" s="24"/>
      <c r="Y31" s="24"/>
      <c r="Z31" s="24"/>
      <c r="AA31" s="24"/>
      <c r="AB31" s="24"/>
      <c r="AC31" s="24"/>
      <c r="AD31" s="24"/>
      <c r="AE31" s="24"/>
      <c r="AF31" s="24"/>
    </row>
    <row r="32" ht="15.75" customHeight="1">
      <c r="A32" s="23"/>
      <c r="B32" s="23"/>
      <c r="C32" s="23"/>
      <c r="D32" s="9"/>
      <c r="E32" s="9"/>
      <c r="F32" s="9"/>
      <c r="G32" s="9"/>
      <c r="H32" s="9"/>
      <c r="I32" s="23"/>
      <c r="J32" s="23"/>
      <c r="K32" s="23"/>
      <c r="L32" s="23"/>
      <c r="M32" s="23"/>
      <c r="N32" s="23"/>
      <c r="O32" s="23"/>
      <c r="P32" s="23"/>
      <c r="Q32" s="23"/>
      <c r="R32" s="23"/>
      <c r="S32" s="24"/>
      <c r="T32" s="24"/>
      <c r="U32" s="24"/>
      <c r="V32" s="24"/>
      <c r="W32" s="24"/>
      <c r="X32" s="24"/>
      <c r="Y32" s="24"/>
      <c r="Z32" s="24"/>
      <c r="AA32" s="24"/>
      <c r="AB32" s="24"/>
      <c r="AC32" s="24"/>
      <c r="AD32" s="24"/>
      <c r="AE32" s="24"/>
      <c r="AF32" s="24"/>
    </row>
    <row r="33" ht="15.75" customHeight="1">
      <c r="A33" s="23"/>
      <c r="B33" s="23"/>
      <c r="C33" s="23"/>
      <c r="D33" s="23"/>
      <c r="E33" s="23"/>
      <c r="F33" s="23"/>
      <c r="G33" s="23"/>
      <c r="H33" s="23"/>
      <c r="I33" s="23"/>
      <c r="J33" s="23"/>
      <c r="K33" s="23"/>
      <c r="L33" s="23"/>
      <c r="M33" s="23"/>
      <c r="N33" s="23"/>
      <c r="O33" s="23"/>
      <c r="P33" s="23"/>
      <c r="Q33" s="23"/>
      <c r="R33" s="23"/>
      <c r="S33" s="24"/>
      <c r="T33" s="24"/>
      <c r="U33" s="24"/>
      <c r="V33" s="24"/>
      <c r="W33" s="24"/>
      <c r="X33" s="24"/>
      <c r="Y33" s="24"/>
      <c r="Z33" s="24"/>
      <c r="AA33" s="24"/>
      <c r="AB33" s="24"/>
      <c r="AC33" s="24"/>
      <c r="AD33" s="24"/>
      <c r="AE33" s="24"/>
      <c r="AF33" s="24"/>
    </row>
    <row r="34" ht="15.75" customHeight="1">
      <c r="A34" s="23"/>
      <c r="B34" s="23"/>
      <c r="C34" s="23"/>
      <c r="D34" s="23"/>
      <c r="E34" s="23"/>
      <c r="F34" s="23"/>
      <c r="G34" s="23"/>
      <c r="H34" s="23"/>
      <c r="I34" s="23"/>
      <c r="J34" s="23"/>
      <c r="K34" s="23"/>
      <c r="L34" s="23"/>
      <c r="M34" s="23"/>
      <c r="N34" s="23"/>
      <c r="O34" s="23"/>
      <c r="P34" s="23"/>
      <c r="Q34" s="23"/>
      <c r="R34" s="23"/>
      <c r="S34" s="24"/>
      <c r="T34" s="24"/>
      <c r="U34" s="24"/>
      <c r="V34" s="24"/>
      <c r="W34" s="24"/>
      <c r="X34" s="24"/>
      <c r="Y34" s="24"/>
      <c r="Z34" s="24"/>
      <c r="AA34" s="24"/>
      <c r="AB34" s="24"/>
      <c r="AC34" s="24"/>
      <c r="AD34" s="24"/>
      <c r="AE34" s="24"/>
      <c r="AF34" s="24"/>
    </row>
    <row r="35" ht="15.75" customHeight="1">
      <c r="A35" s="23"/>
      <c r="B35" s="23"/>
      <c r="C35" s="23"/>
      <c r="D35" s="23"/>
      <c r="E35" s="23"/>
      <c r="F35" s="23"/>
      <c r="G35" s="23"/>
      <c r="H35" s="23"/>
      <c r="I35" s="23"/>
      <c r="J35" s="23"/>
      <c r="K35" s="23"/>
      <c r="L35" s="23"/>
      <c r="M35" s="23"/>
      <c r="N35" s="23"/>
      <c r="O35" s="23"/>
      <c r="P35" s="23"/>
      <c r="Q35" s="23"/>
      <c r="R35" s="23"/>
      <c r="S35" s="24"/>
      <c r="T35" s="24"/>
      <c r="U35" s="24"/>
      <c r="V35" s="24"/>
      <c r="W35" s="24"/>
      <c r="X35" s="24"/>
      <c r="Y35" s="24"/>
      <c r="Z35" s="24"/>
      <c r="AA35" s="24"/>
      <c r="AB35" s="24"/>
      <c r="AC35" s="24"/>
      <c r="AD35" s="24"/>
      <c r="AE35" s="24"/>
      <c r="AF35" s="24"/>
    </row>
    <row r="36" ht="15.75" customHeight="1">
      <c r="A36" s="23"/>
      <c r="B36" s="65" t="s">
        <v>137</v>
      </c>
      <c r="C36" s="66"/>
      <c r="D36" s="23"/>
      <c r="E36" s="23"/>
      <c r="F36" s="23"/>
      <c r="G36" s="23"/>
      <c r="H36" s="23"/>
      <c r="I36" s="23"/>
      <c r="J36" s="23"/>
      <c r="K36" s="23"/>
      <c r="L36" s="23"/>
      <c r="M36" s="23"/>
      <c r="N36" s="23"/>
      <c r="O36" s="23"/>
      <c r="P36" s="23"/>
      <c r="Q36" s="23"/>
      <c r="R36" s="23"/>
      <c r="S36" s="24"/>
      <c r="T36" s="24"/>
      <c r="U36" s="24"/>
      <c r="V36" s="24"/>
      <c r="W36" s="24"/>
      <c r="X36" s="24"/>
      <c r="Y36" s="24"/>
      <c r="Z36" s="24"/>
      <c r="AA36" s="24"/>
      <c r="AB36" s="24"/>
      <c r="AC36" s="24"/>
      <c r="AD36" s="24"/>
      <c r="AE36" s="24"/>
      <c r="AF36" s="24"/>
    </row>
    <row r="37" ht="15.75" customHeight="1">
      <c r="A37" s="23"/>
      <c r="B37" s="24"/>
      <c r="C37" s="23"/>
      <c r="D37" s="23"/>
      <c r="E37" s="23"/>
      <c r="F37" s="23"/>
      <c r="G37" s="23"/>
      <c r="H37" s="23"/>
      <c r="I37" s="23"/>
      <c r="J37" s="23"/>
      <c r="K37" s="23"/>
      <c r="L37" s="23"/>
      <c r="M37" s="23"/>
      <c r="N37" s="23"/>
      <c r="O37" s="23"/>
      <c r="P37" s="23"/>
      <c r="Q37" s="23"/>
      <c r="R37" s="23"/>
      <c r="S37" s="24"/>
      <c r="T37" s="24"/>
      <c r="U37" s="24"/>
      <c r="V37" s="24"/>
      <c r="W37" s="24"/>
      <c r="X37" s="24"/>
      <c r="Y37" s="24"/>
      <c r="Z37" s="24"/>
      <c r="AA37" s="24"/>
      <c r="AB37" s="24"/>
      <c r="AC37" s="24"/>
      <c r="AD37" s="24"/>
      <c r="AE37" s="24"/>
      <c r="AF37" s="24"/>
    </row>
    <row r="38" ht="15.75" customHeight="1">
      <c r="A38" s="23"/>
      <c r="B38" s="23"/>
      <c r="C38" s="23"/>
      <c r="D38" s="23"/>
      <c r="E38" s="23"/>
      <c r="F38" s="23"/>
      <c r="G38" s="23"/>
      <c r="H38" s="23"/>
      <c r="I38" s="23"/>
      <c r="J38" s="23"/>
      <c r="K38" s="23"/>
      <c r="L38" s="23"/>
      <c r="M38" s="23"/>
      <c r="N38" s="23"/>
      <c r="O38" s="23"/>
      <c r="P38" s="23"/>
      <c r="Q38" s="23"/>
      <c r="R38" s="23"/>
      <c r="S38" s="24"/>
      <c r="T38" s="24"/>
      <c r="U38" s="24"/>
      <c r="V38" s="24"/>
      <c r="W38" s="24"/>
      <c r="X38" s="24"/>
      <c r="Y38" s="24"/>
      <c r="Z38" s="24"/>
      <c r="AA38" s="24"/>
      <c r="AB38" s="24"/>
      <c r="AC38" s="24"/>
      <c r="AD38" s="24"/>
      <c r="AE38" s="24"/>
      <c r="AF38" s="24"/>
    </row>
    <row r="39" ht="15.75" customHeight="1">
      <c r="A39" s="23"/>
      <c r="B39" s="23" t="s">
        <v>403</v>
      </c>
      <c r="C39" s="23"/>
      <c r="D39" s="23"/>
      <c r="E39" s="23"/>
      <c r="F39" s="23"/>
      <c r="G39" s="23"/>
      <c r="H39" s="23"/>
      <c r="I39" s="23"/>
      <c r="J39" s="23"/>
      <c r="K39" s="23"/>
      <c r="L39" s="23"/>
      <c r="M39" s="23"/>
      <c r="N39" s="23"/>
      <c r="O39" s="23"/>
      <c r="P39" s="23"/>
      <c r="Q39" s="23"/>
      <c r="R39" s="23"/>
      <c r="S39" s="24"/>
      <c r="T39" s="24"/>
      <c r="U39" s="24"/>
      <c r="V39" s="24"/>
      <c r="W39" s="24"/>
      <c r="X39" s="24"/>
      <c r="Y39" s="24"/>
      <c r="Z39" s="24"/>
      <c r="AA39" s="24"/>
      <c r="AB39" s="24"/>
      <c r="AC39" s="24"/>
      <c r="AD39" s="24"/>
      <c r="AE39" s="24"/>
      <c r="AF39" s="24"/>
    </row>
    <row r="40" ht="15.75" customHeight="1">
      <c r="A40" s="23"/>
      <c r="B40" s="23"/>
      <c r="C40" s="23"/>
      <c r="D40" s="23"/>
      <c r="E40" s="23"/>
      <c r="F40" s="23"/>
      <c r="G40" s="23"/>
      <c r="H40" s="23"/>
      <c r="I40" s="23"/>
      <c r="J40" s="23"/>
      <c r="K40" s="23"/>
      <c r="L40" s="23"/>
      <c r="M40" s="23"/>
      <c r="N40" s="23"/>
      <c r="O40" s="23"/>
      <c r="P40" s="23"/>
      <c r="Q40" s="23"/>
      <c r="R40" s="23"/>
      <c r="S40" s="24"/>
      <c r="T40" s="24"/>
      <c r="U40" s="24"/>
      <c r="V40" s="24"/>
      <c r="W40" s="24"/>
      <c r="X40" s="24"/>
      <c r="Y40" s="24"/>
      <c r="Z40" s="24"/>
      <c r="AA40" s="24"/>
      <c r="AB40" s="24"/>
      <c r="AC40" s="24"/>
      <c r="AD40" s="24"/>
      <c r="AE40" s="24"/>
      <c r="AF40" s="24"/>
    </row>
    <row r="41" ht="15.75" customHeight="1">
      <c r="A41" s="23"/>
      <c r="B41" s="23"/>
      <c r="C41" s="23"/>
      <c r="D41" s="23"/>
      <c r="E41" s="23"/>
      <c r="F41" s="23"/>
      <c r="G41" s="23"/>
      <c r="H41" s="23"/>
      <c r="I41" s="23"/>
      <c r="J41" s="23"/>
      <c r="K41" s="23"/>
      <c r="L41" s="23"/>
      <c r="M41" s="23"/>
      <c r="N41" s="23"/>
      <c r="O41" s="23"/>
      <c r="P41" s="23"/>
      <c r="Q41" s="23"/>
      <c r="R41" s="23"/>
      <c r="S41" s="24"/>
      <c r="T41" s="24"/>
      <c r="U41" s="24"/>
      <c r="V41" s="24"/>
      <c r="W41" s="24"/>
      <c r="X41" s="24"/>
      <c r="Y41" s="24"/>
      <c r="Z41" s="24"/>
      <c r="AA41" s="24"/>
      <c r="AB41" s="24"/>
      <c r="AC41" s="24"/>
      <c r="AD41" s="24"/>
      <c r="AE41" s="24"/>
      <c r="AF41" s="24"/>
    </row>
    <row r="42" ht="15.75" customHeight="1">
      <c r="A42" s="23"/>
      <c r="B42" s="23"/>
      <c r="C42" s="23"/>
      <c r="D42" s="23"/>
      <c r="E42" s="23"/>
      <c r="F42" s="23"/>
      <c r="G42" s="23"/>
      <c r="H42" s="23"/>
      <c r="I42" s="23"/>
      <c r="J42" s="23"/>
      <c r="K42" s="23"/>
      <c r="L42" s="23"/>
      <c r="M42" s="23"/>
      <c r="N42" s="23"/>
      <c r="O42" s="23"/>
      <c r="P42" s="23"/>
      <c r="Q42" s="23"/>
      <c r="R42" s="23"/>
      <c r="S42" s="24"/>
      <c r="T42" s="24"/>
      <c r="U42" s="24"/>
      <c r="V42" s="24"/>
      <c r="W42" s="24"/>
      <c r="X42" s="24"/>
      <c r="Y42" s="24"/>
      <c r="Z42" s="24"/>
      <c r="AA42" s="24"/>
      <c r="AB42" s="24"/>
      <c r="AC42" s="24"/>
      <c r="AD42" s="24"/>
      <c r="AE42" s="24"/>
      <c r="AF42" s="24"/>
    </row>
    <row r="43" ht="15.75" customHeight="1">
      <c r="A43" s="23"/>
      <c r="B43" s="61" t="s">
        <v>404</v>
      </c>
      <c r="C43" s="23"/>
      <c r="D43" s="23"/>
      <c r="E43" s="23"/>
      <c r="F43" s="23"/>
      <c r="G43" s="23"/>
      <c r="H43" s="23"/>
      <c r="I43" s="23"/>
      <c r="J43" s="23"/>
      <c r="K43" s="23"/>
      <c r="L43" s="23"/>
      <c r="M43" s="23"/>
      <c r="N43" s="23"/>
      <c r="O43" s="23"/>
      <c r="P43" s="23"/>
      <c r="Q43" s="23"/>
      <c r="R43" s="23"/>
      <c r="S43" s="24"/>
      <c r="T43" s="24"/>
      <c r="U43" s="24"/>
      <c r="V43" s="24"/>
      <c r="W43" s="24"/>
      <c r="X43" s="24"/>
      <c r="Y43" s="24"/>
      <c r="Z43" s="24"/>
      <c r="AA43" s="24"/>
      <c r="AB43" s="24"/>
      <c r="AC43" s="24"/>
      <c r="AD43" s="24"/>
      <c r="AE43" s="24"/>
      <c r="AF43" s="24"/>
    </row>
    <row r="44" ht="15.75" customHeight="1">
      <c r="A44" s="23"/>
      <c r="B44" s="23"/>
      <c r="C44" s="23"/>
      <c r="D44" s="23"/>
      <c r="E44" s="23"/>
      <c r="F44" s="23"/>
      <c r="G44" s="23"/>
      <c r="H44" s="23"/>
      <c r="I44" s="23"/>
      <c r="J44" s="23"/>
      <c r="K44" s="23"/>
      <c r="L44" s="23"/>
      <c r="M44" s="23"/>
      <c r="N44" s="23"/>
      <c r="O44" s="23"/>
      <c r="P44" s="23"/>
      <c r="Q44" s="23"/>
      <c r="R44" s="23"/>
      <c r="S44" s="24"/>
      <c r="T44" s="24"/>
      <c r="U44" s="24"/>
      <c r="V44" s="24"/>
      <c r="W44" s="24"/>
      <c r="X44" s="24"/>
      <c r="Y44" s="24"/>
      <c r="Z44" s="24"/>
      <c r="AA44" s="24"/>
      <c r="AB44" s="24"/>
      <c r="AC44" s="24"/>
      <c r="AD44" s="24"/>
      <c r="AE44" s="24"/>
      <c r="AF44" s="24"/>
    </row>
    <row r="45" ht="15.75" customHeight="1">
      <c r="A45" s="23"/>
      <c r="B45" s="23"/>
      <c r="C45" s="23"/>
      <c r="D45" s="23"/>
      <c r="E45" s="23"/>
      <c r="F45" s="23"/>
      <c r="G45" s="23"/>
      <c r="H45" s="23"/>
      <c r="I45" s="23"/>
      <c r="J45" s="23"/>
      <c r="K45" s="23"/>
      <c r="L45" s="23"/>
      <c r="M45" s="23"/>
      <c r="N45" s="23"/>
      <c r="O45" s="23"/>
      <c r="P45" s="23"/>
      <c r="Q45" s="23"/>
      <c r="R45" s="23"/>
      <c r="S45" s="24"/>
      <c r="T45" s="24"/>
      <c r="U45" s="24"/>
      <c r="V45" s="24"/>
      <c r="W45" s="24"/>
      <c r="X45" s="24"/>
      <c r="Y45" s="24"/>
      <c r="Z45" s="24"/>
      <c r="AA45" s="24"/>
      <c r="AB45" s="24"/>
      <c r="AC45" s="24"/>
      <c r="AD45" s="24"/>
      <c r="AE45" s="24"/>
      <c r="AF45" s="24"/>
    </row>
    <row r="46" ht="15.75" customHeight="1">
      <c r="A46" s="23"/>
      <c r="B46" s="23"/>
      <c r="C46" s="23"/>
      <c r="D46" s="23"/>
      <c r="E46" s="23"/>
      <c r="F46" s="23"/>
      <c r="G46" s="23"/>
      <c r="H46" s="23"/>
      <c r="I46" s="23"/>
      <c r="J46" s="23"/>
      <c r="K46" s="23"/>
      <c r="L46" s="23"/>
      <c r="M46" s="23"/>
      <c r="N46" s="23"/>
      <c r="O46" s="23"/>
      <c r="P46" s="23"/>
      <c r="Q46" s="23"/>
      <c r="R46" s="23"/>
      <c r="S46" s="24"/>
      <c r="T46" s="24"/>
      <c r="U46" s="24"/>
      <c r="V46" s="24"/>
      <c r="W46" s="24"/>
      <c r="X46" s="24"/>
      <c r="Y46" s="24"/>
      <c r="Z46" s="24"/>
      <c r="AA46" s="24"/>
      <c r="AB46" s="24"/>
      <c r="AC46" s="24"/>
      <c r="AD46" s="24"/>
      <c r="AE46" s="24"/>
      <c r="AF46" s="24"/>
    </row>
    <row r="47" ht="15.75" customHeight="1">
      <c r="A47" s="23"/>
      <c r="B47" s="23"/>
      <c r="C47" s="23"/>
      <c r="D47" s="23"/>
      <c r="E47" s="23"/>
      <c r="F47" s="23"/>
      <c r="G47" s="23"/>
      <c r="H47" s="23"/>
      <c r="I47" s="23"/>
      <c r="J47" s="23"/>
      <c r="K47" s="23"/>
      <c r="L47" s="23"/>
      <c r="M47" s="23"/>
      <c r="N47" s="23"/>
      <c r="O47" s="23"/>
      <c r="P47" s="23"/>
      <c r="Q47" s="23"/>
      <c r="R47" s="23"/>
      <c r="S47" s="24"/>
      <c r="T47" s="24"/>
      <c r="U47" s="24"/>
      <c r="V47" s="24"/>
      <c r="W47" s="24"/>
      <c r="X47" s="24"/>
      <c r="Y47" s="24"/>
      <c r="Z47" s="24"/>
      <c r="AA47" s="24"/>
      <c r="AB47" s="24"/>
      <c r="AC47" s="24"/>
      <c r="AD47" s="24"/>
      <c r="AE47" s="24"/>
      <c r="AF47" s="24"/>
    </row>
    <row r="48" ht="15.75" customHeight="1">
      <c r="A48" s="23"/>
      <c r="B48" s="23"/>
      <c r="C48" s="23"/>
      <c r="D48" s="23"/>
      <c r="E48" s="23"/>
      <c r="F48" s="23"/>
      <c r="G48" s="23"/>
      <c r="H48" s="23"/>
      <c r="I48" s="23"/>
      <c r="J48" s="23"/>
      <c r="K48" s="23"/>
      <c r="L48" s="23"/>
      <c r="M48" s="23"/>
      <c r="N48" s="23"/>
      <c r="O48" s="23"/>
      <c r="P48" s="23"/>
      <c r="Q48" s="23"/>
      <c r="R48" s="23"/>
      <c r="S48" s="24"/>
      <c r="T48" s="24"/>
      <c r="U48" s="24"/>
      <c r="V48" s="24"/>
      <c r="W48" s="24"/>
      <c r="X48" s="24"/>
      <c r="Y48" s="24"/>
      <c r="Z48" s="24"/>
      <c r="AA48" s="24"/>
      <c r="AB48" s="24"/>
      <c r="AC48" s="24"/>
      <c r="AD48" s="24"/>
      <c r="AE48" s="24"/>
      <c r="AF48" s="24"/>
    </row>
    <row r="49" ht="15.75" customHeight="1">
      <c r="A49" s="23"/>
      <c r="B49" s="23"/>
      <c r="C49" s="23"/>
      <c r="D49" s="23"/>
      <c r="E49" s="23"/>
      <c r="F49" s="23"/>
      <c r="G49" s="23"/>
      <c r="H49" s="23"/>
      <c r="I49" s="23"/>
      <c r="J49" s="23"/>
      <c r="K49" s="23"/>
      <c r="L49" s="23"/>
      <c r="M49" s="23"/>
      <c r="N49" s="23"/>
      <c r="O49" s="23"/>
      <c r="P49" s="23"/>
      <c r="Q49" s="23"/>
      <c r="R49" s="23"/>
      <c r="S49" s="24"/>
      <c r="T49" s="24"/>
      <c r="U49" s="24"/>
      <c r="V49" s="24"/>
      <c r="W49" s="24"/>
      <c r="X49" s="24"/>
      <c r="Y49" s="24"/>
      <c r="Z49" s="24"/>
      <c r="AA49" s="24"/>
      <c r="AB49" s="24"/>
      <c r="AC49" s="24"/>
      <c r="AD49" s="24"/>
      <c r="AE49" s="24"/>
      <c r="AF49" s="24"/>
    </row>
    <row r="50" ht="15.75" customHeight="1">
      <c r="A50" s="23"/>
      <c r="B50" s="23"/>
      <c r="C50" s="23"/>
      <c r="D50" s="23"/>
      <c r="E50" s="23"/>
      <c r="F50" s="23"/>
      <c r="G50" s="23"/>
      <c r="H50" s="23"/>
      <c r="I50" s="23"/>
      <c r="J50" s="23"/>
      <c r="K50" s="23"/>
      <c r="L50" s="23"/>
      <c r="M50" s="23"/>
      <c r="N50" s="23"/>
      <c r="O50" s="23"/>
      <c r="P50" s="23"/>
      <c r="Q50" s="23"/>
      <c r="R50" s="23"/>
      <c r="S50" s="24"/>
      <c r="T50" s="24"/>
      <c r="U50" s="24"/>
      <c r="V50" s="24"/>
      <c r="W50" s="24"/>
      <c r="X50" s="24"/>
      <c r="Y50" s="24"/>
      <c r="Z50" s="24"/>
      <c r="AA50" s="24"/>
      <c r="AB50" s="24"/>
      <c r="AC50" s="24"/>
      <c r="AD50" s="24"/>
      <c r="AE50" s="24"/>
      <c r="AF50" s="24"/>
    </row>
    <row r="51" ht="15.75" customHeight="1">
      <c r="A51" s="23"/>
      <c r="B51" s="23"/>
      <c r="C51" s="23"/>
      <c r="D51" s="23"/>
      <c r="E51" s="23"/>
      <c r="F51" s="23"/>
      <c r="G51" s="23"/>
      <c r="H51" s="23"/>
      <c r="I51" s="23"/>
      <c r="J51" s="23"/>
      <c r="K51" s="23"/>
      <c r="L51" s="23"/>
      <c r="M51" s="23"/>
      <c r="N51" s="23"/>
      <c r="O51" s="23"/>
      <c r="P51" s="23"/>
      <c r="Q51" s="23"/>
      <c r="R51" s="23"/>
      <c r="S51" s="24"/>
      <c r="T51" s="24"/>
      <c r="U51" s="24"/>
      <c r="V51" s="24"/>
      <c r="W51" s="24"/>
      <c r="X51" s="24"/>
      <c r="Y51" s="24"/>
      <c r="Z51" s="24"/>
      <c r="AA51" s="24"/>
      <c r="AB51" s="24"/>
      <c r="AC51" s="24"/>
      <c r="AD51" s="24"/>
      <c r="AE51" s="24"/>
      <c r="AF51" s="24"/>
    </row>
    <row r="52" ht="15.75" customHeight="1">
      <c r="A52" s="23"/>
      <c r="B52" s="23"/>
      <c r="C52" s="23"/>
      <c r="D52" s="23"/>
      <c r="E52" s="23"/>
      <c r="F52" s="23"/>
      <c r="G52" s="23"/>
      <c r="H52" s="23"/>
      <c r="I52" s="23"/>
      <c r="J52" s="23"/>
      <c r="K52" s="23"/>
      <c r="L52" s="23"/>
      <c r="M52" s="23"/>
      <c r="N52" s="23"/>
      <c r="O52" s="23"/>
      <c r="P52" s="23"/>
      <c r="Q52" s="23"/>
      <c r="R52" s="23"/>
      <c r="S52" s="24"/>
      <c r="T52" s="24"/>
      <c r="U52" s="24"/>
      <c r="V52" s="24"/>
      <c r="W52" s="24"/>
      <c r="X52" s="24"/>
      <c r="Y52" s="24"/>
      <c r="Z52" s="24"/>
      <c r="AA52" s="24"/>
      <c r="AB52" s="24"/>
      <c r="AC52" s="24"/>
      <c r="AD52" s="24"/>
      <c r="AE52" s="24"/>
      <c r="AF52" s="24"/>
    </row>
    <row r="53" ht="15.75" customHeight="1">
      <c r="A53" s="23"/>
      <c r="B53" s="23"/>
      <c r="C53" s="23"/>
      <c r="D53" s="23"/>
      <c r="E53" s="23"/>
      <c r="F53" s="23"/>
      <c r="G53" s="23"/>
      <c r="H53" s="23"/>
      <c r="I53" s="23"/>
      <c r="J53" s="23"/>
      <c r="K53" s="23"/>
      <c r="L53" s="23"/>
      <c r="M53" s="23"/>
      <c r="N53" s="23"/>
      <c r="O53" s="23"/>
      <c r="P53" s="23"/>
      <c r="Q53" s="23"/>
      <c r="R53" s="23"/>
      <c r="S53" s="24"/>
      <c r="T53" s="24"/>
      <c r="U53" s="24"/>
      <c r="V53" s="24"/>
      <c r="W53" s="24"/>
      <c r="X53" s="24"/>
      <c r="Y53" s="24"/>
      <c r="Z53" s="24"/>
      <c r="AA53" s="24"/>
      <c r="AB53" s="24"/>
      <c r="AC53" s="24"/>
      <c r="AD53" s="24"/>
      <c r="AE53" s="24"/>
      <c r="AF53" s="24"/>
    </row>
    <row r="54" ht="15.75" customHeight="1">
      <c r="A54" s="23"/>
      <c r="B54" s="23"/>
      <c r="C54" s="23"/>
      <c r="D54" s="23"/>
      <c r="E54" s="23"/>
      <c r="F54" s="23"/>
      <c r="G54" s="23"/>
      <c r="H54" s="23"/>
      <c r="I54" s="23"/>
      <c r="J54" s="23"/>
      <c r="K54" s="23"/>
      <c r="L54" s="23"/>
      <c r="M54" s="23"/>
      <c r="N54" s="23"/>
      <c r="O54" s="23"/>
      <c r="P54" s="23"/>
      <c r="Q54" s="23"/>
      <c r="R54" s="23"/>
      <c r="S54" s="24"/>
      <c r="T54" s="24"/>
      <c r="U54" s="24"/>
      <c r="V54" s="24"/>
      <c r="W54" s="24"/>
      <c r="X54" s="24"/>
      <c r="Y54" s="24"/>
      <c r="Z54" s="24"/>
      <c r="AA54" s="24"/>
      <c r="AB54" s="24"/>
      <c r="AC54" s="24"/>
      <c r="AD54" s="24"/>
      <c r="AE54" s="24"/>
      <c r="AF54" s="24"/>
    </row>
    <row r="55" ht="15.75" customHeight="1">
      <c r="A55" s="23"/>
      <c r="B55" s="23"/>
      <c r="C55" s="23"/>
      <c r="D55" s="23"/>
      <c r="E55" s="23"/>
      <c r="F55" s="23"/>
      <c r="G55" s="23"/>
      <c r="H55" s="23"/>
      <c r="I55" s="23"/>
      <c r="J55" s="23"/>
      <c r="K55" s="23"/>
      <c r="L55" s="23"/>
      <c r="M55" s="23"/>
      <c r="N55" s="23"/>
      <c r="O55" s="23"/>
      <c r="P55" s="23"/>
      <c r="Q55" s="23"/>
      <c r="R55" s="23"/>
      <c r="S55" s="24"/>
      <c r="T55" s="24"/>
      <c r="U55" s="24"/>
      <c r="V55" s="24"/>
      <c r="W55" s="24"/>
      <c r="X55" s="24"/>
      <c r="Y55" s="24"/>
      <c r="Z55" s="24"/>
      <c r="AA55" s="24"/>
      <c r="AB55" s="24"/>
      <c r="AC55" s="24"/>
      <c r="AD55" s="24"/>
      <c r="AE55" s="24"/>
      <c r="AF55" s="24"/>
    </row>
    <row r="56" ht="15.75" customHeight="1">
      <c r="A56" s="23"/>
      <c r="B56" s="23"/>
      <c r="C56" s="23"/>
      <c r="D56" s="23"/>
      <c r="E56" s="23"/>
      <c r="F56" s="23"/>
      <c r="G56" s="23"/>
      <c r="H56" s="23"/>
      <c r="I56" s="23"/>
      <c r="J56" s="23"/>
      <c r="K56" s="23"/>
      <c r="L56" s="23"/>
      <c r="M56" s="23"/>
      <c r="N56" s="23"/>
      <c r="O56" s="23"/>
      <c r="P56" s="23"/>
      <c r="Q56" s="23"/>
      <c r="R56" s="23"/>
      <c r="S56" s="24"/>
      <c r="T56" s="24"/>
      <c r="U56" s="24"/>
      <c r="V56" s="24"/>
      <c r="W56" s="24"/>
      <c r="X56" s="24"/>
      <c r="Y56" s="24"/>
      <c r="Z56" s="24"/>
      <c r="AA56" s="24"/>
      <c r="AB56" s="24"/>
      <c r="AC56" s="24"/>
      <c r="AD56" s="24"/>
      <c r="AE56" s="24"/>
      <c r="AF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row>
    <row r="244" ht="15.75" customHeight="1">
      <c r="E244" s="68"/>
      <c r="J244" s="68"/>
      <c r="L244" s="68"/>
      <c r="M244" s="68"/>
      <c r="O244" s="68"/>
      <c r="R244" s="68"/>
    </row>
    <row r="245" ht="15.75" customHeight="1">
      <c r="E245" s="68"/>
      <c r="J245" s="68"/>
      <c r="L245" s="68"/>
      <c r="M245" s="68"/>
      <c r="O245" s="68"/>
      <c r="R245" s="68"/>
    </row>
    <row r="246" ht="15.75" customHeight="1">
      <c r="E246" s="68"/>
      <c r="J246" s="68"/>
      <c r="L246" s="68"/>
      <c r="M246" s="68"/>
      <c r="O246" s="68"/>
      <c r="R246" s="68"/>
    </row>
    <row r="247" ht="15.75" customHeight="1">
      <c r="E247" s="68"/>
      <c r="J247" s="68"/>
      <c r="L247" s="68"/>
      <c r="M247" s="68"/>
      <c r="O247" s="68"/>
      <c r="R247" s="68"/>
    </row>
    <row r="248" ht="15.75" customHeight="1">
      <c r="E248" s="68"/>
      <c r="J248" s="68"/>
      <c r="L248" s="68"/>
      <c r="M248" s="68"/>
      <c r="O248" s="68"/>
      <c r="R248" s="68"/>
    </row>
    <row r="249" ht="15.75" customHeight="1">
      <c r="E249" s="68"/>
      <c r="J249" s="68"/>
      <c r="L249" s="68"/>
      <c r="M249" s="68"/>
      <c r="O249" s="68"/>
      <c r="R249" s="68"/>
    </row>
    <row r="250" ht="15.75" customHeight="1">
      <c r="E250" s="68"/>
      <c r="J250" s="68"/>
      <c r="L250" s="68"/>
      <c r="M250" s="68"/>
      <c r="O250" s="68"/>
      <c r="R250" s="68"/>
    </row>
    <row r="251" ht="15.75" customHeight="1">
      <c r="E251" s="68"/>
      <c r="J251" s="68"/>
      <c r="L251" s="68"/>
      <c r="M251" s="68"/>
      <c r="O251" s="68"/>
      <c r="R251" s="68"/>
    </row>
    <row r="252" ht="15.75" customHeight="1">
      <c r="E252" s="68"/>
      <c r="J252" s="68"/>
      <c r="L252" s="68"/>
      <c r="M252" s="68"/>
      <c r="O252" s="68"/>
      <c r="R252" s="68"/>
    </row>
    <row r="253" ht="15.75" customHeight="1">
      <c r="E253" s="68"/>
      <c r="J253" s="68"/>
      <c r="L253" s="68"/>
      <c r="M253" s="68"/>
      <c r="O253" s="68"/>
      <c r="R253" s="68"/>
    </row>
    <row r="254" ht="15.75" customHeight="1">
      <c r="E254" s="68"/>
      <c r="J254" s="68"/>
      <c r="L254" s="68"/>
      <c r="M254" s="68"/>
      <c r="O254" s="68"/>
      <c r="R254" s="68"/>
    </row>
    <row r="255" ht="15.75" customHeight="1">
      <c r="E255" s="68"/>
      <c r="J255" s="68"/>
      <c r="L255" s="68"/>
      <c r="M255" s="68"/>
      <c r="O255" s="68"/>
      <c r="R255" s="68"/>
    </row>
    <row r="256" ht="15.75" customHeight="1">
      <c r="E256" s="68"/>
      <c r="J256" s="68"/>
      <c r="L256" s="68"/>
      <c r="M256" s="68"/>
      <c r="O256" s="68"/>
      <c r="R256" s="68"/>
    </row>
    <row r="257" ht="15.75" customHeight="1">
      <c r="E257" s="68"/>
      <c r="J257" s="68"/>
      <c r="L257" s="68"/>
      <c r="M257" s="68"/>
      <c r="O257" s="68"/>
      <c r="R257" s="68"/>
    </row>
    <row r="258" ht="15.75" customHeight="1">
      <c r="E258" s="68"/>
      <c r="J258" s="68"/>
      <c r="L258" s="68"/>
      <c r="M258" s="68"/>
      <c r="O258" s="68"/>
      <c r="R258" s="68"/>
    </row>
    <row r="259" ht="15.75" customHeight="1">
      <c r="E259" s="68"/>
      <c r="J259" s="68"/>
      <c r="L259" s="68"/>
      <c r="M259" s="68"/>
      <c r="O259" s="68"/>
      <c r="R259" s="68"/>
    </row>
    <row r="260" ht="15.75" customHeight="1">
      <c r="E260" s="68"/>
      <c r="J260" s="68"/>
      <c r="L260" s="68"/>
      <c r="M260" s="68"/>
      <c r="O260" s="68"/>
      <c r="R260" s="68"/>
    </row>
    <row r="261" ht="15.75" customHeight="1">
      <c r="E261" s="68"/>
      <c r="J261" s="68"/>
      <c r="L261" s="68"/>
      <c r="M261" s="68"/>
      <c r="O261" s="68"/>
      <c r="R261" s="68"/>
    </row>
    <row r="262" ht="15.75" customHeight="1">
      <c r="E262" s="68"/>
      <c r="J262" s="68"/>
      <c r="L262" s="68"/>
      <c r="M262" s="68"/>
      <c r="O262" s="68"/>
      <c r="R262" s="68"/>
    </row>
    <row r="263" ht="15.75" customHeight="1">
      <c r="E263" s="68"/>
      <c r="J263" s="68"/>
      <c r="L263" s="68"/>
      <c r="M263" s="68"/>
      <c r="O263" s="68"/>
      <c r="R263" s="68"/>
    </row>
    <row r="264" ht="15.75" customHeight="1">
      <c r="E264" s="68"/>
      <c r="J264" s="68"/>
      <c r="L264" s="68"/>
      <c r="M264" s="68"/>
      <c r="O264" s="68"/>
      <c r="R264" s="68"/>
    </row>
    <row r="265" ht="15.75" customHeight="1">
      <c r="E265" s="68"/>
      <c r="J265" s="68"/>
      <c r="L265" s="68"/>
      <c r="M265" s="68"/>
      <c r="O265" s="68"/>
      <c r="R265" s="68"/>
    </row>
    <row r="266" ht="15.75" customHeight="1">
      <c r="E266" s="68"/>
      <c r="J266" s="68"/>
      <c r="L266" s="68"/>
      <c r="M266" s="68"/>
      <c r="O266" s="68"/>
      <c r="R266" s="68"/>
    </row>
    <row r="267" ht="15.75" customHeight="1">
      <c r="E267" s="68"/>
      <c r="J267" s="68"/>
      <c r="L267" s="68"/>
      <c r="M267" s="68"/>
      <c r="O267" s="68"/>
      <c r="R267" s="68"/>
    </row>
    <row r="268" ht="15.75" customHeight="1">
      <c r="E268" s="68"/>
      <c r="J268" s="68"/>
      <c r="L268" s="68"/>
      <c r="M268" s="68"/>
      <c r="O268" s="68"/>
      <c r="R268" s="68"/>
    </row>
    <row r="269" ht="15.75" customHeight="1">
      <c r="E269" s="68"/>
      <c r="J269" s="68"/>
      <c r="L269" s="68"/>
      <c r="M269" s="68"/>
      <c r="O269" s="68"/>
      <c r="R269" s="68"/>
    </row>
    <row r="270" ht="15.75" customHeight="1">
      <c r="E270" s="68"/>
      <c r="J270" s="68"/>
      <c r="L270" s="68"/>
      <c r="M270" s="68"/>
      <c r="O270" s="68"/>
      <c r="R270" s="68"/>
    </row>
    <row r="271" ht="15.75" customHeight="1">
      <c r="E271" s="68"/>
      <c r="J271" s="68"/>
      <c r="L271" s="68"/>
      <c r="M271" s="68"/>
      <c r="O271" s="68"/>
      <c r="R271" s="68"/>
    </row>
    <row r="272" ht="15.75" customHeight="1">
      <c r="E272" s="68"/>
      <c r="J272" s="68"/>
      <c r="L272" s="68"/>
      <c r="M272" s="68"/>
      <c r="O272" s="68"/>
      <c r="R272" s="68"/>
    </row>
    <row r="273" ht="15.75" customHeight="1">
      <c r="E273" s="68"/>
      <c r="J273" s="68"/>
      <c r="L273" s="68"/>
      <c r="M273" s="68"/>
      <c r="O273" s="68"/>
      <c r="R273" s="68"/>
    </row>
    <row r="274" ht="15.75" customHeight="1">
      <c r="E274" s="68"/>
      <c r="J274" s="68"/>
      <c r="L274" s="68"/>
      <c r="M274" s="68"/>
      <c r="O274" s="68"/>
      <c r="R274" s="68"/>
    </row>
    <row r="275" ht="15.75" customHeight="1">
      <c r="E275" s="68"/>
      <c r="J275" s="68"/>
      <c r="L275" s="68"/>
      <c r="M275" s="68"/>
      <c r="O275" s="68"/>
      <c r="R275" s="68"/>
    </row>
    <row r="276" ht="15.75" customHeight="1">
      <c r="E276" s="68"/>
      <c r="J276" s="68"/>
      <c r="L276" s="68"/>
      <c r="M276" s="68"/>
      <c r="O276" s="68"/>
      <c r="R276" s="68"/>
    </row>
    <row r="277" ht="15.75" customHeight="1">
      <c r="E277" s="68"/>
      <c r="J277" s="68"/>
      <c r="L277" s="68"/>
      <c r="M277" s="68"/>
      <c r="O277" s="68"/>
      <c r="R277" s="68"/>
    </row>
    <row r="278" ht="15.75" customHeight="1">
      <c r="E278" s="68"/>
      <c r="J278" s="68"/>
      <c r="L278" s="68"/>
      <c r="M278" s="68"/>
      <c r="O278" s="68"/>
      <c r="R278" s="68"/>
    </row>
    <row r="279" ht="15.75" customHeight="1">
      <c r="E279" s="68"/>
      <c r="J279" s="68"/>
      <c r="L279" s="68"/>
      <c r="M279" s="68"/>
      <c r="O279" s="68"/>
      <c r="R279" s="68"/>
    </row>
    <row r="280" ht="15.75" customHeight="1">
      <c r="E280" s="68"/>
      <c r="J280" s="68"/>
      <c r="L280" s="68"/>
      <c r="M280" s="68"/>
      <c r="O280" s="68"/>
      <c r="R280" s="68"/>
    </row>
    <row r="281" ht="15.75" customHeight="1">
      <c r="E281" s="68"/>
      <c r="J281" s="68"/>
      <c r="L281" s="68"/>
      <c r="M281" s="68"/>
      <c r="O281" s="68"/>
      <c r="R281" s="68"/>
    </row>
    <row r="282" ht="15.75" customHeight="1">
      <c r="E282" s="68"/>
      <c r="J282" s="68"/>
      <c r="L282" s="68"/>
      <c r="M282" s="68"/>
      <c r="O282" s="68"/>
      <c r="R282" s="68"/>
    </row>
    <row r="283" ht="15.75" customHeight="1">
      <c r="E283" s="68"/>
      <c r="J283" s="68"/>
      <c r="L283" s="68"/>
      <c r="M283" s="68"/>
      <c r="O283" s="68"/>
      <c r="R283" s="68"/>
    </row>
    <row r="284" ht="15.75" customHeight="1">
      <c r="E284" s="68"/>
      <c r="J284" s="68"/>
      <c r="L284" s="68"/>
      <c r="M284" s="68"/>
      <c r="O284" s="68"/>
      <c r="R284" s="68"/>
    </row>
    <row r="285" ht="15.75" customHeight="1">
      <c r="E285" s="68"/>
      <c r="J285" s="68"/>
      <c r="L285" s="68"/>
      <c r="M285" s="68"/>
      <c r="O285" s="68"/>
      <c r="R285" s="68"/>
    </row>
    <row r="286" ht="15.75" customHeight="1">
      <c r="E286" s="68"/>
      <c r="J286" s="68"/>
      <c r="L286" s="68"/>
      <c r="M286" s="68"/>
      <c r="O286" s="68"/>
      <c r="R286" s="68"/>
    </row>
    <row r="287" ht="15.75" customHeight="1">
      <c r="E287" s="68"/>
      <c r="J287" s="68"/>
      <c r="L287" s="68"/>
      <c r="M287" s="68"/>
      <c r="O287" s="68"/>
      <c r="R287" s="68"/>
    </row>
    <row r="288" ht="15.75" customHeight="1">
      <c r="E288" s="68"/>
      <c r="J288" s="68"/>
      <c r="L288" s="68"/>
      <c r="M288" s="68"/>
      <c r="O288" s="68"/>
      <c r="R288" s="68"/>
    </row>
    <row r="289" ht="15.75" customHeight="1">
      <c r="E289" s="68"/>
      <c r="J289" s="68"/>
      <c r="L289" s="68"/>
      <c r="M289" s="68"/>
      <c r="O289" s="68"/>
      <c r="R289" s="68"/>
    </row>
    <row r="290" ht="15.75" customHeight="1">
      <c r="E290" s="68"/>
      <c r="J290" s="68"/>
      <c r="L290" s="68"/>
      <c r="M290" s="68"/>
      <c r="O290" s="68"/>
      <c r="R290" s="68"/>
    </row>
    <row r="291" ht="15.75" customHeight="1">
      <c r="E291" s="68"/>
      <c r="J291" s="68"/>
      <c r="L291" s="68"/>
      <c r="M291" s="68"/>
      <c r="O291" s="68"/>
      <c r="R291" s="68"/>
    </row>
    <row r="292" ht="15.75" customHeight="1">
      <c r="E292" s="68"/>
      <c r="J292" s="68"/>
      <c r="L292" s="68"/>
      <c r="M292" s="68"/>
      <c r="O292" s="68"/>
      <c r="R292" s="68"/>
    </row>
    <row r="293" ht="15.75" customHeight="1">
      <c r="E293" s="68"/>
      <c r="J293" s="68"/>
      <c r="L293" s="68"/>
      <c r="M293" s="68"/>
      <c r="O293" s="68"/>
      <c r="R293" s="68"/>
    </row>
    <row r="294" ht="15.75" customHeight="1">
      <c r="E294" s="68"/>
      <c r="J294" s="68"/>
      <c r="L294" s="68"/>
      <c r="M294" s="68"/>
      <c r="O294" s="68"/>
      <c r="R294" s="68"/>
    </row>
    <row r="295" ht="15.75" customHeight="1">
      <c r="E295" s="68"/>
      <c r="J295" s="68"/>
      <c r="L295" s="68"/>
      <c r="M295" s="68"/>
      <c r="O295" s="68"/>
      <c r="R295" s="68"/>
    </row>
    <row r="296" ht="15.75" customHeight="1">
      <c r="E296" s="68"/>
      <c r="J296" s="68"/>
      <c r="L296" s="68"/>
      <c r="M296" s="68"/>
      <c r="O296" s="68"/>
      <c r="R296" s="68"/>
    </row>
    <row r="297" ht="15.75" customHeight="1">
      <c r="E297" s="68"/>
      <c r="J297" s="68"/>
      <c r="L297" s="68"/>
      <c r="M297" s="68"/>
      <c r="O297" s="68"/>
      <c r="R297" s="68"/>
    </row>
    <row r="298" ht="15.75" customHeight="1">
      <c r="E298" s="68"/>
      <c r="J298" s="68"/>
      <c r="L298" s="68"/>
      <c r="M298" s="68"/>
      <c r="O298" s="68"/>
      <c r="R298" s="68"/>
    </row>
    <row r="299" ht="15.75" customHeight="1">
      <c r="E299" s="68"/>
      <c r="J299" s="68"/>
      <c r="L299" s="68"/>
      <c r="M299" s="68"/>
      <c r="O299" s="68"/>
      <c r="R299" s="68"/>
    </row>
    <row r="300" ht="15.75" customHeight="1">
      <c r="E300" s="68"/>
      <c r="J300" s="68"/>
      <c r="L300" s="68"/>
      <c r="M300" s="68"/>
      <c r="O300" s="68"/>
      <c r="R300" s="68"/>
    </row>
    <row r="301" ht="15.75" customHeight="1">
      <c r="E301" s="68"/>
      <c r="J301" s="68"/>
      <c r="L301" s="68"/>
      <c r="M301" s="68"/>
      <c r="O301" s="68"/>
      <c r="R301" s="68"/>
    </row>
    <row r="302" ht="15.75" customHeight="1">
      <c r="E302" s="68"/>
      <c r="J302" s="68"/>
      <c r="L302" s="68"/>
      <c r="M302" s="68"/>
      <c r="O302" s="68"/>
      <c r="R302" s="68"/>
    </row>
    <row r="303" ht="15.75" customHeight="1">
      <c r="E303" s="68"/>
      <c r="J303" s="68"/>
      <c r="L303" s="68"/>
      <c r="M303" s="68"/>
      <c r="O303" s="68"/>
      <c r="R303" s="68"/>
    </row>
    <row r="304" ht="15.75" customHeight="1">
      <c r="E304" s="68"/>
      <c r="J304" s="68"/>
      <c r="L304" s="68"/>
      <c r="M304" s="68"/>
      <c r="O304" s="68"/>
      <c r="R304" s="68"/>
    </row>
    <row r="305" ht="15.75" customHeight="1">
      <c r="E305" s="68"/>
      <c r="J305" s="68"/>
      <c r="L305" s="68"/>
      <c r="M305" s="68"/>
      <c r="O305" s="68"/>
      <c r="R305" s="68"/>
    </row>
    <row r="306" ht="15.75" customHeight="1">
      <c r="E306" s="68"/>
      <c r="J306" s="68"/>
      <c r="L306" s="68"/>
      <c r="M306" s="68"/>
      <c r="O306" s="68"/>
      <c r="R306" s="68"/>
    </row>
    <row r="307" ht="15.75" customHeight="1">
      <c r="E307" s="68"/>
      <c r="J307" s="68"/>
      <c r="L307" s="68"/>
      <c r="M307" s="68"/>
      <c r="O307" s="68"/>
      <c r="R307" s="68"/>
    </row>
    <row r="308" ht="15.75" customHeight="1">
      <c r="E308" s="68"/>
      <c r="J308" s="68"/>
      <c r="L308" s="68"/>
      <c r="M308" s="68"/>
      <c r="O308" s="68"/>
      <c r="R308" s="68"/>
    </row>
    <row r="309" ht="15.75" customHeight="1">
      <c r="E309" s="68"/>
      <c r="J309" s="68"/>
      <c r="L309" s="68"/>
      <c r="M309" s="68"/>
      <c r="O309" s="68"/>
      <c r="R309" s="68"/>
    </row>
    <row r="310" ht="15.75" customHeight="1">
      <c r="E310" s="68"/>
      <c r="J310" s="68"/>
      <c r="L310" s="68"/>
      <c r="M310" s="68"/>
      <c r="O310" s="68"/>
      <c r="R310" s="68"/>
    </row>
    <row r="311" ht="15.75" customHeight="1">
      <c r="E311" s="68"/>
      <c r="J311" s="68"/>
      <c r="L311" s="68"/>
      <c r="M311" s="68"/>
      <c r="O311" s="68"/>
      <c r="R311" s="68"/>
    </row>
    <row r="312" ht="15.75" customHeight="1">
      <c r="E312" s="68"/>
      <c r="J312" s="68"/>
      <c r="L312" s="68"/>
      <c r="M312" s="68"/>
      <c r="O312" s="68"/>
      <c r="R312" s="68"/>
    </row>
    <row r="313" ht="15.75" customHeight="1">
      <c r="E313" s="68"/>
      <c r="J313" s="68"/>
      <c r="L313" s="68"/>
      <c r="M313" s="68"/>
      <c r="O313" s="68"/>
      <c r="R313" s="68"/>
    </row>
    <row r="314" ht="15.75" customHeight="1">
      <c r="E314" s="68"/>
      <c r="J314" s="68"/>
      <c r="L314" s="68"/>
      <c r="M314" s="68"/>
      <c r="O314" s="68"/>
      <c r="R314" s="68"/>
    </row>
    <row r="315" ht="15.75" customHeight="1">
      <c r="E315" s="68"/>
      <c r="J315" s="68"/>
      <c r="L315" s="68"/>
      <c r="M315" s="68"/>
      <c r="O315" s="68"/>
      <c r="R315" s="68"/>
    </row>
    <row r="316" ht="15.75" customHeight="1">
      <c r="E316" s="68"/>
      <c r="J316" s="68"/>
      <c r="L316" s="68"/>
      <c r="M316" s="68"/>
      <c r="O316" s="68"/>
      <c r="R316" s="68"/>
    </row>
    <row r="317" ht="15.75" customHeight="1">
      <c r="E317" s="68"/>
      <c r="J317" s="68"/>
      <c r="L317" s="68"/>
      <c r="M317" s="68"/>
      <c r="O317" s="68"/>
      <c r="R317" s="68"/>
    </row>
    <row r="318" ht="15.75" customHeight="1">
      <c r="E318" s="68"/>
      <c r="J318" s="68"/>
      <c r="L318" s="68"/>
      <c r="M318" s="68"/>
      <c r="O318" s="68"/>
      <c r="R318" s="68"/>
    </row>
    <row r="319" ht="15.75" customHeight="1">
      <c r="E319" s="68"/>
      <c r="J319" s="68"/>
      <c r="L319" s="68"/>
      <c r="M319" s="68"/>
      <c r="O319" s="68"/>
      <c r="R319" s="68"/>
    </row>
    <row r="320" ht="15.75" customHeight="1">
      <c r="E320" s="68"/>
      <c r="J320" s="68"/>
      <c r="L320" s="68"/>
      <c r="M320" s="68"/>
      <c r="O320" s="68"/>
      <c r="R320" s="68"/>
    </row>
    <row r="321" ht="15.75" customHeight="1">
      <c r="E321" s="68"/>
      <c r="J321" s="68"/>
      <c r="L321" s="68"/>
      <c r="M321" s="68"/>
      <c r="O321" s="68"/>
      <c r="R321" s="68"/>
    </row>
    <row r="322" ht="15.75" customHeight="1">
      <c r="E322" s="68"/>
      <c r="J322" s="68"/>
      <c r="L322" s="68"/>
      <c r="M322" s="68"/>
      <c r="O322" s="68"/>
      <c r="R322" s="68"/>
    </row>
    <row r="323" ht="15.75" customHeight="1">
      <c r="E323" s="68"/>
      <c r="J323" s="68"/>
      <c r="L323" s="68"/>
      <c r="M323" s="68"/>
      <c r="O323" s="68"/>
      <c r="R323" s="68"/>
    </row>
    <row r="324" ht="15.75" customHeight="1">
      <c r="E324" s="68"/>
      <c r="J324" s="68"/>
      <c r="L324" s="68"/>
      <c r="M324" s="68"/>
      <c r="O324" s="68"/>
      <c r="R324" s="68"/>
    </row>
    <row r="325" ht="15.75" customHeight="1">
      <c r="E325" s="68"/>
      <c r="J325" s="68"/>
      <c r="L325" s="68"/>
      <c r="M325" s="68"/>
      <c r="O325" s="68"/>
      <c r="R325" s="68"/>
    </row>
    <row r="326" ht="15.75" customHeight="1">
      <c r="E326" s="68"/>
      <c r="J326" s="68"/>
      <c r="L326" s="68"/>
      <c r="M326" s="68"/>
      <c r="O326" s="68"/>
      <c r="R326" s="68"/>
    </row>
    <row r="327" ht="15.75" customHeight="1">
      <c r="E327" s="68"/>
      <c r="J327" s="68"/>
      <c r="L327" s="68"/>
      <c r="M327" s="68"/>
      <c r="O327" s="68"/>
      <c r="R327" s="68"/>
    </row>
    <row r="328" ht="15.75" customHeight="1">
      <c r="E328" s="68"/>
      <c r="J328" s="68"/>
      <c r="L328" s="68"/>
      <c r="M328" s="68"/>
      <c r="O328" s="68"/>
      <c r="R328" s="68"/>
    </row>
    <row r="329" ht="15.75" customHeight="1">
      <c r="E329" s="68"/>
      <c r="J329" s="68"/>
      <c r="L329" s="68"/>
      <c r="M329" s="68"/>
      <c r="O329" s="68"/>
      <c r="R329" s="68"/>
    </row>
    <row r="330" ht="15.75" customHeight="1">
      <c r="E330" s="68"/>
      <c r="J330" s="68"/>
      <c r="L330" s="68"/>
      <c r="M330" s="68"/>
      <c r="O330" s="68"/>
      <c r="R330" s="68"/>
    </row>
    <row r="331" ht="15.75" customHeight="1">
      <c r="E331" s="68"/>
      <c r="J331" s="68"/>
      <c r="L331" s="68"/>
      <c r="M331" s="68"/>
      <c r="O331" s="68"/>
      <c r="R331" s="68"/>
    </row>
    <row r="332" ht="15.75" customHeight="1">
      <c r="E332" s="68"/>
      <c r="J332" s="68"/>
      <c r="L332" s="68"/>
      <c r="M332" s="68"/>
      <c r="O332" s="68"/>
      <c r="R332" s="68"/>
    </row>
    <row r="333" ht="15.75" customHeight="1">
      <c r="E333" s="68"/>
      <c r="J333" s="68"/>
      <c r="L333" s="68"/>
      <c r="M333" s="68"/>
      <c r="O333" s="68"/>
      <c r="R333" s="68"/>
    </row>
    <row r="334" ht="15.75" customHeight="1">
      <c r="E334" s="68"/>
      <c r="J334" s="68"/>
      <c r="L334" s="68"/>
      <c r="M334" s="68"/>
      <c r="O334" s="68"/>
      <c r="R334" s="68"/>
    </row>
    <row r="335" ht="15.75" customHeight="1">
      <c r="E335" s="68"/>
      <c r="J335" s="68"/>
      <c r="L335" s="68"/>
      <c r="M335" s="68"/>
      <c r="O335" s="68"/>
      <c r="R335" s="68"/>
    </row>
    <row r="336" ht="15.75" customHeight="1">
      <c r="E336" s="68"/>
      <c r="J336" s="68"/>
      <c r="L336" s="68"/>
      <c r="M336" s="68"/>
      <c r="O336" s="68"/>
      <c r="R336" s="68"/>
    </row>
    <row r="337" ht="15.75" customHeight="1">
      <c r="E337" s="68"/>
      <c r="J337" s="68"/>
      <c r="L337" s="68"/>
      <c r="M337" s="68"/>
      <c r="O337" s="68"/>
      <c r="R337" s="68"/>
    </row>
    <row r="338" ht="15.75" customHeight="1">
      <c r="E338" s="68"/>
      <c r="J338" s="68"/>
      <c r="L338" s="68"/>
      <c r="M338" s="68"/>
      <c r="O338" s="68"/>
      <c r="R338" s="68"/>
    </row>
    <row r="339" ht="15.75" customHeight="1">
      <c r="E339" s="68"/>
      <c r="J339" s="68"/>
      <c r="L339" s="68"/>
      <c r="M339" s="68"/>
      <c r="O339" s="68"/>
      <c r="R339" s="68"/>
    </row>
    <row r="340" ht="15.75" customHeight="1">
      <c r="E340" s="68"/>
      <c r="J340" s="68"/>
      <c r="L340" s="68"/>
      <c r="M340" s="68"/>
      <c r="O340" s="68"/>
      <c r="R340" s="68"/>
    </row>
    <row r="341" ht="15.75" customHeight="1">
      <c r="E341" s="68"/>
      <c r="J341" s="68"/>
      <c r="L341" s="68"/>
      <c r="M341" s="68"/>
      <c r="O341" s="68"/>
      <c r="R341" s="68"/>
    </row>
    <row r="342" ht="15.75" customHeight="1">
      <c r="E342" s="68"/>
      <c r="J342" s="68"/>
      <c r="L342" s="68"/>
      <c r="M342" s="68"/>
      <c r="O342" s="68"/>
      <c r="R342" s="68"/>
    </row>
    <row r="343" ht="15.75" customHeight="1">
      <c r="E343" s="68"/>
      <c r="J343" s="68"/>
      <c r="L343" s="68"/>
      <c r="M343" s="68"/>
      <c r="O343" s="68"/>
      <c r="R343" s="68"/>
    </row>
    <row r="344" ht="15.75" customHeight="1">
      <c r="E344" s="68"/>
      <c r="J344" s="68"/>
      <c r="L344" s="68"/>
      <c r="M344" s="68"/>
      <c r="O344" s="68"/>
      <c r="R344" s="68"/>
    </row>
    <row r="345" ht="15.75" customHeight="1">
      <c r="E345" s="68"/>
      <c r="J345" s="68"/>
      <c r="L345" s="68"/>
      <c r="M345" s="68"/>
      <c r="O345" s="68"/>
      <c r="R345" s="68"/>
    </row>
    <row r="346" ht="15.75" customHeight="1">
      <c r="E346" s="68"/>
      <c r="J346" s="68"/>
      <c r="L346" s="68"/>
      <c r="M346" s="68"/>
      <c r="O346" s="68"/>
      <c r="R346" s="68"/>
    </row>
    <row r="347" ht="15.75" customHeight="1">
      <c r="E347" s="68"/>
      <c r="J347" s="68"/>
      <c r="L347" s="68"/>
      <c r="M347" s="68"/>
      <c r="O347" s="68"/>
      <c r="R347" s="68"/>
    </row>
    <row r="348" ht="15.75" customHeight="1">
      <c r="E348" s="68"/>
      <c r="J348" s="68"/>
      <c r="L348" s="68"/>
      <c r="M348" s="68"/>
      <c r="O348" s="68"/>
      <c r="R348" s="68"/>
    </row>
    <row r="349" ht="15.75" customHeight="1">
      <c r="E349" s="68"/>
      <c r="J349" s="68"/>
      <c r="L349" s="68"/>
      <c r="M349" s="68"/>
      <c r="O349" s="68"/>
      <c r="R349" s="68"/>
    </row>
    <row r="350" ht="15.75" customHeight="1">
      <c r="E350" s="68"/>
      <c r="J350" s="68"/>
      <c r="L350" s="68"/>
      <c r="M350" s="68"/>
      <c r="O350" s="68"/>
      <c r="R350" s="68"/>
    </row>
    <row r="351" ht="15.75" customHeight="1">
      <c r="E351" s="68"/>
      <c r="J351" s="68"/>
      <c r="L351" s="68"/>
      <c r="M351" s="68"/>
      <c r="O351" s="68"/>
      <c r="R351" s="68"/>
    </row>
    <row r="352" ht="15.75" customHeight="1">
      <c r="E352" s="68"/>
      <c r="J352" s="68"/>
      <c r="L352" s="68"/>
      <c r="M352" s="68"/>
      <c r="O352" s="68"/>
      <c r="R352" s="68"/>
    </row>
    <row r="353" ht="15.75" customHeight="1">
      <c r="E353" s="68"/>
      <c r="J353" s="68"/>
      <c r="L353" s="68"/>
      <c r="M353" s="68"/>
      <c r="O353" s="68"/>
      <c r="R353" s="68"/>
    </row>
    <row r="354" ht="15.75" customHeight="1">
      <c r="E354" s="68"/>
      <c r="J354" s="68"/>
      <c r="L354" s="68"/>
      <c r="M354" s="68"/>
      <c r="O354" s="68"/>
      <c r="R354" s="68"/>
    </row>
    <row r="355" ht="15.75" customHeight="1">
      <c r="E355" s="68"/>
      <c r="J355" s="68"/>
      <c r="L355" s="68"/>
      <c r="M355" s="68"/>
      <c r="O355" s="68"/>
      <c r="R355" s="68"/>
    </row>
    <row r="356" ht="15.75" customHeight="1">
      <c r="E356" s="68"/>
      <c r="J356" s="68"/>
      <c r="L356" s="68"/>
      <c r="M356" s="68"/>
      <c r="O356" s="68"/>
      <c r="R356" s="68"/>
    </row>
    <row r="357" ht="15.75" customHeight="1">
      <c r="E357" s="68"/>
      <c r="J357" s="68"/>
      <c r="L357" s="68"/>
      <c r="M357" s="68"/>
      <c r="O357" s="68"/>
      <c r="R357" s="68"/>
    </row>
    <row r="358" ht="15.75" customHeight="1">
      <c r="E358" s="68"/>
      <c r="J358" s="68"/>
      <c r="L358" s="68"/>
      <c r="M358" s="68"/>
      <c r="O358" s="68"/>
      <c r="R358" s="68"/>
    </row>
    <row r="359" ht="15.75" customHeight="1">
      <c r="E359" s="68"/>
      <c r="J359" s="68"/>
      <c r="L359" s="68"/>
      <c r="M359" s="68"/>
      <c r="O359" s="68"/>
      <c r="R359" s="68"/>
    </row>
    <row r="360" ht="15.75" customHeight="1">
      <c r="E360" s="68"/>
      <c r="J360" s="68"/>
      <c r="L360" s="68"/>
      <c r="M360" s="68"/>
      <c r="O360" s="68"/>
      <c r="R360" s="68"/>
    </row>
    <row r="361" ht="15.75" customHeight="1">
      <c r="E361" s="68"/>
      <c r="J361" s="68"/>
      <c r="L361" s="68"/>
      <c r="M361" s="68"/>
      <c r="O361" s="68"/>
      <c r="R361" s="68"/>
    </row>
    <row r="362" ht="15.75" customHeight="1">
      <c r="E362" s="68"/>
      <c r="J362" s="68"/>
      <c r="L362" s="68"/>
      <c r="M362" s="68"/>
      <c r="O362" s="68"/>
      <c r="R362" s="68"/>
    </row>
    <row r="363" ht="15.75" customHeight="1">
      <c r="E363" s="68"/>
      <c r="J363" s="68"/>
      <c r="L363" s="68"/>
      <c r="M363" s="68"/>
      <c r="O363" s="68"/>
      <c r="R363" s="68"/>
    </row>
    <row r="364" ht="15.75" customHeight="1">
      <c r="E364" s="68"/>
      <c r="J364" s="68"/>
      <c r="L364" s="68"/>
      <c r="M364" s="68"/>
      <c r="O364" s="68"/>
      <c r="R364" s="68"/>
    </row>
    <row r="365" ht="15.75" customHeight="1">
      <c r="E365" s="68"/>
      <c r="J365" s="68"/>
      <c r="L365" s="68"/>
      <c r="M365" s="68"/>
      <c r="O365" s="68"/>
      <c r="R365" s="68"/>
    </row>
    <row r="366" ht="15.75" customHeight="1">
      <c r="E366" s="68"/>
      <c r="J366" s="68"/>
      <c r="L366" s="68"/>
      <c r="M366" s="68"/>
      <c r="O366" s="68"/>
      <c r="R366" s="68"/>
    </row>
    <row r="367" ht="15.75" customHeight="1">
      <c r="E367" s="68"/>
      <c r="J367" s="68"/>
      <c r="L367" s="68"/>
      <c r="M367" s="68"/>
      <c r="O367" s="68"/>
      <c r="R367" s="68"/>
    </row>
    <row r="368" ht="15.75" customHeight="1">
      <c r="E368" s="68"/>
      <c r="J368" s="68"/>
      <c r="L368" s="68"/>
      <c r="M368" s="68"/>
      <c r="O368" s="68"/>
      <c r="R368" s="68"/>
    </row>
    <row r="369" ht="15.75" customHeight="1">
      <c r="E369" s="68"/>
      <c r="J369" s="68"/>
      <c r="L369" s="68"/>
      <c r="M369" s="68"/>
      <c r="O369" s="68"/>
      <c r="R369" s="68"/>
    </row>
    <row r="370" ht="15.75" customHeight="1">
      <c r="E370" s="68"/>
      <c r="J370" s="68"/>
      <c r="L370" s="68"/>
      <c r="M370" s="68"/>
      <c r="O370" s="68"/>
      <c r="R370" s="68"/>
    </row>
    <row r="371" ht="15.75" customHeight="1">
      <c r="E371" s="68"/>
      <c r="J371" s="68"/>
      <c r="L371" s="68"/>
      <c r="M371" s="68"/>
      <c r="O371" s="68"/>
      <c r="R371" s="68"/>
    </row>
    <row r="372" ht="15.75" customHeight="1">
      <c r="E372" s="68"/>
      <c r="J372" s="68"/>
      <c r="L372" s="68"/>
      <c r="M372" s="68"/>
      <c r="O372" s="68"/>
      <c r="R372" s="68"/>
    </row>
    <row r="373" ht="15.75" customHeight="1">
      <c r="E373" s="68"/>
      <c r="J373" s="68"/>
      <c r="L373" s="68"/>
      <c r="M373" s="68"/>
      <c r="O373" s="68"/>
      <c r="R373" s="68"/>
    </row>
    <row r="374" ht="15.75" customHeight="1">
      <c r="E374" s="68"/>
      <c r="J374" s="68"/>
      <c r="L374" s="68"/>
      <c r="M374" s="68"/>
      <c r="O374" s="68"/>
      <c r="R374" s="68"/>
    </row>
    <row r="375" ht="15.75" customHeight="1">
      <c r="E375" s="68"/>
      <c r="J375" s="68"/>
      <c r="L375" s="68"/>
      <c r="M375" s="68"/>
      <c r="O375" s="68"/>
      <c r="R375" s="68"/>
    </row>
    <row r="376" ht="15.75" customHeight="1">
      <c r="E376" s="68"/>
      <c r="J376" s="68"/>
      <c r="L376" s="68"/>
      <c r="M376" s="68"/>
      <c r="O376" s="68"/>
      <c r="R376" s="68"/>
    </row>
    <row r="377" ht="15.75" customHeight="1">
      <c r="E377" s="68"/>
      <c r="J377" s="68"/>
      <c r="L377" s="68"/>
      <c r="M377" s="68"/>
      <c r="O377" s="68"/>
      <c r="R377" s="68"/>
    </row>
    <row r="378" ht="15.75" customHeight="1">
      <c r="E378" s="68"/>
      <c r="J378" s="68"/>
      <c r="L378" s="68"/>
      <c r="M378" s="68"/>
      <c r="O378" s="68"/>
      <c r="R378" s="68"/>
    </row>
    <row r="379" ht="15.75" customHeight="1">
      <c r="E379" s="68"/>
      <c r="J379" s="68"/>
      <c r="L379" s="68"/>
      <c r="M379" s="68"/>
      <c r="O379" s="68"/>
      <c r="R379" s="68"/>
    </row>
    <row r="380" ht="15.75" customHeight="1">
      <c r="E380" s="68"/>
      <c r="J380" s="68"/>
      <c r="L380" s="68"/>
      <c r="M380" s="68"/>
      <c r="O380" s="68"/>
      <c r="R380" s="68"/>
    </row>
    <row r="381" ht="15.75" customHeight="1">
      <c r="E381" s="68"/>
      <c r="J381" s="68"/>
      <c r="L381" s="68"/>
      <c r="M381" s="68"/>
      <c r="O381" s="68"/>
      <c r="R381" s="68"/>
    </row>
    <row r="382" ht="15.75" customHeight="1">
      <c r="E382" s="68"/>
      <c r="J382" s="68"/>
      <c r="L382" s="68"/>
      <c r="M382" s="68"/>
      <c r="O382" s="68"/>
      <c r="R382" s="68"/>
    </row>
    <row r="383" ht="15.75" customHeight="1">
      <c r="E383" s="68"/>
      <c r="J383" s="68"/>
      <c r="L383" s="68"/>
      <c r="M383" s="68"/>
      <c r="O383" s="68"/>
      <c r="R383" s="68"/>
    </row>
    <row r="384" ht="15.75" customHeight="1">
      <c r="E384" s="68"/>
      <c r="J384" s="68"/>
      <c r="L384" s="68"/>
      <c r="M384" s="68"/>
      <c r="O384" s="68"/>
      <c r="R384" s="68"/>
    </row>
    <row r="385" ht="15.75" customHeight="1">
      <c r="E385" s="68"/>
      <c r="J385" s="68"/>
      <c r="L385" s="68"/>
      <c r="M385" s="68"/>
      <c r="O385" s="68"/>
      <c r="R385" s="68"/>
    </row>
    <row r="386" ht="15.75" customHeight="1">
      <c r="E386" s="68"/>
      <c r="J386" s="68"/>
      <c r="L386" s="68"/>
      <c r="M386" s="68"/>
      <c r="O386" s="68"/>
      <c r="R386" s="68"/>
    </row>
    <row r="387" ht="15.75" customHeight="1">
      <c r="E387" s="68"/>
      <c r="J387" s="68"/>
      <c r="L387" s="68"/>
      <c r="M387" s="68"/>
      <c r="O387" s="68"/>
      <c r="R387" s="68"/>
    </row>
    <row r="388" ht="15.75" customHeight="1">
      <c r="E388" s="68"/>
      <c r="J388" s="68"/>
      <c r="L388" s="68"/>
      <c r="M388" s="68"/>
      <c r="O388" s="68"/>
      <c r="R388" s="68"/>
    </row>
    <row r="389" ht="15.75" customHeight="1">
      <c r="E389" s="68"/>
      <c r="J389" s="68"/>
      <c r="L389" s="68"/>
      <c r="M389" s="68"/>
      <c r="O389" s="68"/>
      <c r="R389" s="68"/>
    </row>
    <row r="390" ht="15.75" customHeight="1">
      <c r="E390" s="68"/>
      <c r="J390" s="68"/>
      <c r="L390" s="68"/>
      <c r="M390" s="68"/>
      <c r="O390" s="68"/>
      <c r="R390" s="68"/>
    </row>
    <row r="391" ht="15.75" customHeight="1">
      <c r="E391" s="68"/>
      <c r="J391" s="68"/>
      <c r="L391" s="68"/>
      <c r="M391" s="68"/>
      <c r="O391" s="68"/>
      <c r="R391" s="68"/>
    </row>
    <row r="392" ht="15.75" customHeight="1">
      <c r="E392" s="68"/>
      <c r="J392" s="68"/>
      <c r="L392" s="68"/>
      <c r="M392" s="68"/>
      <c r="O392" s="68"/>
      <c r="R392" s="68"/>
    </row>
    <row r="393" ht="15.75" customHeight="1">
      <c r="E393" s="68"/>
      <c r="J393" s="68"/>
      <c r="L393" s="68"/>
      <c r="M393" s="68"/>
      <c r="O393" s="68"/>
      <c r="R393" s="68"/>
    </row>
    <row r="394" ht="15.75" customHeight="1">
      <c r="E394" s="68"/>
      <c r="J394" s="68"/>
      <c r="L394" s="68"/>
      <c r="M394" s="68"/>
      <c r="O394" s="68"/>
      <c r="R394" s="68"/>
    </row>
    <row r="395" ht="15.75" customHeight="1">
      <c r="E395" s="68"/>
      <c r="J395" s="68"/>
      <c r="L395" s="68"/>
      <c r="M395" s="68"/>
      <c r="O395" s="68"/>
      <c r="R395" s="68"/>
    </row>
    <row r="396" ht="15.75" customHeight="1">
      <c r="E396" s="68"/>
      <c r="J396" s="68"/>
      <c r="L396" s="68"/>
      <c r="M396" s="68"/>
      <c r="O396" s="68"/>
      <c r="R396" s="68"/>
    </row>
    <row r="397" ht="15.75" customHeight="1">
      <c r="E397" s="68"/>
      <c r="J397" s="68"/>
      <c r="L397" s="68"/>
      <c r="M397" s="68"/>
      <c r="O397" s="68"/>
      <c r="R397" s="68"/>
    </row>
    <row r="398" ht="15.75" customHeight="1">
      <c r="E398" s="68"/>
      <c r="J398" s="68"/>
      <c r="L398" s="68"/>
      <c r="M398" s="68"/>
      <c r="O398" s="68"/>
      <c r="R398" s="68"/>
    </row>
    <row r="399" ht="15.75" customHeight="1">
      <c r="E399" s="68"/>
      <c r="J399" s="68"/>
      <c r="L399" s="68"/>
      <c r="M399" s="68"/>
      <c r="O399" s="68"/>
      <c r="R399" s="68"/>
    </row>
    <row r="400" ht="15.75" customHeight="1">
      <c r="E400" s="68"/>
      <c r="J400" s="68"/>
      <c r="L400" s="68"/>
      <c r="M400" s="68"/>
      <c r="O400" s="68"/>
      <c r="R400" s="68"/>
    </row>
    <row r="401" ht="15.75" customHeight="1">
      <c r="E401" s="68"/>
      <c r="J401" s="68"/>
      <c r="L401" s="68"/>
      <c r="M401" s="68"/>
      <c r="O401" s="68"/>
      <c r="R401" s="68"/>
    </row>
    <row r="402" ht="15.75" customHeight="1">
      <c r="E402" s="68"/>
      <c r="J402" s="68"/>
      <c r="L402" s="68"/>
      <c r="M402" s="68"/>
      <c r="O402" s="68"/>
      <c r="R402" s="68"/>
    </row>
    <row r="403" ht="15.75" customHeight="1">
      <c r="E403" s="68"/>
      <c r="J403" s="68"/>
      <c r="L403" s="68"/>
      <c r="M403" s="68"/>
      <c r="O403" s="68"/>
      <c r="R403" s="68"/>
    </row>
    <row r="404" ht="15.75" customHeight="1">
      <c r="E404" s="68"/>
      <c r="J404" s="68"/>
      <c r="L404" s="68"/>
      <c r="M404" s="68"/>
      <c r="O404" s="68"/>
      <c r="R404" s="68"/>
    </row>
    <row r="405" ht="15.75" customHeight="1">
      <c r="E405" s="68"/>
      <c r="J405" s="68"/>
      <c r="L405" s="68"/>
      <c r="M405" s="68"/>
      <c r="O405" s="68"/>
      <c r="R405" s="68"/>
    </row>
    <row r="406" ht="15.75" customHeight="1">
      <c r="E406" s="68"/>
      <c r="J406" s="68"/>
      <c r="L406" s="68"/>
      <c r="M406" s="68"/>
      <c r="O406" s="68"/>
      <c r="R406" s="68"/>
    </row>
    <row r="407" ht="15.75" customHeight="1">
      <c r="E407" s="68"/>
      <c r="J407" s="68"/>
      <c r="L407" s="68"/>
      <c r="M407" s="68"/>
      <c r="O407" s="68"/>
      <c r="R407" s="68"/>
    </row>
    <row r="408" ht="15.75" customHeight="1">
      <c r="E408" s="68"/>
      <c r="J408" s="68"/>
      <c r="L408" s="68"/>
      <c r="M408" s="68"/>
      <c r="O408" s="68"/>
      <c r="R408" s="68"/>
    </row>
    <row r="409" ht="15.75" customHeight="1">
      <c r="E409" s="68"/>
      <c r="J409" s="68"/>
      <c r="L409" s="68"/>
      <c r="M409" s="68"/>
      <c r="O409" s="68"/>
      <c r="R409" s="68"/>
    </row>
    <row r="410" ht="15.75" customHeight="1">
      <c r="E410" s="68"/>
      <c r="J410" s="68"/>
      <c r="L410" s="68"/>
      <c r="M410" s="68"/>
      <c r="O410" s="68"/>
      <c r="R410" s="68"/>
    </row>
    <row r="411" ht="15.75" customHeight="1">
      <c r="E411" s="68"/>
      <c r="J411" s="68"/>
      <c r="L411" s="68"/>
      <c r="M411" s="68"/>
      <c r="O411" s="68"/>
      <c r="R411" s="68"/>
    </row>
    <row r="412" ht="15.75" customHeight="1">
      <c r="E412" s="68"/>
      <c r="J412" s="68"/>
      <c r="L412" s="68"/>
      <c r="M412" s="68"/>
      <c r="O412" s="68"/>
      <c r="R412" s="68"/>
    </row>
    <row r="413" ht="15.75" customHeight="1">
      <c r="E413" s="68"/>
      <c r="J413" s="68"/>
      <c r="L413" s="68"/>
      <c r="M413" s="68"/>
      <c r="O413" s="68"/>
      <c r="R413" s="68"/>
    </row>
    <row r="414" ht="15.75" customHeight="1">
      <c r="E414" s="68"/>
      <c r="J414" s="68"/>
      <c r="L414" s="68"/>
      <c r="M414" s="68"/>
      <c r="O414" s="68"/>
      <c r="R414" s="68"/>
    </row>
    <row r="415" ht="15.75" customHeight="1">
      <c r="E415" s="68"/>
      <c r="J415" s="68"/>
      <c r="L415" s="68"/>
      <c r="M415" s="68"/>
      <c r="O415" s="68"/>
      <c r="R415" s="68"/>
    </row>
    <row r="416" ht="15.75" customHeight="1">
      <c r="E416" s="68"/>
      <c r="J416" s="68"/>
      <c r="L416" s="68"/>
      <c r="M416" s="68"/>
      <c r="O416" s="68"/>
      <c r="R416" s="68"/>
    </row>
    <row r="417" ht="15.75" customHeight="1">
      <c r="E417" s="68"/>
      <c r="J417" s="68"/>
      <c r="L417" s="68"/>
      <c r="M417" s="68"/>
      <c r="O417" s="68"/>
      <c r="R417" s="68"/>
    </row>
    <row r="418" ht="15.75" customHeight="1">
      <c r="E418" s="68"/>
      <c r="J418" s="68"/>
      <c r="L418" s="68"/>
      <c r="M418" s="68"/>
      <c r="O418" s="68"/>
      <c r="R418" s="68"/>
    </row>
    <row r="419" ht="15.75" customHeight="1">
      <c r="E419" s="68"/>
      <c r="J419" s="68"/>
      <c r="L419" s="68"/>
      <c r="M419" s="68"/>
      <c r="O419" s="68"/>
      <c r="R419" s="68"/>
    </row>
    <row r="420" ht="15.75" customHeight="1">
      <c r="E420" s="68"/>
      <c r="J420" s="68"/>
      <c r="L420" s="68"/>
      <c r="M420" s="68"/>
      <c r="O420" s="68"/>
      <c r="R420" s="68"/>
    </row>
    <row r="421" ht="15.75" customHeight="1">
      <c r="E421" s="68"/>
      <c r="J421" s="68"/>
      <c r="L421" s="68"/>
      <c r="M421" s="68"/>
      <c r="O421" s="68"/>
      <c r="R421" s="68"/>
    </row>
    <row r="422" ht="15.75" customHeight="1">
      <c r="E422" s="68"/>
      <c r="J422" s="68"/>
      <c r="L422" s="68"/>
      <c r="M422" s="68"/>
      <c r="O422" s="68"/>
      <c r="R422" s="68"/>
    </row>
    <row r="423" ht="15.75" customHeight="1">
      <c r="E423" s="68"/>
      <c r="J423" s="68"/>
      <c r="L423" s="68"/>
      <c r="M423" s="68"/>
      <c r="O423" s="68"/>
      <c r="R423" s="68"/>
    </row>
    <row r="424" ht="15.75" customHeight="1">
      <c r="E424" s="68"/>
      <c r="J424" s="68"/>
      <c r="L424" s="68"/>
      <c r="M424" s="68"/>
      <c r="O424" s="68"/>
      <c r="R424" s="68"/>
    </row>
    <row r="425" ht="15.75" customHeight="1">
      <c r="E425" s="68"/>
      <c r="J425" s="68"/>
      <c r="L425" s="68"/>
      <c r="M425" s="68"/>
      <c r="O425" s="68"/>
      <c r="R425" s="68"/>
    </row>
    <row r="426" ht="15.75" customHeight="1">
      <c r="E426" s="68"/>
      <c r="J426" s="68"/>
      <c r="L426" s="68"/>
      <c r="M426" s="68"/>
      <c r="O426" s="68"/>
      <c r="R426" s="68"/>
    </row>
    <row r="427" ht="15.75" customHeight="1">
      <c r="E427" s="68"/>
      <c r="J427" s="68"/>
      <c r="L427" s="68"/>
      <c r="M427" s="68"/>
      <c r="O427" s="68"/>
      <c r="R427" s="68"/>
    </row>
    <row r="428" ht="15.75" customHeight="1">
      <c r="E428" s="68"/>
      <c r="J428" s="68"/>
      <c r="L428" s="68"/>
      <c r="M428" s="68"/>
      <c r="O428" s="68"/>
      <c r="R428" s="68"/>
    </row>
    <row r="429" ht="15.75" customHeight="1">
      <c r="E429" s="68"/>
      <c r="J429" s="68"/>
      <c r="L429" s="68"/>
      <c r="M429" s="68"/>
      <c r="O429" s="68"/>
      <c r="R429" s="68"/>
    </row>
    <row r="430" ht="15.75" customHeight="1">
      <c r="E430" s="68"/>
      <c r="J430" s="68"/>
      <c r="L430" s="68"/>
      <c r="M430" s="68"/>
      <c r="O430" s="68"/>
      <c r="R430" s="68"/>
    </row>
    <row r="431" ht="15.75" customHeight="1">
      <c r="E431" s="68"/>
      <c r="J431" s="68"/>
      <c r="L431" s="68"/>
      <c r="M431" s="68"/>
      <c r="O431" s="68"/>
      <c r="R431" s="68"/>
    </row>
    <row r="432" ht="15.75" customHeight="1">
      <c r="E432" s="68"/>
      <c r="J432" s="68"/>
      <c r="L432" s="68"/>
      <c r="M432" s="68"/>
      <c r="O432" s="68"/>
      <c r="R432" s="68"/>
    </row>
    <row r="433" ht="15.75" customHeight="1">
      <c r="E433" s="68"/>
      <c r="J433" s="68"/>
      <c r="L433" s="68"/>
      <c r="M433" s="68"/>
      <c r="O433" s="68"/>
      <c r="R433" s="68"/>
    </row>
    <row r="434" ht="15.75" customHeight="1">
      <c r="E434" s="68"/>
      <c r="J434" s="68"/>
      <c r="L434" s="68"/>
      <c r="M434" s="68"/>
      <c r="O434" s="68"/>
      <c r="R434" s="68"/>
    </row>
    <row r="435" ht="15.75" customHeight="1">
      <c r="E435" s="68"/>
      <c r="J435" s="68"/>
      <c r="L435" s="68"/>
      <c r="M435" s="68"/>
      <c r="O435" s="68"/>
      <c r="R435" s="68"/>
    </row>
    <row r="436" ht="15.75" customHeight="1">
      <c r="E436" s="68"/>
      <c r="J436" s="68"/>
      <c r="L436" s="68"/>
      <c r="M436" s="68"/>
      <c r="O436" s="68"/>
      <c r="R436" s="68"/>
    </row>
    <row r="437" ht="15.75" customHeight="1">
      <c r="E437" s="68"/>
      <c r="J437" s="68"/>
      <c r="L437" s="68"/>
      <c r="M437" s="68"/>
      <c r="O437" s="68"/>
      <c r="R437" s="68"/>
    </row>
    <row r="438" ht="15.75" customHeight="1">
      <c r="E438" s="68"/>
      <c r="J438" s="68"/>
      <c r="L438" s="68"/>
      <c r="M438" s="68"/>
      <c r="O438" s="68"/>
      <c r="R438" s="68"/>
    </row>
    <row r="439" ht="15.75" customHeight="1">
      <c r="E439" s="68"/>
      <c r="J439" s="68"/>
      <c r="L439" s="68"/>
      <c r="M439" s="68"/>
      <c r="O439" s="68"/>
      <c r="R439" s="68"/>
    </row>
    <row r="440" ht="15.75" customHeight="1">
      <c r="E440" s="68"/>
      <c r="J440" s="68"/>
      <c r="L440" s="68"/>
      <c r="M440" s="68"/>
      <c r="O440" s="68"/>
      <c r="R440" s="68"/>
    </row>
    <row r="441" ht="15.75" customHeight="1">
      <c r="E441" s="68"/>
      <c r="J441" s="68"/>
      <c r="L441" s="68"/>
      <c r="M441" s="68"/>
      <c r="O441" s="68"/>
      <c r="R441" s="68"/>
    </row>
    <row r="442" ht="15.75" customHeight="1">
      <c r="E442" s="68"/>
      <c r="J442" s="68"/>
      <c r="L442" s="68"/>
      <c r="M442" s="68"/>
      <c r="O442" s="68"/>
      <c r="R442" s="68"/>
    </row>
    <row r="443" ht="15.75" customHeight="1">
      <c r="E443" s="68"/>
      <c r="J443" s="68"/>
      <c r="L443" s="68"/>
      <c r="M443" s="68"/>
      <c r="O443" s="68"/>
      <c r="R443" s="68"/>
    </row>
    <row r="444" ht="15.75" customHeight="1">
      <c r="E444" s="68"/>
      <c r="J444" s="68"/>
      <c r="L444" s="68"/>
      <c r="M444" s="68"/>
      <c r="O444" s="68"/>
      <c r="R444" s="68"/>
    </row>
    <row r="445" ht="15.75" customHeight="1">
      <c r="E445" s="68"/>
      <c r="J445" s="68"/>
      <c r="L445" s="68"/>
      <c r="M445" s="68"/>
      <c r="O445" s="68"/>
      <c r="R445" s="68"/>
    </row>
    <row r="446" ht="15.75" customHeight="1">
      <c r="E446" s="68"/>
      <c r="J446" s="68"/>
      <c r="L446" s="68"/>
      <c r="M446" s="68"/>
      <c r="O446" s="68"/>
      <c r="R446" s="68"/>
    </row>
    <row r="447" ht="15.75" customHeight="1">
      <c r="E447" s="68"/>
      <c r="J447" s="68"/>
      <c r="L447" s="68"/>
      <c r="M447" s="68"/>
      <c r="O447" s="68"/>
      <c r="R447" s="68"/>
    </row>
    <row r="448" ht="15.75" customHeight="1">
      <c r="E448" s="68"/>
      <c r="J448" s="68"/>
      <c r="L448" s="68"/>
      <c r="M448" s="68"/>
      <c r="O448" s="68"/>
      <c r="R448" s="68"/>
    </row>
    <row r="449" ht="15.75" customHeight="1">
      <c r="E449" s="68"/>
      <c r="J449" s="68"/>
      <c r="L449" s="68"/>
      <c r="M449" s="68"/>
      <c r="O449" s="68"/>
      <c r="R449" s="68"/>
    </row>
    <row r="450" ht="15.75" customHeight="1">
      <c r="E450" s="68"/>
      <c r="J450" s="68"/>
      <c r="L450" s="68"/>
      <c r="M450" s="68"/>
      <c r="O450" s="68"/>
      <c r="R450" s="68"/>
    </row>
    <row r="451" ht="15.75" customHeight="1">
      <c r="E451" s="68"/>
      <c r="J451" s="68"/>
      <c r="L451" s="68"/>
      <c r="M451" s="68"/>
      <c r="O451" s="68"/>
      <c r="R451" s="68"/>
    </row>
    <row r="452" ht="15.75" customHeight="1">
      <c r="E452" s="68"/>
      <c r="J452" s="68"/>
      <c r="L452" s="68"/>
      <c r="M452" s="68"/>
      <c r="O452" s="68"/>
      <c r="R452" s="68"/>
    </row>
    <row r="453" ht="15.75" customHeight="1">
      <c r="E453" s="68"/>
      <c r="J453" s="68"/>
      <c r="L453" s="68"/>
      <c r="M453" s="68"/>
      <c r="O453" s="68"/>
      <c r="R453" s="68"/>
    </row>
    <row r="454" ht="15.75" customHeight="1">
      <c r="E454" s="68"/>
      <c r="J454" s="68"/>
      <c r="L454" s="68"/>
      <c r="M454" s="68"/>
      <c r="O454" s="68"/>
      <c r="R454" s="68"/>
    </row>
    <row r="455" ht="15.75" customHeight="1">
      <c r="E455" s="68"/>
      <c r="J455" s="68"/>
      <c r="L455" s="68"/>
      <c r="M455" s="68"/>
      <c r="O455" s="68"/>
      <c r="R455" s="68"/>
    </row>
    <row r="456" ht="15.75" customHeight="1">
      <c r="E456" s="68"/>
      <c r="J456" s="68"/>
      <c r="L456" s="68"/>
      <c r="M456" s="68"/>
      <c r="O456" s="68"/>
      <c r="R456" s="68"/>
    </row>
    <row r="457" ht="15.75" customHeight="1">
      <c r="E457" s="68"/>
      <c r="J457" s="68"/>
      <c r="L457" s="68"/>
      <c r="M457" s="68"/>
      <c r="O457" s="68"/>
      <c r="R457" s="68"/>
    </row>
    <row r="458" ht="15.75" customHeight="1">
      <c r="E458" s="68"/>
      <c r="J458" s="68"/>
      <c r="L458" s="68"/>
      <c r="M458" s="68"/>
      <c r="O458" s="68"/>
      <c r="R458" s="68"/>
    </row>
    <row r="459" ht="15.75" customHeight="1">
      <c r="E459" s="68"/>
      <c r="J459" s="68"/>
      <c r="L459" s="68"/>
      <c r="M459" s="68"/>
      <c r="O459" s="68"/>
      <c r="R459" s="68"/>
    </row>
    <row r="460" ht="15.75" customHeight="1">
      <c r="E460" s="68"/>
      <c r="J460" s="68"/>
      <c r="L460" s="68"/>
      <c r="M460" s="68"/>
      <c r="O460" s="68"/>
      <c r="R460" s="68"/>
    </row>
    <row r="461" ht="15.75" customHeight="1">
      <c r="E461" s="68"/>
      <c r="J461" s="68"/>
      <c r="L461" s="68"/>
      <c r="M461" s="68"/>
      <c r="O461" s="68"/>
      <c r="R461" s="68"/>
    </row>
    <row r="462" ht="15.75" customHeight="1">
      <c r="E462" s="68"/>
      <c r="J462" s="68"/>
      <c r="L462" s="68"/>
      <c r="M462" s="68"/>
      <c r="O462" s="68"/>
      <c r="R462" s="68"/>
    </row>
    <row r="463" ht="15.75" customHeight="1">
      <c r="E463" s="68"/>
      <c r="J463" s="68"/>
      <c r="L463" s="68"/>
      <c r="M463" s="68"/>
      <c r="O463" s="68"/>
      <c r="R463" s="68"/>
    </row>
    <row r="464" ht="15.75" customHeight="1">
      <c r="E464" s="68"/>
      <c r="J464" s="68"/>
      <c r="L464" s="68"/>
      <c r="M464" s="68"/>
      <c r="O464" s="68"/>
      <c r="R464" s="68"/>
    </row>
    <row r="465" ht="15.75" customHeight="1">
      <c r="E465" s="68"/>
      <c r="J465" s="68"/>
      <c r="L465" s="68"/>
      <c r="M465" s="68"/>
      <c r="O465" s="68"/>
      <c r="R465" s="68"/>
    </row>
    <row r="466" ht="15.75" customHeight="1">
      <c r="E466" s="68"/>
      <c r="J466" s="68"/>
      <c r="L466" s="68"/>
      <c r="M466" s="68"/>
      <c r="O466" s="68"/>
      <c r="R466" s="68"/>
    </row>
    <row r="467" ht="15.75" customHeight="1">
      <c r="E467" s="68"/>
      <c r="J467" s="68"/>
      <c r="L467" s="68"/>
      <c r="M467" s="68"/>
      <c r="O467" s="68"/>
      <c r="R467" s="68"/>
    </row>
    <row r="468" ht="15.75" customHeight="1">
      <c r="E468" s="68"/>
      <c r="J468" s="68"/>
      <c r="L468" s="68"/>
      <c r="M468" s="68"/>
      <c r="O468" s="68"/>
      <c r="R468" s="68"/>
    </row>
    <row r="469" ht="15.75" customHeight="1">
      <c r="E469" s="68"/>
      <c r="J469" s="68"/>
      <c r="L469" s="68"/>
      <c r="M469" s="68"/>
      <c r="O469" s="68"/>
      <c r="R469" s="68"/>
    </row>
    <row r="470" ht="15.75" customHeight="1">
      <c r="E470" s="68"/>
      <c r="J470" s="68"/>
      <c r="L470" s="68"/>
      <c r="M470" s="68"/>
      <c r="O470" s="68"/>
      <c r="R470" s="68"/>
    </row>
    <row r="471" ht="15.75" customHeight="1">
      <c r="E471" s="68"/>
      <c r="J471" s="68"/>
      <c r="L471" s="68"/>
      <c r="M471" s="68"/>
      <c r="O471" s="68"/>
      <c r="R471" s="68"/>
    </row>
    <row r="472" ht="15.75" customHeight="1">
      <c r="E472" s="68"/>
      <c r="J472" s="68"/>
      <c r="L472" s="68"/>
      <c r="M472" s="68"/>
      <c r="O472" s="68"/>
      <c r="R472" s="68"/>
    </row>
    <row r="473" ht="15.75" customHeight="1">
      <c r="E473" s="68"/>
      <c r="J473" s="68"/>
      <c r="L473" s="68"/>
      <c r="M473" s="68"/>
      <c r="O473" s="68"/>
      <c r="R473" s="68"/>
    </row>
    <row r="474" ht="15.75" customHeight="1">
      <c r="E474" s="68"/>
      <c r="J474" s="68"/>
      <c r="L474" s="68"/>
      <c r="M474" s="68"/>
      <c r="O474" s="68"/>
      <c r="R474" s="68"/>
    </row>
    <row r="475" ht="15.75" customHeight="1">
      <c r="E475" s="68"/>
      <c r="J475" s="68"/>
      <c r="L475" s="68"/>
      <c r="M475" s="68"/>
      <c r="O475" s="68"/>
      <c r="R475" s="68"/>
    </row>
    <row r="476" ht="15.75" customHeight="1">
      <c r="E476" s="68"/>
      <c r="J476" s="68"/>
      <c r="L476" s="68"/>
      <c r="M476" s="68"/>
      <c r="O476" s="68"/>
      <c r="R476" s="68"/>
    </row>
    <row r="477" ht="15.75" customHeight="1">
      <c r="E477" s="68"/>
      <c r="J477" s="68"/>
      <c r="L477" s="68"/>
      <c r="M477" s="68"/>
      <c r="O477" s="68"/>
      <c r="R477" s="68"/>
    </row>
    <row r="478" ht="15.75" customHeight="1">
      <c r="E478" s="68"/>
      <c r="J478" s="68"/>
      <c r="L478" s="68"/>
      <c r="M478" s="68"/>
      <c r="O478" s="68"/>
      <c r="R478" s="68"/>
    </row>
    <row r="479" ht="15.75" customHeight="1">
      <c r="E479" s="68"/>
      <c r="J479" s="68"/>
      <c r="L479" s="68"/>
      <c r="M479" s="68"/>
      <c r="O479" s="68"/>
      <c r="R479" s="68"/>
    </row>
    <row r="480" ht="15.75" customHeight="1">
      <c r="E480" s="68"/>
      <c r="J480" s="68"/>
      <c r="L480" s="68"/>
      <c r="M480" s="68"/>
      <c r="O480" s="68"/>
      <c r="R480" s="68"/>
    </row>
    <row r="481" ht="15.75" customHeight="1">
      <c r="E481" s="68"/>
      <c r="J481" s="68"/>
      <c r="L481" s="68"/>
      <c r="M481" s="68"/>
      <c r="O481" s="68"/>
      <c r="R481" s="68"/>
    </row>
    <row r="482" ht="15.75" customHeight="1">
      <c r="E482" s="68"/>
      <c r="J482" s="68"/>
      <c r="L482" s="68"/>
      <c r="M482" s="68"/>
      <c r="O482" s="68"/>
      <c r="R482" s="68"/>
    </row>
    <row r="483" ht="15.75" customHeight="1">
      <c r="E483" s="68"/>
      <c r="J483" s="68"/>
      <c r="L483" s="68"/>
      <c r="M483" s="68"/>
      <c r="O483" s="68"/>
      <c r="R483" s="68"/>
    </row>
    <row r="484" ht="15.75" customHeight="1">
      <c r="E484" s="68"/>
      <c r="J484" s="68"/>
      <c r="L484" s="68"/>
      <c r="M484" s="68"/>
      <c r="O484" s="68"/>
      <c r="R484" s="68"/>
    </row>
    <row r="485" ht="15.75" customHeight="1">
      <c r="E485" s="68"/>
      <c r="J485" s="68"/>
      <c r="L485" s="68"/>
      <c r="M485" s="68"/>
      <c r="O485" s="68"/>
      <c r="R485" s="68"/>
    </row>
    <row r="486" ht="15.75" customHeight="1">
      <c r="E486" s="68"/>
      <c r="J486" s="68"/>
      <c r="L486" s="68"/>
      <c r="M486" s="68"/>
      <c r="O486" s="68"/>
      <c r="R486" s="68"/>
    </row>
    <row r="487" ht="15.75" customHeight="1">
      <c r="E487" s="68"/>
      <c r="J487" s="68"/>
      <c r="L487" s="68"/>
      <c r="M487" s="68"/>
      <c r="O487" s="68"/>
      <c r="R487" s="68"/>
    </row>
    <row r="488" ht="15.75" customHeight="1">
      <c r="E488" s="68"/>
      <c r="J488" s="68"/>
      <c r="L488" s="68"/>
      <c r="M488" s="68"/>
      <c r="O488" s="68"/>
      <c r="R488" s="68"/>
    </row>
    <row r="489" ht="15.75" customHeight="1">
      <c r="E489" s="68"/>
      <c r="J489" s="68"/>
      <c r="L489" s="68"/>
      <c r="M489" s="68"/>
      <c r="O489" s="68"/>
      <c r="R489" s="68"/>
    </row>
    <row r="490" ht="15.75" customHeight="1">
      <c r="E490" s="68"/>
      <c r="J490" s="68"/>
      <c r="L490" s="68"/>
      <c r="M490" s="68"/>
      <c r="O490" s="68"/>
      <c r="R490" s="68"/>
    </row>
    <row r="491" ht="15.75" customHeight="1">
      <c r="E491" s="68"/>
      <c r="J491" s="68"/>
      <c r="L491" s="68"/>
      <c r="M491" s="68"/>
      <c r="O491" s="68"/>
      <c r="R491" s="68"/>
    </row>
    <row r="492" ht="15.75" customHeight="1">
      <c r="E492" s="68"/>
      <c r="J492" s="68"/>
      <c r="L492" s="68"/>
      <c r="M492" s="68"/>
      <c r="O492" s="68"/>
      <c r="R492" s="68"/>
    </row>
    <row r="493" ht="15.75" customHeight="1">
      <c r="E493" s="68"/>
      <c r="J493" s="68"/>
      <c r="L493" s="68"/>
      <c r="M493" s="68"/>
      <c r="O493" s="68"/>
      <c r="R493" s="68"/>
    </row>
    <row r="494" ht="15.75" customHeight="1">
      <c r="E494" s="68"/>
      <c r="J494" s="68"/>
      <c r="L494" s="68"/>
      <c r="M494" s="68"/>
      <c r="O494" s="68"/>
      <c r="R494" s="68"/>
    </row>
    <row r="495" ht="15.75" customHeight="1">
      <c r="E495" s="68"/>
      <c r="J495" s="68"/>
      <c r="L495" s="68"/>
      <c r="M495" s="68"/>
      <c r="O495" s="68"/>
      <c r="R495" s="68"/>
    </row>
    <row r="496" ht="15.75" customHeight="1">
      <c r="E496" s="68"/>
      <c r="J496" s="68"/>
      <c r="L496" s="68"/>
      <c r="M496" s="68"/>
      <c r="O496" s="68"/>
      <c r="R496" s="68"/>
    </row>
    <row r="497" ht="15.75" customHeight="1">
      <c r="E497" s="68"/>
      <c r="J497" s="68"/>
      <c r="L497" s="68"/>
      <c r="M497" s="68"/>
      <c r="O497" s="68"/>
      <c r="R497" s="68"/>
    </row>
    <row r="498" ht="15.75" customHeight="1">
      <c r="E498" s="68"/>
      <c r="J498" s="68"/>
      <c r="L498" s="68"/>
      <c r="M498" s="68"/>
      <c r="O498" s="68"/>
      <c r="R498" s="68"/>
    </row>
    <row r="499" ht="15.75" customHeight="1">
      <c r="E499" s="68"/>
      <c r="J499" s="68"/>
      <c r="L499" s="68"/>
      <c r="M499" s="68"/>
      <c r="O499" s="68"/>
      <c r="R499" s="68"/>
    </row>
    <row r="500" ht="15.75" customHeight="1">
      <c r="E500" s="68"/>
      <c r="J500" s="68"/>
      <c r="L500" s="68"/>
      <c r="M500" s="68"/>
      <c r="O500" s="68"/>
      <c r="R500" s="68"/>
    </row>
    <row r="501" ht="15.75" customHeight="1">
      <c r="E501" s="68"/>
      <c r="J501" s="68"/>
      <c r="L501" s="68"/>
      <c r="M501" s="68"/>
      <c r="O501" s="68"/>
      <c r="R501" s="68"/>
    </row>
    <row r="502" ht="15.75" customHeight="1">
      <c r="E502" s="68"/>
      <c r="J502" s="68"/>
      <c r="L502" s="68"/>
      <c r="M502" s="68"/>
      <c r="O502" s="68"/>
      <c r="R502" s="68"/>
    </row>
    <row r="503" ht="15.75" customHeight="1">
      <c r="E503" s="68"/>
      <c r="J503" s="68"/>
      <c r="L503" s="68"/>
      <c r="M503" s="68"/>
      <c r="O503" s="68"/>
      <c r="R503" s="68"/>
    </row>
    <row r="504" ht="15.75" customHeight="1">
      <c r="E504" s="68"/>
      <c r="J504" s="68"/>
      <c r="L504" s="68"/>
      <c r="M504" s="68"/>
      <c r="O504" s="68"/>
      <c r="R504" s="68"/>
    </row>
    <row r="505" ht="15.75" customHeight="1">
      <c r="E505" s="68"/>
      <c r="J505" s="68"/>
      <c r="L505" s="68"/>
      <c r="M505" s="68"/>
      <c r="O505" s="68"/>
      <c r="R505" s="68"/>
    </row>
    <row r="506" ht="15.75" customHeight="1">
      <c r="E506" s="68"/>
      <c r="J506" s="68"/>
      <c r="L506" s="68"/>
      <c r="M506" s="68"/>
      <c r="O506" s="68"/>
      <c r="R506" s="68"/>
    </row>
    <row r="507" ht="15.75" customHeight="1">
      <c r="E507" s="68"/>
      <c r="J507" s="68"/>
      <c r="L507" s="68"/>
      <c r="M507" s="68"/>
      <c r="O507" s="68"/>
      <c r="R507" s="68"/>
    </row>
    <row r="508" ht="15.75" customHeight="1">
      <c r="E508" s="68"/>
      <c r="J508" s="68"/>
      <c r="L508" s="68"/>
      <c r="M508" s="68"/>
      <c r="O508" s="68"/>
      <c r="R508" s="68"/>
    </row>
    <row r="509" ht="15.75" customHeight="1">
      <c r="E509" s="68"/>
      <c r="J509" s="68"/>
      <c r="L509" s="68"/>
      <c r="M509" s="68"/>
      <c r="O509" s="68"/>
      <c r="R509" s="68"/>
    </row>
    <row r="510" ht="15.75" customHeight="1">
      <c r="E510" s="68"/>
      <c r="J510" s="68"/>
      <c r="L510" s="68"/>
      <c r="M510" s="68"/>
      <c r="O510" s="68"/>
      <c r="R510" s="68"/>
    </row>
    <row r="511" ht="15.75" customHeight="1">
      <c r="E511" s="68"/>
      <c r="J511" s="68"/>
      <c r="L511" s="68"/>
      <c r="M511" s="68"/>
      <c r="O511" s="68"/>
      <c r="R511" s="68"/>
    </row>
    <row r="512" ht="15.75" customHeight="1">
      <c r="E512" s="68"/>
      <c r="J512" s="68"/>
      <c r="L512" s="68"/>
      <c r="M512" s="68"/>
      <c r="O512" s="68"/>
      <c r="R512" s="68"/>
    </row>
    <row r="513" ht="15.75" customHeight="1">
      <c r="E513" s="68"/>
      <c r="J513" s="68"/>
      <c r="L513" s="68"/>
      <c r="M513" s="68"/>
      <c r="O513" s="68"/>
      <c r="R513" s="68"/>
    </row>
    <row r="514" ht="15.75" customHeight="1">
      <c r="E514" s="68"/>
      <c r="J514" s="68"/>
      <c r="L514" s="68"/>
      <c r="M514" s="68"/>
      <c r="O514" s="68"/>
      <c r="R514" s="68"/>
    </row>
    <row r="515" ht="15.75" customHeight="1">
      <c r="E515" s="68"/>
      <c r="J515" s="68"/>
      <c r="L515" s="68"/>
      <c r="M515" s="68"/>
      <c r="O515" s="68"/>
      <c r="R515" s="68"/>
    </row>
    <row r="516" ht="15.75" customHeight="1">
      <c r="E516" s="68"/>
      <c r="J516" s="68"/>
      <c r="L516" s="68"/>
      <c r="M516" s="68"/>
      <c r="O516" s="68"/>
      <c r="R516" s="68"/>
    </row>
    <row r="517" ht="15.75" customHeight="1">
      <c r="E517" s="68"/>
      <c r="J517" s="68"/>
      <c r="L517" s="68"/>
      <c r="M517" s="68"/>
      <c r="O517" s="68"/>
      <c r="R517" s="68"/>
    </row>
    <row r="518" ht="15.75" customHeight="1">
      <c r="E518" s="68"/>
      <c r="J518" s="68"/>
      <c r="L518" s="68"/>
      <c r="M518" s="68"/>
      <c r="O518" s="68"/>
      <c r="R518" s="68"/>
    </row>
    <row r="519" ht="15.75" customHeight="1">
      <c r="E519" s="68"/>
      <c r="J519" s="68"/>
      <c r="L519" s="68"/>
      <c r="M519" s="68"/>
      <c r="O519" s="68"/>
      <c r="R519" s="68"/>
    </row>
    <row r="520" ht="15.75" customHeight="1">
      <c r="E520" s="68"/>
      <c r="J520" s="68"/>
      <c r="L520" s="68"/>
      <c r="M520" s="68"/>
      <c r="O520" s="68"/>
      <c r="R520" s="68"/>
    </row>
    <row r="521" ht="15.75" customHeight="1">
      <c r="E521" s="68"/>
      <c r="J521" s="68"/>
      <c r="L521" s="68"/>
      <c r="M521" s="68"/>
      <c r="O521" s="68"/>
      <c r="R521" s="68"/>
    </row>
    <row r="522" ht="15.75" customHeight="1">
      <c r="E522" s="68"/>
      <c r="J522" s="68"/>
      <c r="L522" s="68"/>
      <c r="M522" s="68"/>
      <c r="O522" s="68"/>
      <c r="R522" s="68"/>
    </row>
    <row r="523" ht="15.75" customHeight="1">
      <c r="E523" s="68"/>
      <c r="J523" s="68"/>
      <c r="L523" s="68"/>
      <c r="M523" s="68"/>
      <c r="O523" s="68"/>
      <c r="R523" s="68"/>
    </row>
    <row r="524" ht="15.75" customHeight="1">
      <c r="E524" s="68"/>
      <c r="J524" s="68"/>
      <c r="L524" s="68"/>
      <c r="M524" s="68"/>
      <c r="O524" s="68"/>
      <c r="R524" s="68"/>
    </row>
    <row r="525" ht="15.75" customHeight="1">
      <c r="E525" s="68"/>
      <c r="J525" s="68"/>
      <c r="L525" s="68"/>
      <c r="M525" s="68"/>
      <c r="O525" s="68"/>
      <c r="R525" s="68"/>
    </row>
    <row r="526" ht="15.75" customHeight="1">
      <c r="E526" s="68"/>
      <c r="J526" s="68"/>
      <c r="L526" s="68"/>
      <c r="M526" s="68"/>
      <c r="O526" s="68"/>
      <c r="R526" s="68"/>
    </row>
    <row r="527" ht="15.75" customHeight="1">
      <c r="E527" s="68"/>
      <c r="J527" s="68"/>
      <c r="L527" s="68"/>
      <c r="M527" s="68"/>
      <c r="O527" s="68"/>
      <c r="R527" s="68"/>
    </row>
    <row r="528" ht="15.75" customHeight="1">
      <c r="E528" s="68"/>
      <c r="J528" s="68"/>
      <c r="L528" s="68"/>
      <c r="M528" s="68"/>
      <c r="O528" s="68"/>
      <c r="R528" s="68"/>
    </row>
    <row r="529" ht="15.75" customHeight="1">
      <c r="E529" s="68"/>
      <c r="J529" s="68"/>
      <c r="L529" s="68"/>
      <c r="M529" s="68"/>
      <c r="O529" s="68"/>
      <c r="R529" s="68"/>
    </row>
    <row r="530" ht="15.75" customHeight="1">
      <c r="E530" s="68"/>
      <c r="J530" s="68"/>
      <c r="L530" s="68"/>
      <c r="M530" s="68"/>
      <c r="O530" s="68"/>
      <c r="R530" s="68"/>
    </row>
    <row r="531" ht="15.75" customHeight="1">
      <c r="E531" s="68"/>
      <c r="J531" s="68"/>
      <c r="L531" s="68"/>
      <c r="M531" s="68"/>
      <c r="O531" s="68"/>
      <c r="R531" s="68"/>
    </row>
    <row r="532" ht="15.75" customHeight="1">
      <c r="E532" s="68"/>
      <c r="J532" s="68"/>
      <c r="L532" s="68"/>
      <c r="M532" s="68"/>
      <c r="O532" s="68"/>
      <c r="R532" s="68"/>
    </row>
    <row r="533" ht="15.75" customHeight="1">
      <c r="E533" s="68"/>
      <c r="J533" s="68"/>
      <c r="L533" s="68"/>
      <c r="M533" s="68"/>
      <c r="O533" s="68"/>
      <c r="R533" s="68"/>
    </row>
    <row r="534" ht="15.75" customHeight="1">
      <c r="E534" s="68"/>
      <c r="J534" s="68"/>
      <c r="L534" s="68"/>
      <c r="M534" s="68"/>
      <c r="O534" s="68"/>
      <c r="R534" s="68"/>
    </row>
    <row r="535" ht="15.75" customHeight="1">
      <c r="E535" s="68"/>
      <c r="J535" s="68"/>
      <c r="L535" s="68"/>
      <c r="M535" s="68"/>
      <c r="O535" s="68"/>
      <c r="R535" s="68"/>
    </row>
    <row r="536" ht="15.75" customHeight="1">
      <c r="E536" s="68"/>
      <c r="J536" s="68"/>
      <c r="L536" s="68"/>
      <c r="M536" s="68"/>
      <c r="O536" s="68"/>
      <c r="R536" s="68"/>
    </row>
    <row r="537" ht="15.75" customHeight="1">
      <c r="E537" s="68"/>
      <c r="J537" s="68"/>
      <c r="L537" s="68"/>
      <c r="M537" s="68"/>
      <c r="O537" s="68"/>
      <c r="R537" s="68"/>
    </row>
    <row r="538" ht="15.75" customHeight="1">
      <c r="E538" s="68"/>
      <c r="J538" s="68"/>
      <c r="L538" s="68"/>
      <c r="M538" s="68"/>
      <c r="O538" s="68"/>
      <c r="R538" s="68"/>
    </row>
    <row r="539" ht="15.75" customHeight="1">
      <c r="E539" s="68"/>
      <c r="J539" s="68"/>
      <c r="L539" s="68"/>
      <c r="M539" s="68"/>
      <c r="O539" s="68"/>
      <c r="R539" s="68"/>
    </row>
    <row r="540" ht="15.75" customHeight="1">
      <c r="E540" s="68"/>
      <c r="J540" s="68"/>
      <c r="L540" s="68"/>
      <c r="M540" s="68"/>
      <c r="O540" s="68"/>
      <c r="R540" s="68"/>
    </row>
    <row r="541" ht="15.75" customHeight="1">
      <c r="E541" s="68"/>
      <c r="J541" s="68"/>
      <c r="L541" s="68"/>
      <c r="M541" s="68"/>
      <c r="O541" s="68"/>
      <c r="R541" s="68"/>
    </row>
    <row r="542" ht="15.75" customHeight="1">
      <c r="E542" s="68"/>
      <c r="J542" s="68"/>
      <c r="L542" s="68"/>
      <c r="M542" s="68"/>
      <c r="O542" s="68"/>
      <c r="R542" s="68"/>
    </row>
    <row r="543" ht="15.75" customHeight="1">
      <c r="E543" s="68"/>
      <c r="J543" s="68"/>
      <c r="L543" s="68"/>
      <c r="M543" s="68"/>
      <c r="O543" s="68"/>
      <c r="R543" s="68"/>
    </row>
    <row r="544" ht="15.75" customHeight="1">
      <c r="E544" s="68"/>
      <c r="J544" s="68"/>
      <c r="L544" s="68"/>
      <c r="M544" s="68"/>
      <c r="O544" s="68"/>
      <c r="R544" s="68"/>
    </row>
    <row r="545" ht="15.75" customHeight="1">
      <c r="E545" s="68"/>
      <c r="J545" s="68"/>
      <c r="L545" s="68"/>
      <c r="M545" s="68"/>
      <c r="O545" s="68"/>
      <c r="R545" s="68"/>
    </row>
    <row r="546" ht="15.75" customHeight="1">
      <c r="E546" s="68"/>
      <c r="J546" s="68"/>
      <c r="L546" s="68"/>
      <c r="M546" s="68"/>
      <c r="O546" s="68"/>
      <c r="R546" s="68"/>
    </row>
    <row r="547" ht="15.75" customHeight="1">
      <c r="E547" s="68"/>
      <c r="J547" s="68"/>
      <c r="L547" s="68"/>
      <c r="M547" s="68"/>
      <c r="O547" s="68"/>
      <c r="R547" s="68"/>
    </row>
    <row r="548" ht="15.75" customHeight="1">
      <c r="E548" s="68"/>
      <c r="J548" s="68"/>
      <c r="L548" s="68"/>
      <c r="M548" s="68"/>
      <c r="O548" s="68"/>
      <c r="R548" s="68"/>
    </row>
    <row r="549" ht="15.75" customHeight="1">
      <c r="E549" s="68"/>
      <c r="J549" s="68"/>
      <c r="L549" s="68"/>
      <c r="M549" s="68"/>
      <c r="O549" s="68"/>
      <c r="R549" s="68"/>
    </row>
    <row r="550" ht="15.75" customHeight="1">
      <c r="E550" s="68"/>
      <c r="J550" s="68"/>
      <c r="L550" s="68"/>
      <c r="M550" s="68"/>
      <c r="O550" s="68"/>
      <c r="R550" s="68"/>
    </row>
    <row r="551" ht="15.75" customHeight="1">
      <c r="E551" s="68"/>
      <c r="J551" s="68"/>
      <c r="L551" s="68"/>
      <c r="M551" s="68"/>
      <c r="O551" s="68"/>
      <c r="R551" s="68"/>
    </row>
    <row r="552" ht="15.75" customHeight="1">
      <c r="E552" s="68"/>
      <c r="J552" s="68"/>
      <c r="L552" s="68"/>
      <c r="M552" s="68"/>
      <c r="O552" s="68"/>
      <c r="R552" s="68"/>
    </row>
    <row r="553" ht="15.75" customHeight="1">
      <c r="E553" s="68"/>
      <c r="J553" s="68"/>
      <c r="L553" s="68"/>
      <c r="M553" s="68"/>
      <c r="O553" s="68"/>
      <c r="R553" s="68"/>
    </row>
    <row r="554" ht="15.75" customHeight="1">
      <c r="E554" s="68"/>
      <c r="J554" s="68"/>
      <c r="L554" s="68"/>
      <c r="M554" s="68"/>
      <c r="O554" s="68"/>
      <c r="R554" s="68"/>
    </row>
    <row r="555" ht="15.75" customHeight="1">
      <c r="E555" s="68"/>
      <c r="J555" s="68"/>
      <c r="L555" s="68"/>
      <c r="M555" s="68"/>
      <c r="O555" s="68"/>
      <c r="R555" s="68"/>
    </row>
    <row r="556" ht="15.75" customHeight="1">
      <c r="E556" s="68"/>
      <c r="J556" s="68"/>
      <c r="L556" s="68"/>
      <c r="M556" s="68"/>
      <c r="O556" s="68"/>
      <c r="R556" s="68"/>
    </row>
    <row r="557" ht="15.75" customHeight="1">
      <c r="E557" s="68"/>
      <c r="J557" s="68"/>
      <c r="L557" s="68"/>
      <c r="M557" s="68"/>
      <c r="O557" s="68"/>
      <c r="R557" s="68"/>
    </row>
    <row r="558" ht="15.75" customHeight="1">
      <c r="E558" s="68"/>
      <c r="J558" s="68"/>
      <c r="L558" s="68"/>
      <c r="M558" s="68"/>
      <c r="O558" s="68"/>
      <c r="R558" s="68"/>
    </row>
    <row r="559" ht="15.75" customHeight="1">
      <c r="E559" s="68"/>
      <c r="J559" s="68"/>
      <c r="L559" s="68"/>
      <c r="M559" s="68"/>
      <c r="O559" s="68"/>
      <c r="R559" s="68"/>
    </row>
    <row r="560" ht="15.75" customHeight="1">
      <c r="E560" s="68"/>
      <c r="J560" s="68"/>
      <c r="L560" s="68"/>
      <c r="M560" s="68"/>
      <c r="O560" s="68"/>
      <c r="R560" s="68"/>
    </row>
    <row r="561" ht="15.75" customHeight="1">
      <c r="E561" s="68"/>
      <c r="J561" s="68"/>
      <c r="L561" s="68"/>
      <c r="M561" s="68"/>
      <c r="O561" s="68"/>
      <c r="R561" s="68"/>
    </row>
    <row r="562" ht="15.75" customHeight="1">
      <c r="E562" s="68"/>
      <c r="J562" s="68"/>
      <c r="L562" s="68"/>
      <c r="M562" s="68"/>
      <c r="O562" s="68"/>
      <c r="R562" s="68"/>
    </row>
    <row r="563" ht="15.75" customHeight="1">
      <c r="E563" s="68"/>
      <c r="J563" s="68"/>
      <c r="L563" s="68"/>
      <c r="M563" s="68"/>
      <c r="O563" s="68"/>
      <c r="R563" s="68"/>
    </row>
    <row r="564" ht="15.75" customHeight="1">
      <c r="E564" s="68"/>
      <c r="J564" s="68"/>
      <c r="L564" s="68"/>
      <c r="M564" s="68"/>
      <c r="O564" s="68"/>
      <c r="R564" s="68"/>
    </row>
    <row r="565" ht="15.75" customHeight="1">
      <c r="E565" s="68"/>
      <c r="J565" s="68"/>
      <c r="L565" s="68"/>
      <c r="M565" s="68"/>
      <c r="O565" s="68"/>
      <c r="R565" s="68"/>
    </row>
    <row r="566" ht="15.75" customHeight="1">
      <c r="E566" s="68"/>
      <c r="J566" s="68"/>
      <c r="L566" s="68"/>
      <c r="M566" s="68"/>
      <c r="O566" s="68"/>
      <c r="R566" s="68"/>
    </row>
    <row r="567" ht="15.75" customHeight="1">
      <c r="E567" s="68"/>
      <c r="J567" s="68"/>
      <c r="L567" s="68"/>
      <c r="M567" s="68"/>
      <c r="O567" s="68"/>
      <c r="R567" s="68"/>
    </row>
    <row r="568" ht="15.75" customHeight="1">
      <c r="E568" s="68"/>
      <c r="J568" s="68"/>
      <c r="L568" s="68"/>
      <c r="M568" s="68"/>
      <c r="O568" s="68"/>
      <c r="R568" s="68"/>
    </row>
    <row r="569" ht="15.75" customHeight="1">
      <c r="E569" s="68"/>
      <c r="J569" s="68"/>
      <c r="L569" s="68"/>
      <c r="M569" s="68"/>
      <c r="O569" s="68"/>
      <c r="R569" s="68"/>
    </row>
    <row r="570" ht="15.75" customHeight="1">
      <c r="E570" s="68"/>
      <c r="J570" s="68"/>
      <c r="L570" s="68"/>
      <c r="M570" s="68"/>
      <c r="O570" s="68"/>
      <c r="R570" s="68"/>
    </row>
    <row r="571" ht="15.75" customHeight="1">
      <c r="E571" s="68"/>
      <c r="J571" s="68"/>
      <c r="L571" s="68"/>
      <c r="M571" s="68"/>
      <c r="O571" s="68"/>
      <c r="R571" s="68"/>
    </row>
    <row r="572" ht="15.75" customHeight="1">
      <c r="E572" s="68"/>
      <c r="J572" s="68"/>
      <c r="L572" s="68"/>
      <c r="M572" s="68"/>
      <c r="O572" s="68"/>
      <c r="R572" s="68"/>
    </row>
    <row r="573" ht="15.75" customHeight="1">
      <c r="E573" s="68"/>
      <c r="J573" s="68"/>
      <c r="L573" s="68"/>
      <c r="M573" s="68"/>
      <c r="O573" s="68"/>
      <c r="R573" s="68"/>
    </row>
    <row r="574" ht="15.75" customHeight="1">
      <c r="E574" s="68"/>
      <c r="J574" s="68"/>
      <c r="L574" s="68"/>
      <c r="M574" s="68"/>
      <c r="O574" s="68"/>
      <c r="R574" s="68"/>
    </row>
    <row r="575" ht="15.75" customHeight="1">
      <c r="E575" s="68"/>
      <c r="J575" s="68"/>
      <c r="L575" s="68"/>
      <c r="M575" s="68"/>
      <c r="O575" s="68"/>
      <c r="R575" s="68"/>
    </row>
    <row r="576" ht="15.75" customHeight="1">
      <c r="E576" s="68"/>
      <c r="J576" s="68"/>
      <c r="L576" s="68"/>
      <c r="M576" s="68"/>
      <c r="O576" s="68"/>
      <c r="R576" s="68"/>
    </row>
    <row r="577" ht="15.75" customHeight="1">
      <c r="E577" s="68"/>
      <c r="J577" s="68"/>
      <c r="L577" s="68"/>
      <c r="M577" s="68"/>
      <c r="O577" s="68"/>
      <c r="R577" s="68"/>
    </row>
    <row r="578" ht="15.75" customHeight="1">
      <c r="E578" s="68"/>
      <c r="J578" s="68"/>
      <c r="L578" s="68"/>
      <c r="M578" s="68"/>
      <c r="O578" s="68"/>
      <c r="R578" s="68"/>
    </row>
    <row r="579" ht="15.75" customHeight="1">
      <c r="E579" s="68"/>
      <c r="J579" s="68"/>
      <c r="L579" s="68"/>
      <c r="M579" s="68"/>
      <c r="O579" s="68"/>
      <c r="R579" s="68"/>
    </row>
    <row r="580" ht="15.75" customHeight="1">
      <c r="E580" s="68"/>
      <c r="J580" s="68"/>
      <c r="L580" s="68"/>
      <c r="M580" s="68"/>
      <c r="O580" s="68"/>
      <c r="R580" s="68"/>
    </row>
    <row r="581" ht="15.75" customHeight="1">
      <c r="E581" s="68"/>
      <c r="J581" s="68"/>
      <c r="L581" s="68"/>
      <c r="M581" s="68"/>
      <c r="O581" s="68"/>
      <c r="R581" s="68"/>
    </row>
    <row r="582" ht="15.75" customHeight="1">
      <c r="E582" s="68"/>
      <c r="J582" s="68"/>
      <c r="L582" s="68"/>
      <c r="M582" s="68"/>
      <c r="O582" s="68"/>
      <c r="R582" s="68"/>
    </row>
    <row r="583" ht="15.75" customHeight="1">
      <c r="E583" s="68"/>
      <c r="J583" s="68"/>
      <c r="L583" s="68"/>
      <c r="M583" s="68"/>
      <c r="O583" s="68"/>
      <c r="R583" s="68"/>
    </row>
    <row r="584" ht="15.75" customHeight="1">
      <c r="E584" s="68"/>
      <c r="J584" s="68"/>
      <c r="L584" s="68"/>
      <c r="M584" s="68"/>
      <c r="O584" s="68"/>
      <c r="R584" s="68"/>
    </row>
    <row r="585" ht="15.75" customHeight="1">
      <c r="E585" s="68"/>
      <c r="J585" s="68"/>
      <c r="L585" s="68"/>
      <c r="M585" s="68"/>
      <c r="O585" s="68"/>
      <c r="R585" s="68"/>
    </row>
    <row r="586" ht="15.75" customHeight="1">
      <c r="E586" s="68"/>
      <c r="J586" s="68"/>
      <c r="L586" s="68"/>
      <c r="M586" s="68"/>
      <c r="O586" s="68"/>
      <c r="R586" s="68"/>
    </row>
    <row r="587" ht="15.75" customHeight="1">
      <c r="E587" s="68"/>
      <c r="J587" s="68"/>
      <c r="L587" s="68"/>
      <c r="M587" s="68"/>
      <c r="O587" s="68"/>
      <c r="R587" s="68"/>
    </row>
    <row r="588" ht="15.75" customHeight="1">
      <c r="E588" s="68"/>
      <c r="J588" s="68"/>
      <c r="L588" s="68"/>
      <c r="M588" s="68"/>
      <c r="O588" s="68"/>
      <c r="R588" s="68"/>
    </row>
    <row r="589" ht="15.75" customHeight="1">
      <c r="E589" s="68"/>
      <c r="J589" s="68"/>
      <c r="L589" s="68"/>
      <c r="M589" s="68"/>
      <c r="O589" s="68"/>
      <c r="R589" s="68"/>
    </row>
    <row r="590" ht="15.75" customHeight="1">
      <c r="E590" s="68"/>
      <c r="J590" s="68"/>
      <c r="L590" s="68"/>
      <c r="M590" s="68"/>
      <c r="O590" s="68"/>
      <c r="R590" s="68"/>
    </row>
    <row r="591" ht="15.75" customHeight="1">
      <c r="E591" s="68"/>
      <c r="J591" s="68"/>
      <c r="L591" s="68"/>
      <c r="M591" s="68"/>
      <c r="O591" s="68"/>
      <c r="R591" s="68"/>
    </row>
    <row r="592" ht="15.75" customHeight="1">
      <c r="E592" s="68"/>
      <c r="J592" s="68"/>
      <c r="L592" s="68"/>
      <c r="M592" s="68"/>
      <c r="O592" s="68"/>
      <c r="R592" s="68"/>
    </row>
    <row r="593" ht="15.75" customHeight="1">
      <c r="E593" s="68"/>
      <c r="J593" s="68"/>
      <c r="L593" s="68"/>
      <c r="M593" s="68"/>
      <c r="O593" s="68"/>
      <c r="R593" s="68"/>
    </row>
    <row r="594" ht="15.75" customHeight="1">
      <c r="E594" s="68"/>
      <c r="J594" s="68"/>
      <c r="L594" s="68"/>
      <c r="M594" s="68"/>
      <c r="O594" s="68"/>
      <c r="R594" s="68"/>
    </row>
    <row r="595" ht="15.75" customHeight="1">
      <c r="E595" s="68"/>
      <c r="J595" s="68"/>
      <c r="L595" s="68"/>
      <c r="M595" s="68"/>
      <c r="O595" s="68"/>
      <c r="R595" s="68"/>
    </row>
    <row r="596" ht="15.75" customHeight="1">
      <c r="E596" s="68"/>
      <c r="J596" s="68"/>
      <c r="L596" s="68"/>
      <c r="M596" s="68"/>
      <c r="O596" s="68"/>
      <c r="R596" s="68"/>
    </row>
    <row r="597" ht="15.75" customHeight="1">
      <c r="E597" s="68"/>
      <c r="J597" s="68"/>
      <c r="L597" s="68"/>
      <c r="M597" s="68"/>
      <c r="O597" s="68"/>
      <c r="R597" s="68"/>
    </row>
    <row r="598" ht="15.75" customHeight="1">
      <c r="E598" s="68"/>
      <c r="J598" s="68"/>
      <c r="L598" s="68"/>
      <c r="M598" s="68"/>
      <c r="O598" s="68"/>
      <c r="R598" s="68"/>
    </row>
    <row r="599" ht="15.75" customHeight="1">
      <c r="E599" s="68"/>
      <c r="J599" s="68"/>
      <c r="L599" s="68"/>
      <c r="M599" s="68"/>
      <c r="O599" s="68"/>
      <c r="R599" s="68"/>
    </row>
    <row r="600" ht="15.75" customHeight="1">
      <c r="E600" s="68"/>
      <c r="J600" s="68"/>
      <c r="L600" s="68"/>
      <c r="M600" s="68"/>
      <c r="O600" s="68"/>
      <c r="R600" s="68"/>
    </row>
    <row r="601" ht="15.75" customHeight="1">
      <c r="E601" s="68"/>
      <c r="J601" s="68"/>
      <c r="L601" s="68"/>
      <c r="M601" s="68"/>
      <c r="O601" s="68"/>
      <c r="R601" s="68"/>
    </row>
    <row r="602" ht="15.75" customHeight="1">
      <c r="E602" s="68"/>
      <c r="J602" s="68"/>
      <c r="L602" s="68"/>
      <c r="M602" s="68"/>
      <c r="O602" s="68"/>
      <c r="R602" s="68"/>
    </row>
    <row r="603" ht="15.75" customHeight="1">
      <c r="E603" s="68"/>
      <c r="J603" s="68"/>
      <c r="L603" s="68"/>
      <c r="M603" s="68"/>
      <c r="O603" s="68"/>
      <c r="R603" s="68"/>
    </row>
    <row r="604" ht="15.75" customHeight="1">
      <c r="E604" s="68"/>
      <c r="J604" s="68"/>
      <c r="L604" s="68"/>
      <c r="M604" s="68"/>
      <c r="O604" s="68"/>
      <c r="R604" s="68"/>
    </row>
    <row r="605" ht="15.75" customHeight="1">
      <c r="E605" s="68"/>
      <c r="J605" s="68"/>
      <c r="L605" s="68"/>
      <c r="M605" s="68"/>
      <c r="O605" s="68"/>
      <c r="R605" s="68"/>
    </row>
    <row r="606" ht="15.75" customHeight="1">
      <c r="E606" s="68"/>
      <c r="J606" s="68"/>
      <c r="L606" s="68"/>
      <c r="M606" s="68"/>
      <c r="O606" s="68"/>
      <c r="R606" s="68"/>
    </row>
    <row r="607" ht="15.75" customHeight="1">
      <c r="E607" s="68"/>
      <c r="J607" s="68"/>
      <c r="L607" s="68"/>
      <c r="M607" s="68"/>
      <c r="O607" s="68"/>
      <c r="R607" s="68"/>
    </row>
    <row r="608" ht="15.75" customHeight="1">
      <c r="E608" s="68"/>
      <c r="J608" s="68"/>
      <c r="L608" s="68"/>
      <c r="M608" s="68"/>
      <c r="O608" s="68"/>
      <c r="R608" s="68"/>
    </row>
    <row r="609" ht="15.75" customHeight="1">
      <c r="E609" s="68"/>
      <c r="J609" s="68"/>
      <c r="L609" s="68"/>
      <c r="M609" s="68"/>
      <c r="O609" s="68"/>
      <c r="R609" s="68"/>
    </row>
    <row r="610" ht="15.75" customHeight="1">
      <c r="E610" s="68"/>
      <c r="J610" s="68"/>
      <c r="L610" s="68"/>
      <c r="M610" s="68"/>
      <c r="O610" s="68"/>
      <c r="R610" s="68"/>
    </row>
    <row r="611" ht="15.75" customHeight="1">
      <c r="E611" s="68"/>
      <c r="J611" s="68"/>
      <c r="L611" s="68"/>
      <c r="M611" s="68"/>
      <c r="O611" s="68"/>
      <c r="R611" s="68"/>
    </row>
    <row r="612" ht="15.75" customHeight="1">
      <c r="E612" s="68"/>
      <c r="J612" s="68"/>
      <c r="L612" s="68"/>
      <c r="M612" s="68"/>
      <c r="O612" s="68"/>
      <c r="R612" s="68"/>
    </row>
    <row r="613" ht="15.75" customHeight="1">
      <c r="E613" s="68"/>
      <c r="J613" s="68"/>
      <c r="L613" s="68"/>
      <c r="M613" s="68"/>
      <c r="O613" s="68"/>
      <c r="R613" s="68"/>
    </row>
    <row r="614" ht="15.75" customHeight="1">
      <c r="E614" s="68"/>
      <c r="J614" s="68"/>
      <c r="L614" s="68"/>
      <c r="M614" s="68"/>
      <c r="O614" s="68"/>
      <c r="R614" s="68"/>
    </row>
    <row r="615" ht="15.75" customHeight="1">
      <c r="E615" s="68"/>
      <c r="J615" s="68"/>
      <c r="L615" s="68"/>
      <c r="M615" s="68"/>
      <c r="O615" s="68"/>
      <c r="R615" s="68"/>
    </row>
    <row r="616" ht="15.75" customHeight="1">
      <c r="E616" s="68"/>
      <c r="J616" s="68"/>
      <c r="L616" s="68"/>
      <c r="M616" s="68"/>
      <c r="O616" s="68"/>
      <c r="R616" s="68"/>
    </row>
    <row r="617" ht="15.75" customHeight="1">
      <c r="E617" s="68"/>
      <c r="J617" s="68"/>
      <c r="L617" s="68"/>
      <c r="M617" s="68"/>
      <c r="O617" s="68"/>
      <c r="R617" s="68"/>
    </row>
    <row r="618" ht="15.75" customHeight="1">
      <c r="E618" s="68"/>
      <c r="J618" s="68"/>
      <c r="L618" s="68"/>
      <c r="M618" s="68"/>
      <c r="O618" s="68"/>
      <c r="R618" s="68"/>
    </row>
    <row r="619" ht="15.75" customHeight="1">
      <c r="E619" s="68"/>
      <c r="J619" s="68"/>
      <c r="L619" s="68"/>
      <c r="M619" s="68"/>
      <c r="O619" s="68"/>
      <c r="R619" s="68"/>
    </row>
    <row r="620" ht="15.75" customHeight="1">
      <c r="E620" s="68"/>
      <c r="J620" s="68"/>
      <c r="L620" s="68"/>
      <c r="M620" s="68"/>
      <c r="O620" s="68"/>
      <c r="R620" s="68"/>
    </row>
    <row r="621" ht="15.75" customHeight="1">
      <c r="E621" s="68"/>
      <c r="J621" s="68"/>
      <c r="L621" s="68"/>
      <c r="M621" s="68"/>
      <c r="O621" s="68"/>
      <c r="R621" s="68"/>
    </row>
    <row r="622" ht="15.75" customHeight="1">
      <c r="E622" s="68"/>
      <c r="J622" s="68"/>
      <c r="L622" s="68"/>
      <c r="M622" s="68"/>
      <c r="O622" s="68"/>
      <c r="R622" s="68"/>
    </row>
    <row r="623" ht="15.75" customHeight="1">
      <c r="E623" s="68"/>
      <c r="J623" s="68"/>
      <c r="L623" s="68"/>
      <c r="M623" s="68"/>
      <c r="O623" s="68"/>
      <c r="R623" s="68"/>
    </row>
    <row r="624" ht="15.75" customHeight="1">
      <c r="E624" s="68"/>
      <c r="J624" s="68"/>
      <c r="L624" s="68"/>
      <c r="M624" s="68"/>
      <c r="O624" s="68"/>
      <c r="R624" s="68"/>
    </row>
    <row r="625" ht="15.75" customHeight="1">
      <c r="E625" s="68"/>
      <c r="J625" s="68"/>
      <c r="L625" s="68"/>
      <c r="M625" s="68"/>
      <c r="O625" s="68"/>
      <c r="R625" s="68"/>
    </row>
    <row r="626" ht="15.75" customHeight="1">
      <c r="E626" s="68"/>
      <c r="J626" s="68"/>
      <c r="L626" s="68"/>
      <c r="M626" s="68"/>
      <c r="O626" s="68"/>
      <c r="R626" s="68"/>
    </row>
    <row r="627" ht="15.75" customHeight="1">
      <c r="E627" s="68"/>
      <c r="J627" s="68"/>
      <c r="L627" s="68"/>
      <c r="M627" s="68"/>
      <c r="O627" s="68"/>
      <c r="R627" s="68"/>
    </row>
    <row r="628" ht="15.75" customHeight="1">
      <c r="E628" s="68"/>
      <c r="J628" s="68"/>
      <c r="L628" s="68"/>
      <c r="M628" s="68"/>
      <c r="O628" s="68"/>
      <c r="R628" s="68"/>
    </row>
    <row r="629" ht="15.75" customHeight="1">
      <c r="E629" s="68"/>
      <c r="J629" s="68"/>
      <c r="L629" s="68"/>
      <c r="M629" s="68"/>
      <c r="O629" s="68"/>
      <c r="R629" s="68"/>
    </row>
    <row r="630" ht="15.75" customHeight="1">
      <c r="E630" s="68"/>
      <c r="J630" s="68"/>
      <c r="L630" s="68"/>
      <c r="M630" s="68"/>
      <c r="O630" s="68"/>
      <c r="R630" s="68"/>
    </row>
    <row r="631" ht="15.75" customHeight="1">
      <c r="E631" s="68"/>
      <c r="J631" s="68"/>
      <c r="L631" s="68"/>
      <c r="M631" s="68"/>
      <c r="O631" s="68"/>
      <c r="R631" s="68"/>
    </row>
    <row r="632" ht="15.75" customHeight="1">
      <c r="E632" s="68"/>
      <c r="J632" s="68"/>
      <c r="L632" s="68"/>
      <c r="M632" s="68"/>
      <c r="O632" s="68"/>
      <c r="R632" s="68"/>
    </row>
    <row r="633" ht="15.75" customHeight="1">
      <c r="E633" s="68"/>
      <c r="J633" s="68"/>
      <c r="L633" s="68"/>
      <c r="M633" s="68"/>
      <c r="O633" s="68"/>
      <c r="R633" s="68"/>
    </row>
    <row r="634" ht="15.75" customHeight="1">
      <c r="E634" s="68"/>
      <c r="J634" s="68"/>
      <c r="L634" s="68"/>
      <c r="M634" s="68"/>
      <c r="O634" s="68"/>
      <c r="R634" s="68"/>
    </row>
    <row r="635" ht="15.75" customHeight="1">
      <c r="E635" s="68"/>
      <c r="J635" s="68"/>
      <c r="L635" s="68"/>
      <c r="M635" s="68"/>
      <c r="O635" s="68"/>
      <c r="R635" s="68"/>
    </row>
    <row r="636" ht="15.75" customHeight="1">
      <c r="E636" s="68"/>
      <c r="J636" s="68"/>
      <c r="L636" s="68"/>
      <c r="M636" s="68"/>
      <c r="O636" s="68"/>
      <c r="R636" s="68"/>
    </row>
    <row r="637" ht="15.75" customHeight="1">
      <c r="E637" s="68"/>
      <c r="J637" s="68"/>
      <c r="L637" s="68"/>
      <c r="M637" s="68"/>
      <c r="O637" s="68"/>
      <c r="R637" s="68"/>
    </row>
    <row r="638" ht="15.75" customHeight="1">
      <c r="E638" s="68"/>
      <c r="J638" s="68"/>
      <c r="L638" s="68"/>
      <c r="M638" s="68"/>
      <c r="O638" s="68"/>
      <c r="R638" s="68"/>
    </row>
    <row r="639" ht="15.75" customHeight="1">
      <c r="E639" s="68"/>
      <c r="J639" s="68"/>
      <c r="L639" s="68"/>
      <c r="M639" s="68"/>
      <c r="O639" s="68"/>
      <c r="R639" s="68"/>
    </row>
    <row r="640" ht="15.75" customHeight="1">
      <c r="E640" s="68"/>
      <c r="J640" s="68"/>
      <c r="L640" s="68"/>
      <c r="M640" s="68"/>
      <c r="O640" s="68"/>
      <c r="R640" s="68"/>
    </row>
    <row r="641" ht="15.75" customHeight="1">
      <c r="E641" s="68"/>
      <c r="J641" s="68"/>
      <c r="L641" s="68"/>
      <c r="M641" s="68"/>
      <c r="O641" s="68"/>
      <c r="R641" s="68"/>
    </row>
    <row r="642" ht="15.75" customHeight="1">
      <c r="E642" s="68"/>
      <c r="J642" s="68"/>
      <c r="L642" s="68"/>
      <c r="M642" s="68"/>
      <c r="O642" s="68"/>
      <c r="R642" s="68"/>
    </row>
    <row r="643" ht="15.75" customHeight="1">
      <c r="E643" s="68"/>
      <c r="J643" s="68"/>
      <c r="L643" s="68"/>
      <c r="M643" s="68"/>
      <c r="O643" s="68"/>
      <c r="R643" s="68"/>
    </row>
    <row r="644" ht="15.75" customHeight="1">
      <c r="E644" s="68"/>
      <c r="J644" s="68"/>
      <c r="L644" s="68"/>
      <c r="M644" s="68"/>
      <c r="O644" s="68"/>
      <c r="R644" s="68"/>
    </row>
    <row r="645" ht="15.75" customHeight="1">
      <c r="E645" s="68"/>
      <c r="J645" s="68"/>
      <c r="L645" s="68"/>
      <c r="M645" s="68"/>
      <c r="O645" s="68"/>
      <c r="R645" s="68"/>
    </row>
    <row r="646" ht="15.75" customHeight="1">
      <c r="E646" s="68"/>
      <c r="J646" s="68"/>
      <c r="L646" s="68"/>
      <c r="M646" s="68"/>
      <c r="O646" s="68"/>
      <c r="R646" s="68"/>
    </row>
    <row r="647" ht="15.75" customHeight="1">
      <c r="E647" s="68"/>
      <c r="J647" s="68"/>
      <c r="L647" s="68"/>
      <c r="M647" s="68"/>
      <c r="O647" s="68"/>
      <c r="R647" s="68"/>
    </row>
    <row r="648" ht="15.75" customHeight="1">
      <c r="E648" s="68"/>
      <c r="J648" s="68"/>
      <c r="L648" s="68"/>
      <c r="M648" s="68"/>
      <c r="O648" s="68"/>
      <c r="R648" s="68"/>
    </row>
    <row r="649" ht="15.75" customHeight="1">
      <c r="E649" s="68"/>
      <c r="J649" s="68"/>
      <c r="L649" s="68"/>
      <c r="M649" s="68"/>
      <c r="O649" s="68"/>
      <c r="R649" s="68"/>
    </row>
    <row r="650" ht="15.75" customHeight="1">
      <c r="E650" s="68"/>
      <c r="J650" s="68"/>
      <c r="L650" s="68"/>
      <c r="M650" s="68"/>
      <c r="O650" s="68"/>
      <c r="R650" s="68"/>
    </row>
    <row r="651" ht="15.75" customHeight="1">
      <c r="E651" s="68"/>
      <c r="J651" s="68"/>
      <c r="L651" s="68"/>
      <c r="M651" s="68"/>
      <c r="O651" s="68"/>
      <c r="R651" s="68"/>
    </row>
    <row r="652" ht="15.75" customHeight="1">
      <c r="E652" s="68"/>
      <c r="J652" s="68"/>
      <c r="L652" s="68"/>
      <c r="M652" s="68"/>
      <c r="O652" s="68"/>
      <c r="R652" s="68"/>
    </row>
    <row r="653" ht="15.75" customHeight="1">
      <c r="E653" s="68"/>
      <c r="J653" s="68"/>
      <c r="L653" s="68"/>
      <c r="M653" s="68"/>
      <c r="O653" s="68"/>
      <c r="R653" s="68"/>
    </row>
    <row r="654" ht="15.75" customHeight="1">
      <c r="E654" s="68"/>
      <c r="J654" s="68"/>
      <c r="L654" s="68"/>
      <c r="M654" s="68"/>
      <c r="O654" s="68"/>
      <c r="R654" s="68"/>
    </row>
    <row r="655" ht="15.75" customHeight="1">
      <c r="E655" s="68"/>
      <c r="J655" s="68"/>
      <c r="L655" s="68"/>
      <c r="M655" s="68"/>
      <c r="O655" s="68"/>
      <c r="R655" s="68"/>
    </row>
    <row r="656" ht="15.75" customHeight="1">
      <c r="E656" s="68"/>
      <c r="J656" s="68"/>
      <c r="L656" s="68"/>
      <c r="M656" s="68"/>
      <c r="O656" s="68"/>
      <c r="R656" s="68"/>
    </row>
    <row r="657" ht="15.75" customHeight="1">
      <c r="E657" s="68"/>
      <c r="J657" s="68"/>
      <c r="L657" s="68"/>
      <c r="M657" s="68"/>
      <c r="O657" s="68"/>
      <c r="R657" s="68"/>
    </row>
    <row r="658" ht="15.75" customHeight="1">
      <c r="E658" s="68"/>
      <c r="J658" s="68"/>
      <c r="L658" s="68"/>
      <c r="M658" s="68"/>
      <c r="O658" s="68"/>
      <c r="R658" s="68"/>
    </row>
    <row r="659" ht="15.75" customHeight="1">
      <c r="E659" s="68"/>
      <c r="J659" s="68"/>
      <c r="L659" s="68"/>
      <c r="M659" s="68"/>
      <c r="O659" s="68"/>
      <c r="R659" s="68"/>
    </row>
    <row r="660" ht="15.75" customHeight="1">
      <c r="E660" s="68"/>
      <c r="J660" s="68"/>
      <c r="L660" s="68"/>
      <c r="M660" s="68"/>
      <c r="O660" s="68"/>
      <c r="R660" s="68"/>
    </row>
    <row r="661" ht="15.75" customHeight="1">
      <c r="E661" s="68"/>
      <c r="J661" s="68"/>
      <c r="L661" s="68"/>
      <c r="M661" s="68"/>
      <c r="O661" s="68"/>
      <c r="R661" s="68"/>
    </row>
    <row r="662" ht="15.75" customHeight="1">
      <c r="E662" s="68"/>
      <c r="J662" s="68"/>
      <c r="L662" s="68"/>
      <c r="M662" s="68"/>
      <c r="O662" s="68"/>
      <c r="R662" s="68"/>
    </row>
    <row r="663" ht="15.75" customHeight="1">
      <c r="E663" s="68"/>
      <c r="J663" s="68"/>
      <c r="L663" s="68"/>
      <c r="M663" s="68"/>
      <c r="O663" s="68"/>
      <c r="R663" s="68"/>
    </row>
    <row r="664" ht="15.75" customHeight="1">
      <c r="E664" s="68"/>
      <c r="J664" s="68"/>
      <c r="L664" s="68"/>
      <c r="M664" s="68"/>
      <c r="O664" s="68"/>
      <c r="R664" s="68"/>
    </row>
    <row r="665" ht="15.75" customHeight="1">
      <c r="E665" s="68"/>
      <c r="J665" s="68"/>
      <c r="L665" s="68"/>
      <c r="M665" s="68"/>
      <c r="O665" s="68"/>
      <c r="R665" s="68"/>
    </row>
    <row r="666" ht="15.75" customHeight="1">
      <c r="E666" s="68"/>
      <c r="J666" s="68"/>
      <c r="L666" s="68"/>
      <c r="M666" s="68"/>
      <c r="O666" s="68"/>
      <c r="R666" s="68"/>
    </row>
    <row r="667" ht="15.75" customHeight="1">
      <c r="E667" s="68"/>
      <c r="J667" s="68"/>
      <c r="L667" s="68"/>
      <c r="M667" s="68"/>
      <c r="O667" s="68"/>
      <c r="R667" s="68"/>
    </row>
    <row r="668" ht="15.75" customHeight="1">
      <c r="E668" s="68"/>
      <c r="J668" s="68"/>
      <c r="L668" s="68"/>
      <c r="M668" s="68"/>
      <c r="O668" s="68"/>
      <c r="R668" s="68"/>
    </row>
    <row r="669" ht="15.75" customHeight="1">
      <c r="E669" s="68"/>
      <c r="J669" s="68"/>
      <c r="L669" s="68"/>
      <c r="M669" s="68"/>
      <c r="O669" s="68"/>
      <c r="R669" s="68"/>
    </row>
    <row r="670" ht="15.75" customHeight="1">
      <c r="E670" s="68"/>
      <c r="J670" s="68"/>
      <c r="L670" s="68"/>
      <c r="M670" s="68"/>
      <c r="O670" s="68"/>
      <c r="R670" s="68"/>
    </row>
    <row r="671" ht="15.75" customHeight="1">
      <c r="E671" s="68"/>
      <c r="J671" s="68"/>
      <c r="L671" s="68"/>
      <c r="M671" s="68"/>
      <c r="O671" s="68"/>
      <c r="R671" s="68"/>
    </row>
    <row r="672" ht="15.75" customHeight="1">
      <c r="E672" s="68"/>
      <c r="J672" s="68"/>
      <c r="L672" s="68"/>
      <c r="M672" s="68"/>
      <c r="O672" s="68"/>
      <c r="R672" s="68"/>
    </row>
    <row r="673" ht="15.75" customHeight="1">
      <c r="E673" s="68"/>
      <c r="J673" s="68"/>
      <c r="L673" s="68"/>
      <c r="M673" s="68"/>
      <c r="O673" s="68"/>
      <c r="R673" s="68"/>
    </row>
    <row r="674" ht="15.75" customHeight="1">
      <c r="E674" s="68"/>
      <c r="J674" s="68"/>
      <c r="L674" s="68"/>
      <c r="M674" s="68"/>
      <c r="O674" s="68"/>
      <c r="R674" s="68"/>
    </row>
    <row r="675" ht="15.75" customHeight="1">
      <c r="E675" s="68"/>
      <c r="J675" s="68"/>
      <c r="L675" s="68"/>
      <c r="M675" s="68"/>
      <c r="O675" s="68"/>
      <c r="R675" s="68"/>
    </row>
    <row r="676" ht="15.75" customHeight="1">
      <c r="E676" s="68"/>
      <c r="J676" s="68"/>
      <c r="L676" s="68"/>
      <c r="M676" s="68"/>
      <c r="O676" s="68"/>
      <c r="R676" s="68"/>
    </row>
    <row r="677" ht="15.75" customHeight="1">
      <c r="E677" s="68"/>
      <c r="J677" s="68"/>
      <c r="L677" s="68"/>
      <c r="M677" s="68"/>
      <c r="O677" s="68"/>
      <c r="R677" s="68"/>
    </row>
    <row r="678" ht="15.75" customHeight="1">
      <c r="E678" s="68"/>
      <c r="J678" s="68"/>
      <c r="L678" s="68"/>
      <c r="M678" s="68"/>
      <c r="O678" s="68"/>
      <c r="R678" s="68"/>
    </row>
    <row r="679" ht="15.75" customHeight="1">
      <c r="E679" s="68"/>
      <c r="J679" s="68"/>
      <c r="L679" s="68"/>
      <c r="M679" s="68"/>
      <c r="O679" s="68"/>
      <c r="R679" s="68"/>
    </row>
    <row r="680" ht="15.75" customHeight="1">
      <c r="E680" s="68"/>
      <c r="J680" s="68"/>
      <c r="L680" s="68"/>
      <c r="M680" s="68"/>
      <c r="O680" s="68"/>
      <c r="R680" s="68"/>
    </row>
    <row r="681" ht="15.75" customHeight="1">
      <c r="E681" s="68"/>
      <c r="J681" s="68"/>
      <c r="L681" s="68"/>
      <c r="M681" s="68"/>
      <c r="O681" s="68"/>
      <c r="R681" s="68"/>
    </row>
    <row r="682" ht="15.75" customHeight="1">
      <c r="E682" s="68"/>
      <c r="J682" s="68"/>
      <c r="L682" s="68"/>
      <c r="M682" s="68"/>
      <c r="O682" s="68"/>
      <c r="R682" s="68"/>
    </row>
    <row r="683" ht="15.75" customHeight="1">
      <c r="E683" s="68"/>
      <c r="J683" s="68"/>
      <c r="L683" s="68"/>
      <c r="M683" s="68"/>
      <c r="O683" s="68"/>
      <c r="R683" s="68"/>
    </row>
    <row r="684" ht="15.75" customHeight="1">
      <c r="E684" s="68"/>
      <c r="J684" s="68"/>
      <c r="L684" s="68"/>
      <c r="M684" s="68"/>
      <c r="O684" s="68"/>
      <c r="R684" s="68"/>
    </row>
    <row r="685" ht="15.75" customHeight="1">
      <c r="E685" s="68"/>
      <c r="J685" s="68"/>
      <c r="L685" s="68"/>
      <c r="M685" s="68"/>
      <c r="O685" s="68"/>
      <c r="R685" s="68"/>
    </row>
    <row r="686" ht="15.75" customHeight="1">
      <c r="E686" s="68"/>
      <c r="J686" s="68"/>
      <c r="L686" s="68"/>
      <c r="M686" s="68"/>
      <c r="O686" s="68"/>
      <c r="R686" s="68"/>
    </row>
    <row r="687" ht="15.75" customHeight="1">
      <c r="E687" s="68"/>
      <c r="J687" s="68"/>
      <c r="L687" s="68"/>
      <c r="M687" s="68"/>
      <c r="O687" s="68"/>
      <c r="R687" s="68"/>
    </row>
    <row r="688" ht="15.75" customHeight="1">
      <c r="E688" s="68"/>
      <c r="J688" s="68"/>
      <c r="L688" s="68"/>
      <c r="M688" s="68"/>
      <c r="O688" s="68"/>
      <c r="R688" s="68"/>
    </row>
    <row r="689" ht="15.75" customHeight="1">
      <c r="E689" s="68"/>
      <c r="J689" s="68"/>
      <c r="L689" s="68"/>
      <c r="M689" s="68"/>
      <c r="O689" s="68"/>
      <c r="R689" s="68"/>
    </row>
    <row r="690" ht="15.75" customHeight="1">
      <c r="E690" s="68"/>
      <c r="J690" s="68"/>
      <c r="L690" s="68"/>
      <c r="M690" s="68"/>
      <c r="O690" s="68"/>
      <c r="R690" s="68"/>
    </row>
    <row r="691" ht="15.75" customHeight="1">
      <c r="E691" s="68"/>
      <c r="J691" s="68"/>
      <c r="L691" s="68"/>
      <c r="M691" s="68"/>
      <c r="O691" s="68"/>
      <c r="R691" s="68"/>
    </row>
    <row r="692" ht="15.75" customHeight="1">
      <c r="E692" s="68"/>
      <c r="J692" s="68"/>
      <c r="L692" s="68"/>
      <c r="M692" s="68"/>
      <c r="O692" s="68"/>
      <c r="R692" s="68"/>
    </row>
    <row r="693" ht="15.75" customHeight="1">
      <c r="E693" s="68"/>
      <c r="J693" s="68"/>
      <c r="L693" s="68"/>
      <c r="M693" s="68"/>
      <c r="O693" s="68"/>
      <c r="R693" s="68"/>
    </row>
    <row r="694" ht="15.75" customHeight="1">
      <c r="E694" s="68"/>
      <c r="J694" s="68"/>
      <c r="L694" s="68"/>
      <c r="M694" s="68"/>
      <c r="O694" s="68"/>
      <c r="R694" s="68"/>
    </row>
    <row r="695" ht="15.75" customHeight="1">
      <c r="E695" s="68"/>
      <c r="J695" s="68"/>
      <c r="L695" s="68"/>
      <c r="M695" s="68"/>
      <c r="O695" s="68"/>
      <c r="R695" s="68"/>
    </row>
    <row r="696" ht="15.75" customHeight="1">
      <c r="E696" s="68"/>
      <c r="J696" s="68"/>
      <c r="L696" s="68"/>
      <c r="M696" s="68"/>
      <c r="O696" s="68"/>
      <c r="R696" s="68"/>
    </row>
    <row r="697" ht="15.75" customHeight="1">
      <c r="E697" s="68"/>
      <c r="J697" s="68"/>
      <c r="L697" s="68"/>
      <c r="M697" s="68"/>
      <c r="O697" s="68"/>
      <c r="R697" s="68"/>
    </row>
    <row r="698" ht="15.75" customHeight="1">
      <c r="E698" s="68"/>
      <c r="J698" s="68"/>
      <c r="L698" s="68"/>
      <c r="M698" s="68"/>
      <c r="O698" s="68"/>
      <c r="R698" s="68"/>
    </row>
    <row r="699" ht="15.75" customHeight="1">
      <c r="E699" s="68"/>
      <c r="J699" s="68"/>
      <c r="L699" s="68"/>
      <c r="M699" s="68"/>
      <c r="O699" s="68"/>
      <c r="R699" s="68"/>
    </row>
    <row r="700" ht="15.75" customHeight="1">
      <c r="E700" s="68"/>
      <c r="J700" s="68"/>
      <c r="L700" s="68"/>
      <c r="M700" s="68"/>
      <c r="O700" s="68"/>
      <c r="R700" s="68"/>
    </row>
    <row r="701" ht="15.75" customHeight="1">
      <c r="E701" s="68"/>
      <c r="J701" s="68"/>
      <c r="L701" s="68"/>
      <c r="M701" s="68"/>
      <c r="O701" s="68"/>
      <c r="R701" s="68"/>
    </row>
    <row r="702" ht="15.75" customHeight="1">
      <c r="E702" s="68"/>
      <c r="J702" s="68"/>
      <c r="L702" s="68"/>
      <c r="M702" s="68"/>
      <c r="O702" s="68"/>
      <c r="R702" s="68"/>
    </row>
    <row r="703" ht="15.75" customHeight="1">
      <c r="E703" s="68"/>
      <c r="J703" s="68"/>
      <c r="L703" s="68"/>
      <c r="M703" s="68"/>
      <c r="O703" s="68"/>
      <c r="R703" s="68"/>
    </row>
    <row r="704" ht="15.75" customHeight="1">
      <c r="E704" s="68"/>
      <c r="J704" s="68"/>
      <c r="L704" s="68"/>
      <c r="M704" s="68"/>
      <c r="O704" s="68"/>
      <c r="R704" s="68"/>
    </row>
    <row r="705" ht="15.75" customHeight="1">
      <c r="E705" s="68"/>
      <c r="J705" s="68"/>
      <c r="L705" s="68"/>
      <c r="M705" s="68"/>
      <c r="O705" s="68"/>
      <c r="R705" s="68"/>
    </row>
    <row r="706" ht="15.75" customHeight="1">
      <c r="E706" s="68"/>
      <c r="J706" s="68"/>
      <c r="L706" s="68"/>
      <c r="M706" s="68"/>
      <c r="O706" s="68"/>
      <c r="R706" s="68"/>
    </row>
    <row r="707" ht="15.75" customHeight="1">
      <c r="E707" s="68"/>
      <c r="J707" s="68"/>
      <c r="L707" s="68"/>
      <c r="M707" s="68"/>
      <c r="O707" s="68"/>
      <c r="R707" s="68"/>
    </row>
    <row r="708" ht="15.75" customHeight="1">
      <c r="E708" s="68"/>
      <c r="J708" s="68"/>
      <c r="L708" s="68"/>
      <c r="M708" s="68"/>
      <c r="O708" s="68"/>
      <c r="R708" s="68"/>
    </row>
    <row r="709" ht="15.75" customHeight="1">
      <c r="E709" s="68"/>
      <c r="J709" s="68"/>
      <c r="L709" s="68"/>
      <c r="M709" s="68"/>
      <c r="O709" s="68"/>
      <c r="R709" s="68"/>
    </row>
    <row r="710" ht="15.75" customHeight="1">
      <c r="E710" s="68"/>
      <c r="J710" s="68"/>
      <c r="L710" s="68"/>
      <c r="M710" s="68"/>
      <c r="O710" s="68"/>
      <c r="R710" s="68"/>
    </row>
    <row r="711" ht="15.75" customHeight="1">
      <c r="E711" s="68"/>
      <c r="J711" s="68"/>
      <c r="L711" s="68"/>
      <c r="M711" s="68"/>
      <c r="O711" s="68"/>
      <c r="R711" s="68"/>
    </row>
    <row r="712" ht="15.75" customHeight="1">
      <c r="E712" s="68"/>
      <c r="J712" s="68"/>
      <c r="L712" s="68"/>
      <c r="M712" s="68"/>
      <c r="O712" s="68"/>
      <c r="R712" s="68"/>
    </row>
    <row r="713" ht="15.75" customHeight="1">
      <c r="E713" s="68"/>
      <c r="J713" s="68"/>
      <c r="L713" s="68"/>
      <c r="M713" s="68"/>
      <c r="O713" s="68"/>
      <c r="R713" s="68"/>
    </row>
    <row r="714" ht="15.75" customHeight="1">
      <c r="E714" s="68"/>
      <c r="J714" s="68"/>
      <c r="L714" s="68"/>
      <c r="M714" s="68"/>
      <c r="O714" s="68"/>
      <c r="R714" s="68"/>
    </row>
    <row r="715" ht="15.75" customHeight="1">
      <c r="E715" s="68"/>
      <c r="J715" s="68"/>
      <c r="L715" s="68"/>
      <c r="M715" s="68"/>
      <c r="O715" s="68"/>
      <c r="R715" s="68"/>
    </row>
    <row r="716" ht="15.75" customHeight="1">
      <c r="E716" s="68"/>
      <c r="J716" s="68"/>
      <c r="L716" s="68"/>
      <c r="M716" s="68"/>
      <c r="O716" s="68"/>
      <c r="R716" s="68"/>
    </row>
    <row r="717" ht="15.75" customHeight="1">
      <c r="E717" s="68"/>
      <c r="J717" s="68"/>
      <c r="L717" s="68"/>
      <c r="M717" s="68"/>
      <c r="O717" s="68"/>
      <c r="R717" s="68"/>
    </row>
    <row r="718" ht="15.75" customHeight="1">
      <c r="E718" s="68"/>
      <c r="J718" s="68"/>
      <c r="L718" s="68"/>
      <c r="M718" s="68"/>
      <c r="O718" s="68"/>
      <c r="R718" s="68"/>
    </row>
    <row r="719" ht="15.75" customHeight="1">
      <c r="E719" s="68"/>
      <c r="J719" s="68"/>
      <c r="L719" s="68"/>
      <c r="M719" s="68"/>
      <c r="O719" s="68"/>
      <c r="R719" s="68"/>
    </row>
    <row r="720" ht="15.75" customHeight="1">
      <c r="E720" s="68"/>
      <c r="J720" s="68"/>
      <c r="L720" s="68"/>
      <c r="M720" s="68"/>
      <c r="O720" s="68"/>
      <c r="R720" s="68"/>
    </row>
    <row r="721" ht="15.75" customHeight="1">
      <c r="E721" s="68"/>
      <c r="J721" s="68"/>
      <c r="L721" s="68"/>
      <c r="M721" s="68"/>
      <c r="O721" s="68"/>
      <c r="R721" s="68"/>
    </row>
    <row r="722" ht="15.75" customHeight="1">
      <c r="E722" s="68"/>
      <c r="J722" s="68"/>
      <c r="L722" s="68"/>
      <c r="M722" s="68"/>
      <c r="O722" s="68"/>
      <c r="R722" s="68"/>
    </row>
    <row r="723" ht="15.75" customHeight="1">
      <c r="E723" s="68"/>
      <c r="J723" s="68"/>
      <c r="L723" s="68"/>
      <c r="M723" s="68"/>
      <c r="O723" s="68"/>
      <c r="R723" s="68"/>
    </row>
    <row r="724" ht="15.75" customHeight="1">
      <c r="E724" s="68"/>
      <c r="J724" s="68"/>
      <c r="L724" s="68"/>
      <c r="M724" s="68"/>
      <c r="O724" s="68"/>
      <c r="R724" s="68"/>
    </row>
    <row r="725" ht="15.75" customHeight="1">
      <c r="E725" s="68"/>
      <c r="J725" s="68"/>
      <c r="L725" s="68"/>
      <c r="M725" s="68"/>
      <c r="O725" s="68"/>
      <c r="R725" s="68"/>
    </row>
    <row r="726" ht="15.75" customHeight="1">
      <c r="E726" s="68"/>
      <c r="J726" s="68"/>
      <c r="L726" s="68"/>
      <c r="M726" s="68"/>
      <c r="O726" s="68"/>
      <c r="R726" s="68"/>
    </row>
    <row r="727" ht="15.75" customHeight="1">
      <c r="E727" s="68"/>
      <c r="J727" s="68"/>
      <c r="L727" s="68"/>
      <c r="M727" s="68"/>
      <c r="O727" s="68"/>
      <c r="R727" s="68"/>
    </row>
    <row r="728" ht="15.75" customHeight="1">
      <c r="E728" s="68"/>
      <c r="J728" s="68"/>
      <c r="L728" s="68"/>
      <c r="M728" s="68"/>
      <c r="O728" s="68"/>
      <c r="R728" s="68"/>
    </row>
    <row r="729" ht="15.75" customHeight="1">
      <c r="E729" s="68"/>
      <c r="J729" s="68"/>
      <c r="L729" s="68"/>
      <c r="M729" s="68"/>
      <c r="O729" s="68"/>
      <c r="R729" s="68"/>
    </row>
    <row r="730" ht="15.75" customHeight="1">
      <c r="E730" s="68"/>
      <c r="J730" s="68"/>
      <c r="L730" s="68"/>
      <c r="M730" s="68"/>
      <c r="O730" s="68"/>
      <c r="R730" s="68"/>
    </row>
    <row r="731" ht="15.75" customHeight="1">
      <c r="E731" s="68"/>
      <c r="J731" s="68"/>
      <c r="L731" s="68"/>
      <c r="M731" s="68"/>
      <c r="O731" s="68"/>
      <c r="R731" s="68"/>
    </row>
    <row r="732" ht="15.75" customHeight="1">
      <c r="E732" s="68"/>
      <c r="J732" s="68"/>
      <c r="L732" s="68"/>
      <c r="M732" s="68"/>
      <c r="O732" s="68"/>
      <c r="R732" s="68"/>
    </row>
    <row r="733" ht="15.75" customHeight="1">
      <c r="E733" s="68"/>
      <c r="J733" s="68"/>
      <c r="L733" s="68"/>
      <c r="M733" s="68"/>
      <c r="O733" s="68"/>
      <c r="R733" s="68"/>
    </row>
    <row r="734" ht="15.75" customHeight="1">
      <c r="E734" s="68"/>
      <c r="J734" s="68"/>
      <c r="L734" s="68"/>
      <c r="M734" s="68"/>
      <c r="O734" s="68"/>
      <c r="R734" s="68"/>
    </row>
    <row r="735" ht="15.75" customHeight="1">
      <c r="E735" s="68"/>
      <c r="J735" s="68"/>
      <c r="L735" s="68"/>
      <c r="M735" s="68"/>
      <c r="O735" s="68"/>
      <c r="R735" s="68"/>
    </row>
    <row r="736" ht="15.75" customHeight="1">
      <c r="E736" s="68"/>
      <c r="J736" s="68"/>
      <c r="L736" s="68"/>
      <c r="M736" s="68"/>
      <c r="O736" s="68"/>
      <c r="R736" s="68"/>
    </row>
    <row r="737" ht="15.75" customHeight="1">
      <c r="E737" s="68"/>
      <c r="J737" s="68"/>
      <c r="L737" s="68"/>
      <c r="M737" s="68"/>
      <c r="O737" s="68"/>
      <c r="R737" s="68"/>
    </row>
    <row r="738" ht="15.75" customHeight="1">
      <c r="E738" s="68"/>
      <c r="J738" s="68"/>
      <c r="L738" s="68"/>
      <c r="M738" s="68"/>
      <c r="O738" s="68"/>
      <c r="R738" s="68"/>
    </row>
    <row r="739" ht="15.75" customHeight="1">
      <c r="E739" s="68"/>
      <c r="J739" s="68"/>
      <c r="L739" s="68"/>
      <c r="M739" s="68"/>
      <c r="O739" s="68"/>
      <c r="R739" s="68"/>
    </row>
    <row r="740" ht="15.75" customHeight="1">
      <c r="E740" s="68"/>
      <c r="J740" s="68"/>
      <c r="L740" s="68"/>
      <c r="M740" s="68"/>
      <c r="O740" s="68"/>
      <c r="R740" s="68"/>
    </row>
    <row r="741" ht="15.75" customHeight="1">
      <c r="E741" s="68"/>
      <c r="J741" s="68"/>
      <c r="L741" s="68"/>
      <c r="M741" s="68"/>
      <c r="O741" s="68"/>
      <c r="R741" s="68"/>
    </row>
    <row r="742" ht="15.75" customHeight="1">
      <c r="E742" s="68"/>
      <c r="J742" s="68"/>
      <c r="L742" s="68"/>
      <c r="M742" s="68"/>
      <c r="O742" s="68"/>
      <c r="R742" s="68"/>
    </row>
    <row r="743" ht="15.75" customHeight="1">
      <c r="E743" s="68"/>
      <c r="J743" s="68"/>
      <c r="L743" s="68"/>
      <c r="M743" s="68"/>
      <c r="O743" s="68"/>
      <c r="R743" s="68"/>
    </row>
    <row r="744" ht="15.75" customHeight="1">
      <c r="E744" s="68"/>
      <c r="J744" s="68"/>
      <c r="L744" s="68"/>
      <c r="M744" s="68"/>
      <c r="O744" s="68"/>
      <c r="R744" s="68"/>
    </row>
    <row r="745" ht="15.75" customHeight="1">
      <c r="E745" s="68"/>
      <c r="J745" s="68"/>
      <c r="L745" s="68"/>
      <c r="M745" s="68"/>
      <c r="O745" s="68"/>
      <c r="R745" s="68"/>
    </row>
    <row r="746" ht="15.75" customHeight="1">
      <c r="E746" s="68"/>
      <c r="J746" s="68"/>
      <c r="L746" s="68"/>
      <c r="M746" s="68"/>
      <c r="O746" s="68"/>
      <c r="R746" s="68"/>
    </row>
    <row r="747" ht="15.75" customHeight="1">
      <c r="E747" s="68"/>
      <c r="J747" s="68"/>
      <c r="L747" s="68"/>
      <c r="M747" s="68"/>
      <c r="O747" s="68"/>
      <c r="R747" s="68"/>
    </row>
    <row r="748" ht="15.75" customHeight="1">
      <c r="E748" s="68"/>
      <c r="J748" s="68"/>
      <c r="L748" s="68"/>
      <c r="M748" s="68"/>
      <c r="O748" s="68"/>
      <c r="R748" s="68"/>
    </row>
    <row r="749" ht="15.75" customHeight="1">
      <c r="E749" s="68"/>
      <c r="J749" s="68"/>
      <c r="L749" s="68"/>
      <c r="M749" s="68"/>
      <c r="O749" s="68"/>
      <c r="R749" s="68"/>
    </row>
    <row r="750" ht="15.75" customHeight="1">
      <c r="E750" s="68"/>
      <c r="J750" s="68"/>
      <c r="L750" s="68"/>
      <c r="M750" s="68"/>
      <c r="O750" s="68"/>
      <c r="R750" s="68"/>
    </row>
    <row r="751" ht="15.75" customHeight="1">
      <c r="E751" s="68"/>
      <c r="J751" s="68"/>
      <c r="L751" s="68"/>
      <c r="M751" s="68"/>
      <c r="O751" s="68"/>
      <c r="R751" s="68"/>
    </row>
    <row r="752" ht="15.75" customHeight="1">
      <c r="E752" s="68"/>
      <c r="J752" s="68"/>
      <c r="L752" s="68"/>
      <c r="M752" s="68"/>
      <c r="O752" s="68"/>
      <c r="R752" s="68"/>
    </row>
    <row r="753" ht="15.75" customHeight="1">
      <c r="E753" s="68"/>
      <c r="J753" s="68"/>
      <c r="L753" s="68"/>
      <c r="M753" s="68"/>
      <c r="O753" s="68"/>
      <c r="R753" s="68"/>
    </row>
    <row r="754" ht="15.75" customHeight="1">
      <c r="E754" s="68"/>
      <c r="J754" s="68"/>
      <c r="L754" s="68"/>
      <c r="M754" s="68"/>
      <c r="O754" s="68"/>
      <c r="R754" s="68"/>
    </row>
    <row r="755" ht="15.75" customHeight="1">
      <c r="E755" s="68"/>
      <c r="J755" s="68"/>
      <c r="L755" s="68"/>
      <c r="M755" s="68"/>
      <c r="O755" s="68"/>
      <c r="R755" s="68"/>
    </row>
    <row r="756" ht="15.75" customHeight="1">
      <c r="E756" s="68"/>
      <c r="J756" s="68"/>
      <c r="L756" s="68"/>
      <c r="M756" s="68"/>
      <c r="O756" s="68"/>
      <c r="R756" s="68"/>
    </row>
    <row r="757" ht="15.75" customHeight="1">
      <c r="E757" s="68"/>
      <c r="J757" s="68"/>
      <c r="L757" s="68"/>
      <c r="M757" s="68"/>
      <c r="O757" s="68"/>
      <c r="R757" s="68"/>
    </row>
    <row r="758" ht="15.75" customHeight="1">
      <c r="E758" s="68"/>
      <c r="J758" s="68"/>
      <c r="L758" s="68"/>
      <c r="M758" s="68"/>
      <c r="O758" s="68"/>
      <c r="R758" s="68"/>
    </row>
    <row r="759" ht="15.75" customHeight="1">
      <c r="E759" s="68"/>
      <c r="J759" s="68"/>
      <c r="L759" s="68"/>
      <c r="M759" s="68"/>
      <c r="O759" s="68"/>
      <c r="R759" s="68"/>
    </row>
    <row r="760" ht="15.75" customHeight="1">
      <c r="E760" s="68"/>
      <c r="J760" s="68"/>
      <c r="L760" s="68"/>
      <c r="M760" s="68"/>
      <c r="O760" s="68"/>
      <c r="R760" s="68"/>
    </row>
    <row r="761" ht="15.75" customHeight="1">
      <c r="E761" s="68"/>
      <c r="J761" s="68"/>
      <c r="L761" s="68"/>
      <c r="M761" s="68"/>
      <c r="O761" s="68"/>
      <c r="R761" s="68"/>
    </row>
    <row r="762" ht="15.75" customHeight="1">
      <c r="E762" s="68"/>
      <c r="J762" s="68"/>
      <c r="L762" s="68"/>
      <c r="M762" s="68"/>
      <c r="O762" s="68"/>
      <c r="R762" s="68"/>
    </row>
    <row r="763" ht="15.75" customHeight="1">
      <c r="E763" s="68"/>
      <c r="J763" s="68"/>
      <c r="L763" s="68"/>
      <c r="M763" s="68"/>
      <c r="O763" s="68"/>
      <c r="R763" s="68"/>
    </row>
    <row r="764" ht="15.75" customHeight="1">
      <c r="E764" s="68"/>
      <c r="J764" s="68"/>
      <c r="L764" s="68"/>
      <c r="M764" s="68"/>
      <c r="O764" s="68"/>
      <c r="R764" s="68"/>
    </row>
    <row r="765" ht="15.75" customHeight="1">
      <c r="E765" s="68"/>
      <c r="J765" s="68"/>
      <c r="L765" s="68"/>
      <c r="M765" s="68"/>
      <c r="O765" s="68"/>
      <c r="R765" s="68"/>
    </row>
    <row r="766" ht="15.75" customHeight="1">
      <c r="E766" s="68"/>
      <c r="J766" s="68"/>
      <c r="L766" s="68"/>
      <c r="M766" s="68"/>
      <c r="O766" s="68"/>
      <c r="R766" s="68"/>
    </row>
    <row r="767" ht="15.75" customHeight="1">
      <c r="E767" s="68"/>
      <c r="J767" s="68"/>
      <c r="L767" s="68"/>
      <c r="M767" s="68"/>
      <c r="O767" s="68"/>
      <c r="R767" s="68"/>
    </row>
    <row r="768" ht="15.75" customHeight="1">
      <c r="E768" s="68"/>
      <c r="J768" s="68"/>
      <c r="L768" s="68"/>
      <c r="M768" s="68"/>
      <c r="O768" s="68"/>
      <c r="R768" s="68"/>
    </row>
    <row r="769" ht="15.75" customHeight="1">
      <c r="E769" s="68"/>
      <c r="J769" s="68"/>
      <c r="L769" s="68"/>
      <c r="M769" s="68"/>
      <c r="O769" s="68"/>
      <c r="R769" s="68"/>
    </row>
    <row r="770" ht="15.75" customHeight="1">
      <c r="E770" s="68"/>
      <c r="J770" s="68"/>
      <c r="L770" s="68"/>
      <c r="M770" s="68"/>
      <c r="O770" s="68"/>
      <c r="R770" s="68"/>
    </row>
    <row r="771" ht="15.75" customHeight="1">
      <c r="E771" s="68"/>
      <c r="J771" s="68"/>
      <c r="L771" s="68"/>
      <c r="M771" s="68"/>
      <c r="O771" s="68"/>
      <c r="R771" s="68"/>
    </row>
    <row r="772" ht="15.75" customHeight="1">
      <c r="E772" s="68"/>
      <c r="J772" s="68"/>
      <c r="L772" s="68"/>
      <c r="M772" s="68"/>
      <c r="O772" s="68"/>
      <c r="R772" s="68"/>
    </row>
    <row r="773" ht="15.75" customHeight="1">
      <c r="E773" s="68"/>
      <c r="J773" s="68"/>
      <c r="L773" s="68"/>
      <c r="M773" s="68"/>
      <c r="O773" s="68"/>
      <c r="R773" s="68"/>
    </row>
    <row r="774" ht="15.75" customHeight="1">
      <c r="E774" s="68"/>
      <c r="J774" s="68"/>
      <c r="L774" s="68"/>
      <c r="M774" s="68"/>
      <c r="O774" s="68"/>
      <c r="R774" s="68"/>
    </row>
    <row r="775" ht="15.75" customHeight="1">
      <c r="E775" s="68"/>
      <c r="J775" s="68"/>
      <c r="L775" s="68"/>
      <c r="M775" s="68"/>
      <c r="O775" s="68"/>
      <c r="R775" s="68"/>
    </row>
    <row r="776" ht="15.75" customHeight="1">
      <c r="E776" s="68"/>
      <c r="J776" s="68"/>
      <c r="L776" s="68"/>
      <c r="M776" s="68"/>
      <c r="O776" s="68"/>
      <c r="R776" s="68"/>
    </row>
    <row r="777" ht="15.75" customHeight="1">
      <c r="E777" s="68"/>
      <c r="J777" s="68"/>
      <c r="L777" s="68"/>
      <c r="M777" s="68"/>
      <c r="O777" s="68"/>
      <c r="R777" s="68"/>
    </row>
    <row r="778" ht="15.75" customHeight="1">
      <c r="E778" s="68"/>
      <c r="J778" s="68"/>
      <c r="L778" s="68"/>
      <c r="M778" s="68"/>
      <c r="O778" s="68"/>
      <c r="R778" s="68"/>
    </row>
    <row r="779" ht="15.75" customHeight="1">
      <c r="E779" s="68"/>
      <c r="J779" s="68"/>
      <c r="L779" s="68"/>
      <c r="M779" s="68"/>
      <c r="O779" s="68"/>
      <c r="R779" s="68"/>
    </row>
    <row r="780" ht="15.75" customHeight="1">
      <c r="E780" s="68"/>
      <c r="J780" s="68"/>
      <c r="L780" s="68"/>
      <c r="M780" s="68"/>
      <c r="O780" s="68"/>
      <c r="R780" s="68"/>
    </row>
    <row r="781" ht="15.75" customHeight="1">
      <c r="E781" s="68"/>
      <c r="J781" s="68"/>
      <c r="L781" s="68"/>
      <c r="M781" s="68"/>
      <c r="O781" s="68"/>
      <c r="R781" s="68"/>
    </row>
    <row r="782" ht="15.75" customHeight="1">
      <c r="E782" s="68"/>
      <c r="J782" s="68"/>
      <c r="L782" s="68"/>
      <c r="M782" s="68"/>
      <c r="O782" s="68"/>
      <c r="R782" s="68"/>
    </row>
    <row r="783" ht="15.75" customHeight="1">
      <c r="E783" s="68"/>
      <c r="J783" s="68"/>
      <c r="L783" s="68"/>
      <c r="M783" s="68"/>
      <c r="O783" s="68"/>
      <c r="R783" s="68"/>
    </row>
    <row r="784" ht="15.75" customHeight="1">
      <c r="E784" s="68"/>
      <c r="J784" s="68"/>
      <c r="L784" s="68"/>
      <c r="M784" s="68"/>
      <c r="O784" s="68"/>
      <c r="R784" s="68"/>
    </row>
    <row r="785" ht="15.75" customHeight="1">
      <c r="E785" s="68"/>
      <c r="J785" s="68"/>
      <c r="L785" s="68"/>
      <c r="M785" s="68"/>
      <c r="O785" s="68"/>
      <c r="R785" s="68"/>
    </row>
    <row r="786" ht="15.75" customHeight="1">
      <c r="E786" s="68"/>
      <c r="J786" s="68"/>
      <c r="L786" s="68"/>
      <c r="M786" s="68"/>
      <c r="O786" s="68"/>
      <c r="R786" s="68"/>
    </row>
    <row r="787" ht="15.75" customHeight="1">
      <c r="E787" s="68"/>
      <c r="J787" s="68"/>
      <c r="L787" s="68"/>
      <c r="M787" s="68"/>
      <c r="O787" s="68"/>
      <c r="R787" s="68"/>
    </row>
    <row r="788" ht="15.75" customHeight="1">
      <c r="E788" s="68"/>
      <c r="J788" s="68"/>
      <c r="L788" s="68"/>
      <c r="M788" s="68"/>
      <c r="O788" s="68"/>
      <c r="R788" s="68"/>
    </row>
    <row r="789" ht="15.75" customHeight="1">
      <c r="E789" s="68"/>
      <c r="J789" s="68"/>
      <c r="L789" s="68"/>
      <c r="M789" s="68"/>
      <c r="O789" s="68"/>
      <c r="R789" s="68"/>
    </row>
    <row r="790" ht="15.75" customHeight="1">
      <c r="E790" s="68"/>
      <c r="J790" s="68"/>
      <c r="L790" s="68"/>
      <c r="M790" s="68"/>
      <c r="O790" s="68"/>
      <c r="R790" s="68"/>
    </row>
    <row r="791" ht="15.75" customHeight="1">
      <c r="E791" s="68"/>
      <c r="J791" s="68"/>
      <c r="L791" s="68"/>
      <c r="M791" s="68"/>
      <c r="O791" s="68"/>
      <c r="R791" s="68"/>
    </row>
    <row r="792" ht="15.75" customHeight="1">
      <c r="E792" s="68"/>
      <c r="J792" s="68"/>
      <c r="L792" s="68"/>
      <c r="M792" s="68"/>
      <c r="O792" s="68"/>
      <c r="R792" s="68"/>
    </row>
    <row r="793" ht="15.75" customHeight="1">
      <c r="E793" s="68"/>
      <c r="J793" s="68"/>
      <c r="L793" s="68"/>
      <c r="M793" s="68"/>
      <c r="O793" s="68"/>
      <c r="R793" s="68"/>
    </row>
    <row r="794" ht="15.75" customHeight="1">
      <c r="E794" s="68"/>
      <c r="J794" s="68"/>
      <c r="L794" s="68"/>
      <c r="M794" s="68"/>
      <c r="O794" s="68"/>
      <c r="R794" s="68"/>
    </row>
    <row r="795" ht="15.75" customHeight="1">
      <c r="E795" s="68"/>
      <c r="J795" s="68"/>
      <c r="L795" s="68"/>
      <c r="M795" s="68"/>
      <c r="O795" s="68"/>
      <c r="R795" s="68"/>
    </row>
    <row r="796" ht="15.75" customHeight="1">
      <c r="E796" s="68"/>
      <c r="J796" s="68"/>
      <c r="L796" s="68"/>
      <c r="M796" s="68"/>
      <c r="O796" s="68"/>
      <c r="R796" s="68"/>
    </row>
    <row r="797" ht="15.75" customHeight="1">
      <c r="E797" s="68"/>
      <c r="J797" s="68"/>
      <c r="L797" s="68"/>
      <c r="M797" s="68"/>
      <c r="O797" s="68"/>
      <c r="R797" s="68"/>
    </row>
    <row r="798" ht="15.75" customHeight="1">
      <c r="E798" s="68"/>
      <c r="J798" s="68"/>
      <c r="L798" s="68"/>
      <c r="M798" s="68"/>
      <c r="O798" s="68"/>
      <c r="R798" s="68"/>
    </row>
    <row r="799" ht="15.75" customHeight="1">
      <c r="E799" s="68"/>
      <c r="J799" s="68"/>
      <c r="L799" s="68"/>
      <c r="M799" s="68"/>
      <c r="O799" s="68"/>
      <c r="R799" s="68"/>
    </row>
    <row r="800" ht="15.75" customHeight="1">
      <c r="E800" s="68"/>
      <c r="J800" s="68"/>
      <c r="L800" s="68"/>
      <c r="M800" s="68"/>
      <c r="O800" s="68"/>
      <c r="R800" s="68"/>
    </row>
    <row r="801" ht="15.75" customHeight="1">
      <c r="E801" s="68"/>
      <c r="J801" s="68"/>
      <c r="L801" s="68"/>
      <c r="M801" s="68"/>
      <c r="O801" s="68"/>
      <c r="R801" s="68"/>
    </row>
    <row r="802" ht="15.75" customHeight="1">
      <c r="E802" s="68"/>
      <c r="J802" s="68"/>
      <c r="L802" s="68"/>
      <c r="M802" s="68"/>
      <c r="O802" s="68"/>
      <c r="R802" s="68"/>
    </row>
    <row r="803" ht="15.75" customHeight="1">
      <c r="E803" s="68"/>
      <c r="J803" s="68"/>
      <c r="L803" s="68"/>
      <c r="M803" s="68"/>
      <c r="O803" s="68"/>
      <c r="R803" s="68"/>
    </row>
    <row r="804" ht="15.75" customHeight="1">
      <c r="E804" s="68"/>
      <c r="J804" s="68"/>
      <c r="L804" s="68"/>
      <c r="M804" s="68"/>
      <c r="O804" s="68"/>
      <c r="R804" s="68"/>
    </row>
    <row r="805" ht="15.75" customHeight="1">
      <c r="E805" s="68"/>
      <c r="J805" s="68"/>
      <c r="L805" s="68"/>
      <c r="M805" s="68"/>
      <c r="O805" s="68"/>
      <c r="R805" s="68"/>
    </row>
    <row r="806" ht="15.75" customHeight="1">
      <c r="E806" s="68"/>
      <c r="J806" s="68"/>
      <c r="L806" s="68"/>
      <c r="M806" s="68"/>
      <c r="O806" s="68"/>
      <c r="R806" s="68"/>
    </row>
    <row r="807" ht="15.75" customHeight="1">
      <c r="E807" s="68"/>
      <c r="J807" s="68"/>
      <c r="L807" s="68"/>
      <c r="M807" s="68"/>
      <c r="O807" s="68"/>
      <c r="R807" s="68"/>
    </row>
    <row r="808" ht="15.75" customHeight="1">
      <c r="E808" s="68"/>
      <c r="J808" s="68"/>
      <c r="L808" s="68"/>
      <c r="M808" s="68"/>
      <c r="O808" s="68"/>
      <c r="R808" s="68"/>
    </row>
    <row r="809" ht="15.75" customHeight="1">
      <c r="E809" s="68"/>
      <c r="J809" s="68"/>
      <c r="L809" s="68"/>
      <c r="M809" s="68"/>
      <c r="O809" s="68"/>
      <c r="R809" s="68"/>
    </row>
    <row r="810" ht="15.75" customHeight="1">
      <c r="E810" s="68"/>
      <c r="J810" s="68"/>
      <c r="L810" s="68"/>
      <c r="M810" s="68"/>
      <c r="O810" s="68"/>
      <c r="R810" s="68"/>
    </row>
    <row r="811" ht="15.75" customHeight="1">
      <c r="E811" s="68"/>
      <c r="J811" s="68"/>
      <c r="L811" s="68"/>
      <c r="M811" s="68"/>
      <c r="O811" s="68"/>
      <c r="R811" s="68"/>
    </row>
    <row r="812" ht="15.75" customHeight="1">
      <c r="E812" s="68"/>
      <c r="J812" s="68"/>
      <c r="L812" s="68"/>
      <c r="M812" s="68"/>
      <c r="O812" s="68"/>
      <c r="R812" s="68"/>
    </row>
    <row r="813" ht="15.75" customHeight="1">
      <c r="E813" s="68"/>
      <c r="J813" s="68"/>
      <c r="L813" s="68"/>
      <c r="M813" s="68"/>
      <c r="O813" s="68"/>
      <c r="R813" s="68"/>
    </row>
    <row r="814" ht="15.75" customHeight="1">
      <c r="E814" s="68"/>
      <c r="J814" s="68"/>
      <c r="L814" s="68"/>
      <c r="M814" s="68"/>
      <c r="O814" s="68"/>
      <c r="R814" s="68"/>
    </row>
    <row r="815" ht="15.75" customHeight="1">
      <c r="E815" s="68"/>
      <c r="J815" s="68"/>
      <c r="L815" s="68"/>
      <c r="M815" s="68"/>
      <c r="O815" s="68"/>
      <c r="R815" s="68"/>
    </row>
    <row r="816" ht="15.75" customHeight="1">
      <c r="E816" s="68"/>
      <c r="J816" s="68"/>
      <c r="L816" s="68"/>
      <c r="M816" s="68"/>
      <c r="O816" s="68"/>
      <c r="R816" s="68"/>
    </row>
    <row r="817" ht="15.75" customHeight="1">
      <c r="E817" s="68"/>
      <c r="J817" s="68"/>
      <c r="L817" s="68"/>
      <c r="M817" s="68"/>
      <c r="O817" s="68"/>
      <c r="R817" s="68"/>
    </row>
    <row r="818" ht="15.75" customHeight="1">
      <c r="E818" s="68"/>
      <c r="J818" s="68"/>
      <c r="L818" s="68"/>
      <c r="M818" s="68"/>
      <c r="O818" s="68"/>
      <c r="R818" s="68"/>
    </row>
    <row r="819" ht="15.75" customHeight="1">
      <c r="E819" s="68"/>
      <c r="J819" s="68"/>
      <c r="L819" s="68"/>
      <c r="M819" s="68"/>
      <c r="O819" s="68"/>
      <c r="R819" s="68"/>
    </row>
    <row r="820" ht="15.75" customHeight="1">
      <c r="E820" s="68"/>
      <c r="J820" s="68"/>
      <c r="L820" s="68"/>
      <c r="M820" s="68"/>
      <c r="O820" s="68"/>
      <c r="R820" s="68"/>
    </row>
    <row r="821" ht="15.75" customHeight="1">
      <c r="E821" s="68"/>
      <c r="J821" s="68"/>
      <c r="L821" s="68"/>
      <c r="M821" s="68"/>
      <c r="O821" s="68"/>
      <c r="R821" s="68"/>
    </row>
    <row r="822" ht="15.75" customHeight="1">
      <c r="E822" s="68"/>
      <c r="J822" s="68"/>
      <c r="L822" s="68"/>
      <c r="M822" s="68"/>
      <c r="O822" s="68"/>
      <c r="R822" s="68"/>
    </row>
    <row r="823" ht="15.75" customHeight="1">
      <c r="E823" s="68"/>
      <c r="J823" s="68"/>
      <c r="L823" s="68"/>
      <c r="M823" s="68"/>
      <c r="O823" s="68"/>
      <c r="R823" s="68"/>
    </row>
    <row r="824" ht="15.75" customHeight="1">
      <c r="E824" s="68"/>
      <c r="J824" s="68"/>
      <c r="L824" s="68"/>
      <c r="M824" s="68"/>
      <c r="O824" s="68"/>
      <c r="R824" s="68"/>
    </row>
    <row r="825" ht="15.75" customHeight="1">
      <c r="E825" s="68"/>
      <c r="J825" s="68"/>
      <c r="L825" s="68"/>
      <c r="M825" s="68"/>
      <c r="O825" s="68"/>
      <c r="R825" s="68"/>
    </row>
    <row r="826" ht="15.75" customHeight="1">
      <c r="E826" s="68"/>
      <c r="J826" s="68"/>
      <c r="L826" s="68"/>
      <c r="M826" s="68"/>
      <c r="O826" s="68"/>
      <c r="R826" s="68"/>
    </row>
    <row r="827" ht="15.75" customHeight="1">
      <c r="E827" s="68"/>
      <c r="J827" s="68"/>
      <c r="L827" s="68"/>
      <c r="M827" s="68"/>
      <c r="O827" s="68"/>
      <c r="R827" s="68"/>
    </row>
    <row r="828" ht="15.75" customHeight="1">
      <c r="E828" s="68"/>
      <c r="J828" s="68"/>
      <c r="L828" s="68"/>
      <c r="M828" s="68"/>
      <c r="O828" s="68"/>
      <c r="R828" s="68"/>
    </row>
    <row r="829" ht="15.75" customHeight="1">
      <c r="E829" s="68"/>
      <c r="J829" s="68"/>
      <c r="L829" s="68"/>
      <c r="M829" s="68"/>
      <c r="O829" s="68"/>
      <c r="R829" s="68"/>
    </row>
    <row r="830" ht="15.75" customHeight="1">
      <c r="E830" s="68"/>
      <c r="J830" s="68"/>
      <c r="L830" s="68"/>
      <c r="M830" s="68"/>
      <c r="O830" s="68"/>
      <c r="R830" s="68"/>
    </row>
    <row r="831" ht="15.75" customHeight="1">
      <c r="E831" s="68"/>
      <c r="J831" s="68"/>
      <c r="L831" s="68"/>
      <c r="M831" s="68"/>
      <c r="O831" s="68"/>
      <c r="R831" s="68"/>
    </row>
    <row r="832" ht="15.75" customHeight="1">
      <c r="E832" s="68"/>
      <c r="J832" s="68"/>
      <c r="L832" s="68"/>
      <c r="M832" s="68"/>
      <c r="O832" s="68"/>
      <c r="R832" s="68"/>
    </row>
    <row r="833" ht="15.75" customHeight="1">
      <c r="E833" s="68"/>
      <c r="J833" s="68"/>
      <c r="L833" s="68"/>
      <c r="M833" s="68"/>
      <c r="O833" s="68"/>
      <c r="R833" s="68"/>
    </row>
    <row r="834" ht="15.75" customHeight="1">
      <c r="E834" s="68"/>
      <c r="J834" s="68"/>
      <c r="L834" s="68"/>
      <c r="M834" s="68"/>
      <c r="O834" s="68"/>
      <c r="R834" s="68"/>
    </row>
    <row r="835" ht="15.75" customHeight="1">
      <c r="E835" s="68"/>
      <c r="J835" s="68"/>
      <c r="L835" s="68"/>
      <c r="M835" s="68"/>
      <c r="O835" s="68"/>
      <c r="R835" s="68"/>
    </row>
    <row r="836" ht="15.75" customHeight="1">
      <c r="E836" s="68"/>
      <c r="J836" s="68"/>
      <c r="L836" s="68"/>
      <c r="M836" s="68"/>
      <c r="O836" s="68"/>
      <c r="R836" s="68"/>
    </row>
    <row r="837" ht="15.75" customHeight="1">
      <c r="E837" s="68"/>
      <c r="J837" s="68"/>
      <c r="L837" s="68"/>
      <c r="M837" s="68"/>
      <c r="O837" s="68"/>
      <c r="R837" s="68"/>
    </row>
    <row r="838" ht="15.75" customHeight="1">
      <c r="E838" s="68"/>
      <c r="J838" s="68"/>
      <c r="L838" s="68"/>
      <c r="M838" s="68"/>
      <c r="O838" s="68"/>
      <c r="R838" s="68"/>
    </row>
    <row r="839" ht="15.75" customHeight="1">
      <c r="E839" s="68"/>
      <c r="J839" s="68"/>
      <c r="L839" s="68"/>
      <c r="M839" s="68"/>
      <c r="O839" s="68"/>
      <c r="R839" s="68"/>
    </row>
    <row r="840" ht="15.75" customHeight="1">
      <c r="E840" s="68"/>
      <c r="J840" s="68"/>
      <c r="L840" s="68"/>
      <c r="M840" s="68"/>
      <c r="O840" s="68"/>
      <c r="R840" s="68"/>
    </row>
    <row r="841" ht="15.75" customHeight="1">
      <c r="E841" s="68"/>
      <c r="J841" s="68"/>
      <c r="L841" s="68"/>
      <c r="M841" s="68"/>
      <c r="O841" s="68"/>
      <c r="R841" s="68"/>
    </row>
    <row r="842" ht="15.75" customHeight="1">
      <c r="E842" s="68"/>
      <c r="J842" s="68"/>
      <c r="L842" s="68"/>
      <c r="M842" s="68"/>
      <c r="O842" s="68"/>
      <c r="R842" s="68"/>
    </row>
    <row r="843" ht="15.75" customHeight="1">
      <c r="E843" s="68"/>
      <c r="J843" s="68"/>
      <c r="L843" s="68"/>
      <c r="M843" s="68"/>
      <c r="O843" s="68"/>
      <c r="R843" s="68"/>
    </row>
    <row r="844" ht="15.75" customHeight="1">
      <c r="E844" s="68"/>
      <c r="J844" s="68"/>
      <c r="L844" s="68"/>
      <c r="M844" s="68"/>
      <c r="O844" s="68"/>
      <c r="R844" s="68"/>
    </row>
    <row r="845" ht="15.75" customHeight="1">
      <c r="E845" s="68"/>
      <c r="J845" s="68"/>
      <c r="L845" s="68"/>
      <c r="M845" s="68"/>
      <c r="O845" s="68"/>
      <c r="R845" s="68"/>
    </row>
    <row r="846" ht="15.75" customHeight="1">
      <c r="E846" s="68"/>
      <c r="J846" s="68"/>
      <c r="L846" s="68"/>
      <c r="M846" s="68"/>
      <c r="O846" s="68"/>
      <c r="R846" s="68"/>
    </row>
    <row r="847" ht="15.75" customHeight="1">
      <c r="E847" s="68"/>
      <c r="J847" s="68"/>
      <c r="L847" s="68"/>
      <c r="M847" s="68"/>
      <c r="O847" s="68"/>
      <c r="R847" s="68"/>
    </row>
    <row r="848" ht="15.75" customHeight="1">
      <c r="E848" s="68"/>
      <c r="J848" s="68"/>
      <c r="L848" s="68"/>
      <c r="M848" s="68"/>
      <c r="O848" s="68"/>
      <c r="R848" s="68"/>
    </row>
    <row r="849" ht="15.75" customHeight="1">
      <c r="E849" s="68"/>
      <c r="J849" s="68"/>
      <c r="L849" s="68"/>
      <c r="M849" s="68"/>
      <c r="O849" s="68"/>
      <c r="R849" s="68"/>
    </row>
    <row r="850" ht="15.75" customHeight="1">
      <c r="E850" s="68"/>
      <c r="J850" s="68"/>
      <c r="L850" s="68"/>
      <c r="M850" s="68"/>
      <c r="O850" s="68"/>
      <c r="R850" s="68"/>
    </row>
    <row r="851" ht="15.75" customHeight="1">
      <c r="E851" s="68"/>
      <c r="J851" s="68"/>
      <c r="L851" s="68"/>
      <c r="M851" s="68"/>
      <c r="O851" s="68"/>
      <c r="R851" s="68"/>
    </row>
    <row r="852" ht="15.75" customHeight="1">
      <c r="E852" s="68"/>
      <c r="J852" s="68"/>
      <c r="L852" s="68"/>
      <c r="M852" s="68"/>
      <c r="O852" s="68"/>
      <c r="R852" s="68"/>
    </row>
    <row r="853" ht="15.75" customHeight="1">
      <c r="E853" s="68"/>
      <c r="J853" s="68"/>
      <c r="L853" s="68"/>
      <c r="M853" s="68"/>
      <c r="O853" s="68"/>
      <c r="R853" s="68"/>
    </row>
    <row r="854" ht="15.75" customHeight="1">
      <c r="E854" s="68"/>
      <c r="J854" s="68"/>
      <c r="L854" s="68"/>
      <c r="M854" s="68"/>
      <c r="O854" s="68"/>
      <c r="R854" s="68"/>
    </row>
    <row r="855" ht="15.75" customHeight="1">
      <c r="E855" s="68"/>
      <c r="J855" s="68"/>
      <c r="L855" s="68"/>
      <c r="M855" s="68"/>
      <c r="O855" s="68"/>
      <c r="R855" s="68"/>
    </row>
    <row r="856" ht="15.75" customHeight="1">
      <c r="E856" s="68"/>
      <c r="J856" s="68"/>
      <c r="L856" s="68"/>
      <c r="M856" s="68"/>
      <c r="O856" s="68"/>
      <c r="R856" s="68"/>
    </row>
    <row r="857" ht="15.75" customHeight="1">
      <c r="E857" s="68"/>
      <c r="J857" s="68"/>
      <c r="L857" s="68"/>
      <c r="M857" s="68"/>
      <c r="O857" s="68"/>
      <c r="R857" s="68"/>
    </row>
    <row r="858" ht="15.75" customHeight="1">
      <c r="E858" s="68"/>
      <c r="J858" s="68"/>
      <c r="L858" s="68"/>
      <c r="M858" s="68"/>
      <c r="O858" s="68"/>
      <c r="R858" s="68"/>
    </row>
    <row r="859" ht="15.75" customHeight="1">
      <c r="E859" s="68"/>
      <c r="J859" s="68"/>
      <c r="L859" s="68"/>
      <c r="M859" s="68"/>
      <c r="O859" s="68"/>
      <c r="R859" s="68"/>
    </row>
    <row r="860" ht="15.75" customHeight="1">
      <c r="E860" s="68"/>
      <c r="J860" s="68"/>
      <c r="L860" s="68"/>
      <c r="M860" s="68"/>
      <c r="O860" s="68"/>
      <c r="R860" s="68"/>
    </row>
    <row r="861" ht="15.75" customHeight="1">
      <c r="E861" s="68"/>
      <c r="J861" s="68"/>
      <c r="L861" s="68"/>
      <c r="M861" s="68"/>
      <c r="O861" s="68"/>
      <c r="R861" s="68"/>
    </row>
    <row r="862" ht="15.75" customHeight="1">
      <c r="E862" s="68"/>
      <c r="J862" s="68"/>
      <c r="L862" s="68"/>
      <c r="M862" s="68"/>
      <c r="O862" s="68"/>
      <c r="R862" s="68"/>
    </row>
    <row r="863" ht="15.75" customHeight="1">
      <c r="E863" s="68"/>
      <c r="J863" s="68"/>
      <c r="L863" s="68"/>
      <c r="M863" s="68"/>
      <c r="O863" s="68"/>
      <c r="R863" s="68"/>
    </row>
    <row r="864" ht="15.75" customHeight="1">
      <c r="E864" s="68"/>
      <c r="J864" s="68"/>
      <c r="L864" s="68"/>
      <c r="M864" s="68"/>
      <c r="O864" s="68"/>
      <c r="R864" s="68"/>
    </row>
    <row r="865" ht="15.75" customHeight="1">
      <c r="E865" s="68"/>
      <c r="J865" s="68"/>
      <c r="L865" s="68"/>
      <c r="M865" s="68"/>
      <c r="O865" s="68"/>
      <c r="R865" s="68"/>
    </row>
    <row r="866" ht="15.75" customHeight="1">
      <c r="E866" s="68"/>
      <c r="J866" s="68"/>
      <c r="L866" s="68"/>
      <c r="M866" s="68"/>
      <c r="O866" s="68"/>
      <c r="R866" s="68"/>
    </row>
    <row r="867" ht="15.75" customHeight="1">
      <c r="E867" s="68"/>
      <c r="J867" s="68"/>
      <c r="L867" s="68"/>
      <c r="M867" s="68"/>
      <c r="O867" s="68"/>
      <c r="R867" s="68"/>
    </row>
    <row r="868" ht="15.75" customHeight="1">
      <c r="E868" s="68"/>
      <c r="J868" s="68"/>
      <c r="L868" s="68"/>
      <c r="M868" s="68"/>
      <c r="O868" s="68"/>
      <c r="R868" s="68"/>
    </row>
    <row r="869" ht="15.75" customHeight="1">
      <c r="E869" s="68"/>
      <c r="J869" s="68"/>
      <c r="L869" s="68"/>
      <c r="M869" s="68"/>
      <c r="O869" s="68"/>
      <c r="R869" s="68"/>
    </row>
    <row r="870" ht="15.75" customHeight="1">
      <c r="E870" s="68"/>
      <c r="J870" s="68"/>
      <c r="L870" s="68"/>
      <c r="M870" s="68"/>
      <c r="O870" s="68"/>
      <c r="R870" s="68"/>
    </row>
    <row r="871" ht="15.75" customHeight="1">
      <c r="E871" s="68"/>
      <c r="J871" s="68"/>
      <c r="L871" s="68"/>
      <c r="M871" s="68"/>
      <c r="O871" s="68"/>
      <c r="R871" s="68"/>
    </row>
    <row r="872" ht="15.75" customHeight="1">
      <c r="E872" s="68"/>
      <c r="J872" s="68"/>
      <c r="L872" s="68"/>
      <c r="M872" s="68"/>
      <c r="O872" s="68"/>
      <c r="R872" s="68"/>
    </row>
    <row r="873" ht="15.75" customHeight="1">
      <c r="E873" s="68"/>
      <c r="J873" s="68"/>
      <c r="L873" s="68"/>
      <c r="M873" s="68"/>
      <c r="O873" s="68"/>
      <c r="R873" s="68"/>
    </row>
    <row r="874" ht="15.75" customHeight="1">
      <c r="E874" s="68"/>
      <c r="J874" s="68"/>
      <c r="L874" s="68"/>
      <c r="M874" s="68"/>
      <c r="O874" s="68"/>
      <c r="R874" s="68"/>
    </row>
    <row r="875" ht="15.75" customHeight="1">
      <c r="E875" s="68"/>
      <c r="J875" s="68"/>
      <c r="L875" s="68"/>
      <c r="M875" s="68"/>
      <c r="O875" s="68"/>
      <c r="R875" s="68"/>
    </row>
    <row r="876" ht="15.75" customHeight="1">
      <c r="E876" s="68"/>
      <c r="J876" s="68"/>
      <c r="L876" s="68"/>
      <c r="M876" s="68"/>
      <c r="O876" s="68"/>
      <c r="R876" s="68"/>
    </row>
    <row r="877" ht="15.75" customHeight="1">
      <c r="E877" s="68"/>
      <c r="J877" s="68"/>
      <c r="L877" s="68"/>
      <c r="M877" s="68"/>
      <c r="O877" s="68"/>
      <c r="R877" s="68"/>
    </row>
    <row r="878" ht="15.75" customHeight="1">
      <c r="E878" s="68"/>
      <c r="J878" s="68"/>
      <c r="L878" s="68"/>
      <c r="M878" s="68"/>
      <c r="O878" s="68"/>
      <c r="R878" s="68"/>
    </row>
    <row r="879" ht="15.75" customHeight="1">
      <c r="E879" s="68"/>
      <c r="J879" s="68"/>
      <c r="L879" s="68"/>
      <c r="M879" s="68"/>
      <c r="O879" s="68"/>
      <c r="R879" s="68"/>
    </row>
    <row r="880" ht="15.75" customHeight="1">
      <c r="E880" s="68"/>
      <c r="J880" s="68"/>
      <c r="L880" s="68"/>
      <c r="M880" s="68"/>
      <c r="O880" s="68"/>
      <c r="R880" s="68"/>
    </row>
    <row r="881" ht="15.75" customHeight="1">
      <c r="E881" s="68"/>
      <c r="J881" s="68"/>
      <c r="L881" s="68"/>
      <c r="M881" s="68"/>
      <c r="O881" s="68"/>
      <c r="R881" s="68"/>
    </row>
    <row r="882" ht="15.75" customHeight="1">
      <c r="E882" s="68"/>
      <c r="J882" s="68"/>
      <c r="L882" s="68"/>
      <c r="M882" s="68"/>
      <c r="O882" s="68"/>
      <c r="R882" s="68"/>
    </row>
    <row r="883" ht="15.75" customHeight="1">
      <c r="E883" s="68"/>
      <c r="J883" s="68"/>
      <c r="L883" s="68"/>
      <c r="M883" s="68"/>
      <c r="O883" s="68"/>
      <c r="R883" s="68"/>
    </row>
    <row r="884" ht="15.75" customHeight="1">
      <c r="E884" s="68"/>
      <c r="J884" s="68"/>
      <c r="L884" s="68"/>
      <c r="M884" s="68"/>
      <c r="O884" s="68"/>
      <c r="R884" s="68"/>
    </row>
    <row r="885" ht="15.75" customHeight="1">
      <c r="E885" s="68"/>
      <c r="J885" s="68"/>
      <c r="L885" s="68"/>
      <c r="M885" s="68"/>
      <c r="O885" s="68"/>
      <c r="R885" s="68"/>
    </row>
    <row r="886" ht="15.75" customHeight="1">
      <c r="E886" s="68"/>
      <c r="J886" s="68"/>
      <c r="L886" s="68"/>
      <c r="M886" s="68"/>
      <c r="O886" s="68"/>
      <c r="R886" s="68"/>
    </row>
    <row r="887" ht="15.75" customHeight="1">
      <c r="E887" s="68"/>
      <c r="J887" s="68"/>
      <c r="L887" s="68"/>
      <c r="M887" s="68"/>
      <c r="O887" s="68"/>
      <c r="R887" s="68"/>
    </row>
    <row r="888" ht="15.75" customHeight="1">
      <c r="E888" s="68"/>
      <c r="J888" s="68"/>
      <c r="L888" s="68"/>
      <c r="M888" s="68"/>
      <c r="O888" s="68"/>
      <c r="R888" s="68"/>
    </row>
    <row r="889" ht="15.75" customHeight="1">
      <c r="E889" s="68"/>
      <c r="J889" s="68"/>
      <c r="L889" s="68"/>
      <c r="M889" s="68"/>
      <c r="O889" s="68"/>
      <c r="R889" s="68"/>
    </row>
    <row r="890" ht="15.75" customHeight="1">
      <c r="E890" s="68"/>
      <c r="J890" s="68"/>
      <c r="L890" s="68"/>
      <c r="M890" s="68"/>
      <c r="O890" s="68"/>
      <c r="R890" s="68"/>
    </row>
    <row r="891" ht="15.75" customHeight="1">
      <c r="E891" s="68"/>
      <c r="J891" s="68"/>
      <c r="L891" s="68"/>
      <c r="M891" s="68"/>
      <c r="O891" s="68"/>
      <c r="R891" s="68"/>
    </row>
    <row r="892" ht="15.75" customHeight="1">
      <c r="E892" s="68"/>
      <c r="J892" s="68"/>
      <c r="L892" s="68"/>
      <c r="M892" s="68"/>
      <c r="O892" s="68"/>
      <c r="R892" s="68"/>
    </row>
    <row r="893" ht="15.75" customHeight="1">
      <c r="E893" s="68"/>
      <c r="J893" s="68"/>
      <c r="L893" s="68"/>
      <c r="M893" s="68"/>
      <c r="O893" s="68"/>
      <c r="R893" s="68"/>
    </row>
    <row r="894" ht="15.75" customHeight="1">
      <c r="E894" s="68"/>
      <c r="J894" s="68"/>
      <c r="L894" s="68"/>
      <c r="M894" s="68"/>
      <c r="O894" s="68"/>
      <c r="R894" s="68"/>
    </row>
    <row r="895" ht="15.75" customHeight="1">
      <c r="E895" s="68"/>
      <c r="J895" s="68"/>
      <c r="L895" s="68"/>
      <c r="M895" s="68"/>
      <c r="O895" s="68"/>
      <c r="R895" s="68"/>
    </row>
    <row r="896" ht="15.75" customHeight="1">
      <c r="E896" s="68"/>
      <c r="J896" s="68"/>
      <c r="L896" s="68"/>
      <c r="M896" s="68"/>
      <c r="O896" s="68"/>
      <c r="R896" s="68"/>
    </row>
    <row r="897" ht="15.75" customHeight="1">
      <c r="E897" s="68"/>
      <c r="J897" s="68"/>
      <c r="L897" s="68"/>
      <c r="M897" s="68"/>
      <c r="O897" s="68"/>
      <c r="R897" s="68"/>
    </row>
    <row r="898" ht="15.75" customHeight="1">
      <c r="E898" s="68"/>
      <c r="J898" s="68"/>
      <c r="L898" s="68"/>
      <c r="M898" s="68"/>
      <c r="O898" s="68"/>
      <c r="R898" s="68"/>
    </row>
    <row r="899" ht="15.75" customHeight="1">
      <c r="E899" s="68"/>
      <c r="J899" s="68"/>
      <c r="L899" s="68"/>
      <c r="M899" s="68"/>
      <c r="O899" s="68"/>
      <c r="R899" s="68"/>
    </row>
    <row r="900" ht="15.75" customHeight="1">
      <c r="E900" s="68"/>
      <c r="J900" s="68"/>
      <c r="L900" s="68"/>
      <c r="M900" s="68"/>
      <c r="O900" s="68"/>
      <c r="R900" s="68"/>
    </row>
    <row r="901" ht="15.75" customHeight="1">
      <c r="E901" s="68"/>
      <c r="J901" s="68"/>
      <c r="L901" s="68"/>
      <c r="M901" s="68"/>
      <c r="O901" s="68"/>
      <c r="R901" s="68"/>
    </row>
    <row r="902" ht="15.75" customHeight="1">
      <c r="E902" s="68"/>
      <c r="J902" s="68"/>
      <c r="L902" s="68"/>
      <c r="M902" s="68"/>
      <c r="O902" s="68"/>
      <c r="R902" s="68"/>
    </row>
    <row r="903" ht="15.75" customHeight="1">
      <c r="E903" s="68"/>
      <c r="J903" s="68"/>
      <c r="L903" s="68"/>
      <c r="M903" s="68"/>
      <c r="O903" s="68"/>
      <c r="R903" s="68"/>
    </row>
    <row r="904" ht="15.75" customHeight="1">
      <c r="E904" s="68"/>
      <c r="J904" s="68"/>
      <c r="L904" s="68"/>
      <c r="M904" s="68"/>
      <c r="O904" s="68"/>
      <c r="R904" s="68"/>
    </row>
    <row r="905" ht="15.75" customHeight="1">
      <c r="E905" s="68"/>
      <c r="J905" s="68"/>
      <c r="L905" s="68"/>
      <c r="M905" s="68"/>
      <c r="O905" s="68"/>
      <c r="R905" s="68"/>
    </row>
    <row r="906" ht="15.75" customHeight="1">
      <c r="E906" s="68"/>
      <c r="J906" s="68"/>
      <c r="L906" s="68"/>
      <c r="M906" s="68"/>
      <c r="O906" s="68"/>
      <c r="R906" s="68"/>
    </row>
    <row r="907" ht="15.75" customHeight="1">
      <c r="E907" s="68"/>
      <c r="J907" s="68"/>
      <c r="L907" s="68"/>
      <c r="M907" s="68"/>
      <c r="O907" s="68"/>
      <c r="R907" s="68"/>
    </row>
    <row r="908" ht="15.75" customHeight="1">
      <c r="E908" s="68"/>
      <c r="J908" s="68"/>
      <c r="L908" s="68"/>
      <c r="M908" s="68"/>
      <c r="O908" s="68"/>
      <c r="R908" s="68"/>
    </row>
    <row r="909" ht="15.75" customHeight="1">
      <c r="E909" s="68"/>
      <c r="J909" s="68"/>
      <c r="L909" s="68"/>
      <c r="M909" s="68"/>
      <c r="O909" s="68"/>
      <c r="R909" s="68"/>
    </row>
    <row r="910" ht="15.75" customHeight="1">
      <c r="E910" s="68"/>
      <c r="J910" s="68"/>
      <c r="L910" s="68"/>
      <c r="M910" s="68"/>
      <c r="O910" s="68"/>
      <c r="R910" s="68"/>
    </row>
    <row r="911" ht="15.75" customHeight="1">
      <c r="E911" s="68"/>
      <c r="J911" s="68"/>
      <c r="L911" s="68"/>
      <c r="M911" s="68"/>
      <c r="O911" s="68"/>
      <c r="R911" s="68"/>
    </row>
    <row r="912" ht="15.75" customHeight="1">
      <c r="E912" s="68"/>
      <c r="J912" s="68"/>
      <c r="L912" s="68"/>
      <c r="M912" s="68"/>
      <c r="O912" s="68"/>
      <c r="R912" s="68"/>
    </row>
    <row r="913" ht="15.75" customHeight="1">
      <c r="E913" s="68"/>
      <c r="J913" s="68"/>
      <c r="L913" s="68"/>
      <c r="M913" s="68"/>
      <c r="O913" s="68"/>
      <c r="R913" s="68"/>
    </row>
    <row r="914" ht="15.75" customHeight="1">
      <c r="E914" s="68"/>
      <c r="J914" s="68"/>
      <c r="L914" s="68"/>
      <c r="M914" s="68"/>
      <c r="O914" s="68"/>
      <c r="R914" s="68"/>
    </row>
    <row r="915" ht="15.75" customHeight="1">
      <c r="E915" s="68"/>
      <c r="J915" s="68"/>
      <c r="L915" s="68"/>
      <c r="M915" s="68"/>
      <c r="O915" s="68"/>
      <c r="R915" s="68"/>
    </row>
    <row r="916" ht="15.75" customHeight="1">
      <c r="E916" s="68"/>
      <c r="J916" s="68"/>
      <c r="L916" s="68"/>
      <c r="M916" s="68"/>
      <c r="O916" s="68"/>
      <c r="R916" s="68"/>
    </row>
    <row r="917" ht="15.75" customHeight="1">
      <c r="E917" s="68"/>
      <c r="J917" s="68"/>
      <c r="L917" s="68"/>
      <c r="M917" s="68"/>
      <c r="O917" s="68"/>
      <c r="R917" s="68"/>
    </row>
    <row r="918" ht="15.75" customHeight="1">
      <c r="E918" s="68"/>
      <c r="J918" s="68"/>
      <c r="L918" s="68"/>
      <c r="M918" s="68"/>
      <c r="O918" s="68"/>
      <c r="R918" s="68"/>
    </row>
    <row r="919" ht="15.75" customHeight="1">
      <c r="E919" s="68"/>
      <c r="J919" s="68"/>
      <c r="L919" s="68"/>
      <c r="M919" s="68"/>
      <c r="O919" s="68"/>
      <c r="R919" s="68"/>
    </row>
    <row r="920" ht="15.75" customHeight="1">
      <c r="E920" s="68"/>
      <c r="J920" s="68"/>
      <c r="L920" s="68"/>
      <c r="M920" s="68"/>
      <c r="O920" s="68"/>
      <c r="R920" s="68"/>
    </row>
    <row r="921" ht="15.75" customHeight="1">
      <c r="E921" s="68"/>
      <c r="J921" s="68"/>
      <c r="L921" s="68"/>
      <c r="M921" s="68"/>
      <c r="O921" s="68"/>
      <c r="R921" s="68"/>
    </row>
    <row r="922" ht="15.75" customHeight="1">
      <c r="E922" s="68"/>
      <c r="J922" s="68"/>
      <c r="L922" s="68"/>
      <c r="M922" s="68"/>
      <c r="O922" s="68"/>
      <c r="R922" s="68"/>
    </row>
    <row r="923" ht="15.75" customHeight="1">
      <c r="E923" s="68"/>
      <c r="J923" s="68"/>
      <c r="L923" s="68"/>
      <c r="M923" s="68"/>
      <c r="O923" s="68"/>
      <c r="R923" s="68"/>
    </row>
    <row r="924" ht="15.75" customHeight="1">
      <c r="E924" s="68"/>
      <c r="J924" s="68"/>
      <c r="L924" s="68"/>
      <c r="M924" s="68"/>
      <c r="O924" s="68"/>
      <c r="R924" s="68"/>
    </row>
    <row r="925" ht="15.75" customHeight="1">
      <c r="E925" s="68"/>
      <c r="J925" s="68"/>
      <c r="L925" s="68"/>
      <c r="M925" s="68"/>
      <c r="O925" s="68"/>
      <c r="R925" s="68"/>
    </row>
    <row r="926" ht="15.75" customHeight="1">
      <c r="E926" s="68"/>
      <c r="J926" s="68"/>
      <c r="L926" s="68"/>
      <c r="M926" s="68"/>
      <c r="O926" s="68"/>
      <c r="R926" s="68"/>
    </row>
    <row r="927" ht="15.75" customHeight="1">
      <c r="E927" s="68"/>
      <c r="J927" s="68"/>
      <c r="L927" s="68"/>
      <c r="M927" s="68"/>
      <c r="O927" s="68"/>
      <c r="R927" s="68"/>
    </row>
    <row r="928" ht="15.75" customHeight="1">
      <c r="E928" s="68"/>
      <c r="J928" s="68"/>
      <c r="L928" s="68"/>
      <c r="M928" s="68"/>
      <c r="O928" s="68"/>
      <c r="R928" s="68"/>
    </row>
    <row r="929" ht="15.75" customHeight="1">
      <c r="E929" s="68"/>
      <c r="J929" s="68"/>
      <c r="L929" s="68"/>
      <c r="M929" s="68"/>
      <c r="O929" s="68"/>
      <c r="R929" s="68"/>
    </row>
    <row r="930" ht="15.75" customHeight="1">
      <c r="E930" s="68"/>
      <c r="J930" s="68"/>
      <c r="L930" s="68"/>
      <c r="M930" s="68"/>
      <c r="O930" s="68"/>
      <c r="R930" s="68"/>
    </row>
    <row r="931" ht="15.75" customHeight="1">
      <c r="E931" s="68"/>
      <c r="J931" s="68"/>
      <c r="L931" s="68"/>
      <c r="M931" s="68"/>
      <c r="O931" s="68"/>
      <c r="R931" s="68"/>
    </row>
    <row r="932" ht="15.75" customHeight="1">
      <c r="E932" s="68"/>
      <c r="J932" s="68"/>
      <c r="L932" s="68"/>
      <c r="M932" s="68"/>
      <c r="O932" s="68"/>
      <c r="R932" s="68"/>
    </row>
    <row r="933" ht="15.75" customHeight="1">
      <c r="E933" s="68"/>
      <c r="J933" s="68"/>
      <c r="L933" s="68"/>
      <c r="M933" s="68"/>
      <c r="O933" s="68"/>
      <c r="R933" s="68"/>
    </row>
    <row r="934" ht="15.75" customHeight="1">
      <c r="E934" s="68"/>
      <c r="J934" s="68"/>
      <c r="L934" s="68"/>
      <c r="M934" s="68"/>
      <c r="O934" s="68"/>
      <c r="R934" s="68"/>
    </row>
    <row r="935" ht="15.75" customHeight="1">
      <c r="E935" s="68"/>
      <c r="J935" s="68"/>
      <c r="L935" s="68"/>
      <c r="M935" s="68"/>
      <c r="O935" s="68"/>
      <c r="R935" s="68"/>
    </row>
    <row r="936" ht="15.75" customHeight="1">
      <c r="E936" s="68"/>
      <c r="J936" s="68"/>
      <c r="L936" s="68"/>
      <c r="M936" s="68"/>
      <c r="O936" s="68"/>
      <c r="R936" s="68"/>
    </row>
    <row r="937" ht="15.75" customHeight="1">
      <c r="E937" s="68"/>
      <c r="J937" s="68"/>
      <c r="L937" s="68"/>
      <c r="M937" s="68"/>
      <c r="O937" s="68"/>
      <c r="R937" s="68"/>
    </row>
    <row r="938" ht="15.75" customHeight="1">
      <c r="E938" s="68"/>
      <c r="J938" s="68"/>
      <c r="L938" s="68"/>
      <c r="M938" s="68"/>
      <c r="O938" s="68"/>
      <c r="R938" s="68"/>
    </row>
    <row r="939" ht="15.75" customHeight="1">
      <c r="E939" s="68"/>
      <c r="J939" s="68"/>
      <c r="L939" s="68"/>
      <c r="M939" s="68"/>
      <c r="O939" s="68"/>
      <c r="R939" s="68"/>
    </row>
    <row r="940" ht="15.75" customHeight="1">
      <c r="E940" s="68"/>
      <c r="J940" s="68"/>
      <c r="L940" s="68"/>
      <c r="M940" s="68"/>
      <c r="O940" s="68"/>
      <c r="R940" s="68"/>
    </row>
    <row r="941" ht="15.75" customHeight="1">
      <c r="E941" s="68"/>
      <c r="J941" s="68"/>
      <c r="L941" s="68"/>
      <c r="M941" s="68"/>
      <c r="O941" s="68"/>
      <c r="R941" s="68"/>
    </row>
    <row r="942" ht="15.75" customHeight="1">
      <c r="E942" s="68"/>
      <c r="J942" s="68"/>
      <c r="L942" s="68"/>
      <c r="M942" s="68"/>
      <c r="O942" s="68"/>
      <c r="R942" s="68"/>
    </row>
    <row r="943" ht="15.75" customHeight="1">
      <c r="E943" s="68"/>
      <c r="J943" s="68"/>
      <c r="L943" s="68"/>
      <c r="M943" s="68"/>
      <c r="O943" s="68"/>
      <c r="R943" s="68"/>
    </row>
    <row r="944" ht="15.75" customHeight="1">
      <c r="E944" s="68"/>
      <c r="J944" s="68"/>
      <c r="L944" s="68"/>
      <c r="M944" s="68"/>
      <c r="O944" s="68"/>
      <c r="R944" s="68"/>
    </row>
    <row r="945" ht="15.75" customHeight="1">
      <c r="E945" s="68"/>
      <c r="J945" s="68"/>
      <c r="L945" s="68"/>
      <c r="M945" s="68"/>
      <c r="O945" s="68"/>
      <c r="R945" s="68"/>
    </row>
    <row r="946" ht="15.75" customHeight="1">
      <c r="E946" s="68"/>
      <c r="J946" s="68"/>
      <c r="L946" s="68"/>
      <c r="M946" s="68"/>
      <c r="O946" s="68"/>
      <c r="R946" s="68"/>
    </row>
    <row r="947" ht="15.75" customHeight="1">
      <c r="E947" s="68"/>
      <c r="J947" s="68"/>
      <c r="L947" s="68"/>
      <c r="M947" s="68"/>
      <c r="O947" s="68"/>
      <c r="R947" s="68"/>
    </row>
    <row r="948" ht="15.75" customHeight="1">
      <c r="E948" s="68"/>
      <c r="J948" s="68"/>
      <c r="L948" s="68"/>
      <c r="M948" s="68"/>
      <c r="O948" s="68"/>
      <c r="R948" s="68"/>
    </row>
    <row r="949" ht="15.75" customHeight="1">
      <c r="E949" s="68"/>
      <c r="J949" s="68"/>
      <c r="L949" s="68"/>
      <c r="M949" s="68"/>
      <c r="O949" s="68"/>
      <c r="R949" s="68"/>
    </row>
    <row r="950" ht="15.75" customHeight="1">
      <c r="E950" s="68"/>
      <c r="J950" s="68"/>
      <c r="L950" s="68"/>
      <c r="M950" s="68"/>
      <c r="O950" s="68"/>
      <c r="R950" s="68"/>
    </row>
    <row r="951" ht="15.75" customHeight="1">
      <c r="E951" s="68"/>
      <c r="J951" s="68"/>
      <c r="L951" s="68"/>
      <c r="M951" s="68"/>
      <c r="O951" s="68"/>
      <c r="R951" s="68"/>
    </row>
    <row r="952" ht="15.75" customHeight="1">
      <c r="E952" s="68"/>
      <c r="J952" s="68"/>
      <c r="L952" s="68"/>
      <c r="M952" s="68"/>
      <c r="O952" s="68"/>
      <c r="R952" s="68"/>
    </row>
    <row r="953" ht="15.75" customHeight="1">
      <c r="E953" s="68"/>
      <c r="J953" s="68"/>
      <c r="L953" s="68"/>
      <c r="M953" s="68"/>
      <c r="O953" s="68"/>
      <c r="R953" s="68"/>
    </row>
    <row r="954" ht="15.75" customHeight="1">
      <c r="E954" s="68"/>
      <c r="J954" s="68"/>
      <c r="L954" s="68"/>
      <c r="M954" s="68"/>
      <c r="O954" s="68"/>
      <c r="R954" s="68"/>
    </row>
    <row r="955" ht="15.75" customHeight="1">
      <c r="E955" s="68"/>
      <c r="J955" s="68"/>
      <c r="L955" s="68"/>
      <c r="M955" s="68"/>
      <c r="O955" s="68"/>
      <c r="R955" s="68"/>
    </row>
    <row r="956" ht="15.75" customHeight="1">
      <c r="E956" s="68"/>
      <c r="J956" s="68"/>
      <c r="L956" s="68"/>
      <c r="M956" s="68"/>
      <c r="O956" s="68"/>
      <c r="R956" s="68"/>
    </row>
    <row r="957" ht="15.75" customHeight="1">
      <c r="E957" s="68"/>
      <c r="J957" s="68"/>
      <c r="L957" s="68"/>
      <c r="M957" s="68"/>
      <c r="O957" s="68"/>
      <c r="R957" s="68"/>
    </row>
    <row r="958" ht="15.75" customHeight="1">
      <c r="E958" s="68"/>
      <c r="J958" s="68"/>
      <c r="L958" s="68"/>
      <c r="M958" s="68"/>
      <c r="O958" s="68"/>
      <c r="R958" s="68"/>
    </row>
    <row r="959" ht="15.75" customHeight="1">
      <c r="E959" s="68"/>
      <c r="J959" s="68"/>
      <c r="L959" s="68"/>
      <c r="M959" s="68"/>
      <c r="O959" s="68"/>
      <c r="R959" s="68"/>
    </row>
    <row r="960" ht="15.75" customHeight="1">
      <c r="E960" s="68"/>
      <c r="J960" s="68"/>
      <c r="L960" s="68"/>
      <c r="M960" s="68"/>
      <c r="O960" s="68"/>
      <c r="R960" s="68"/>
    </row>
    <row r="961" ht="15.75" customHeight="1">
      <c r="E961" s="68"/>
      <c r="J961" s="68"/>
      <c r="L961" s="68"/>
      <c r="M961" s="68"/>
      <c r="O961" s="68"/>
      <c r="R961" s="68"/>
    </row>
    <row r="962" ht="15.75" customHeight="1">
      <c r="E962" s="68"/>
      <c r="J962" s="68"/>
      <c r="L962" s="68"/>
      <c r="M962" s="68"/>
      <c r="O962" s="68"/>
      <c r="R962" s="68"/>
    </row>
    <row r="963" ht="15.75" customHeight="1">
      <c r="E963" s="68"/>
      <c r="J963" s="68"/>
      <c r="L963" s="68"/>
      <c r="M963" s="68"/>
      <c r="O963" s="68"/>
      <c r="R963" s="68"/>
    </row>
    <row r="964" ht="15.75" customHeight="1">
      <c r="E964" s="68"/>
      <c r="J964" s="68"/>
      <c r="L964" s="68"/>
      <c r="M964" s="68"/>
      <c r="O964" s="68"/>
      <c r="R964" s="68"/>
    </row>
    <row r="965" ht="15.75" customHeight="1">
      <c r="E965" s="68"/>
      <c r="J965" s="68"/>
      <c r="L965" s="68"/>
      <c r="M965" s="68"/>
      <c r="O965" s="68"/>
      <c r="R965" s="68"/>
    </row>
    <row r="966" ht="15.75" customHeight="1">
      <c r="E966" s="68"/>
      <c r="J966" s="68"/>
      <c r="L966" s="68"/>
      <c r="M966" s="68"/>
      <c r="O966" s="68"/>
      <c r="R966" s="68"/>
    </row>
    <row r="967" ht="15.75" customHeight="1">
      <c r="E967" s="68"/>
      <c r="J967" s="68"/>
      <c r="L967" s="68"/>
      <c r="M967" s="68"/>
      <c r="O967" s="68"/>
      <c r="R967" s="68"/>
    </row>
    <row r="968" ht="15.75" customHeight="1">
      <c r="E968" s="68"/>
      <c r="J968" s="68"/>
      <c r="L968" s="68"/>
      <c r="M968" s="68"/>
      <c r="O968" s="68"/>
      <c r="R968" s="68"/>
    </row>
    <row r="969" ht="15.75" customHeight="1">
      <c r="E969" s="68"/>
      <c r="J969" s="68"/>
      <c r="L969" s="68"/>
      <c r="M969" s="68"/>
      <c r="O969" s="68"/>
      <c r="R969" s="68"/>
    </row>
    <row r="970" ht="15.75" customHeight="1">
      <c r="E970" s="68"/>
      <c r="J970" s="68"/>
      <c r="L970" s="68"/>
      <c r="M970" s="68"/>
      <c r="O970" s="68"/>
      <c r="R970" s="68"/>
    </row>
    <row r="971" ht="15.75" customHeight="1">
      <c r="E971" s="68"/>
      <c r="J971" s="68"/>
      <c r="L971" s="68"/>
      <c r="M971" s="68"/>
      <c r="O971" s="68"/>
      <c r="R971" s="68"/>
    </row>
    <row r="972" ht="15.75" customHeight="1">
      <c r="E972" s="68"/>
      <c r="J972" s="68"/>
      <c r="L972" s="68"/>
      <c r="M972" s="68"/>
      <c r="O972" s="68"/>
      <c r="R972" s="68"/>
    </row>
    <row r="973" ht="15.75" customHeight="1">
      <c r="E973" s="68"/>
      <c r="J973" s="68"/>
      <c r="L973" s="68"/>
      <c r="M973" s="68"/>
      <c r="O973" s="68"/>
      <c r="R973" s="68"/>
    </row>
    <row r="974" ht="15.75" customHeight="1">
      <c r="E974" s="68"/>
      <c r="J974" s="68"/>
      <c r="L974" s="68"/>
      <c r="M974" s="68"/>
      <c r="O974" s="68"/>
      <c r="R974" s="68"/>
    </row>
    <row r="975" ht="15.75" customHeight="1">
      <c r="E975" s="68"/>
      <c r="J975" s="68"/>
      <c r="L975" s="68"/>
      <c r="M975" s="68"/>
      <c r="O975" s="68"/>
      <c r="R975" s="68"/>
    </row>
    <row r="976" ht="15.75" customHeight="1">
      <c r="E976" s="68"/>
      <c r="J976" s="68"/>
      <c r="L976" s="68"/>
      <c r="M976" s="68"/>
      <c r="O976" s="68"/>
      <c r="R976" s="68"/>
    </row>
    <row r="977" ht="15.75" customHeight="1">
      <c r="E977" s="68"/>
      <c r="J977" s="68"/>
      <c r="L977" s="68"/>
      <c r="M977" s="68"/>
      <c r="O977" s="68"/>
      <c r="R977" s="68"/>
    </row>
    <row r="978" ht="15.75" customHeight="1">
      <c r="E978" s="68"/>
      <c r="J978" s="68"/>
      <c r="L978" s="68"/>
      <c r="M978" s="68"/>
      <c r="O978" s="68"/>
      <c r="R978" s="68"/>
    </row>
    <row r="979" ht="15.75" customHeight="1">
      <c r="E979" s="68"/>
      <c r="J979" s="68"/>
      <c r="L979" s="68"/>
      <c r="M979" s="68"/>
      <c r="O979" s="68"/>
      <c r="R979" s="68"/>
    </row>
    <row r="980" ht="15.75" customHeight="1">
      <c r="E980" s="68"/>
      <c r="J980" s="68"/>
      <c r="L980" s="68"/>
      <c r="M980" s="68"/>
      <c r="O980" s="68"/>
      <c r="R980" s="68"/>
    </row>
    <row r="981" ht="15.75" customHeight="1">
      <c r="E981" s="68"/>
      <c r="J981" s="68"/>
      <c r="L981" s="68"/>
      <c r="M981" s="68"/>
      <c r="O981" s="68"/>
      <c r="R981" s="68"/>
    </row>
    <row r="982" ht="15.75" customHeight="1">
      <c r="E982" s="68"/>
      <c r="J982" s="68"/>
      <c r="L982" s="68"/>
      <c r="M982" s="68"/>
      <c r="O982" s="68"/>
      <c r="R982" s="68"/>
    </row>
    <row r="983" ht="15.75" customHeight="1">
      <c r="E983" s="68"/>
      <c r="J983" s="68"/>
      <c r="L983" s="68"/>
      <c r="M983" s="68"/>
      <c r="O983" s="68"/>
      <c r="R983" s="68"/>
    </row>
    <row r="984" ht="15.75" customHeight="1">
      <c r="E984" s="68"/>
      <c r="J984" s="68"/>
      <c r="L984" s="68"/>
      <c r="M984" s="68"/>
      <c r="O984" s="68"/>
      <c r="R984" s="68"/>
    </row>
    <row r="985" ht="15.75" customHeight="1">
      <c r="E985" s="68"/>
      <c r="J985" s="68"/>
      <c r="L985" s="68"/>
      <c r="M985" s="68"/>
      <c r="O985" s="68"/>
      <c r="R985" s="68"/>
    </row>
    <row r="986" ht="15.75" customHeight="1">
      <c r="E986" s="68"/>
      <c r="J986" s="68"/>
      <c r="L986" s="68"/>
      <c r="M986" s="68"/>
      <c r="O986" s="68"/>
      <c r="R986" s="68"/>
    </row>
    <row r="987" ht="15.75" customHeight="1">
      <c r="E987" s="68"/>
      <c r="J987" s="68"/>
      <c r="L987" s="68"/>
      <c r="M987" s="68"/>
      <c r="O987" s="68"/>
      <c r="R987" s="68"/>
    </row>
    <row r="988" ht="15.75" customHeight="1">
      <c r="E988" s="68"/>
      <c r="J988" s="68"/>
      <c r="L988" s="68"/>
      <c r="M988" s="68"/>
      <c r="O988" s="68"/>
      <c r="R988" s="68"/>
    </row>
    <row r="989" ht="15.75" customHeight="1">
      <c r="E989" s="68"/>
      <c r="J989" s="68"/>
      <c r="L989" s="68"/>
      <c r="M989" s="68"/>
      <c r="O989" s="68"/>
      <c r="R989" s="68"/>
    </row>
    <row r="990" ht="15.75" customHeight="1">
      <c r="E990" s="68"/>
      <c r="J990" s="68"/>
      <c r="L990" s="68"/>
      <c r="M990" s="68"/>
      <c r="O990" s="68"/>
      <c r="R990" s="68"/>
    </row>
    <row r="991" ht="15.75" customHeight="1">
      <c r="E991" s="68"/>
      <c r="J991" s="68"/>
      <c r="L991" s="68"/>
      <c r="M991" s="68"/>
      <c r="O991" s="68"/>
      <c r="R991" s="68"/>
    </row>
    <row r="992" ht="15.75" customHeight="1">
      <c r="E992" s="68"/>
      <c r="J992" s="68"/>
      <c r="L992" s="68"/>
      <c r="M992" s="68"/>
      <c r="O992" s="68"/>
      <c r="R992" s="68"/>
    </row>
    <row r="993" ht="15.75" customHeight="1">
      <c r="E993" s="68"/>
      <c r="J993" s="68"/>
      <c r="L993" s="68"/>
      <c r="M993" s="68"/>
      <c r="O993" s="68"/>
      <c r="R993" s="68"/>
    </row>
    <row r="994" ht="15.75" customHeight="1">
      <c r="E994" s="68"/>
      <c r="J994" s="68"/>
      <c r="L994" s="68"/>
      <c r="M994" s="68"/>
      <c r="O994" s="68"/>
      <c r="R994" s="68"/>
    </row>
    <row r="995" ht="15.75" customHeight="1">
      <c r="E995" s="68"/>
      <c r="J995" s="68"/>
      <c r="L995" s="68"/>
      <c r="M995" s="68"/>
      <c r="O995" s="68"/>
      <c r="R995" s="68"/>
    </row>
    <row r="996" ht="15.75" customHeight="1">
      <c r="E996" s="68"/>
      <c r="J996" s="68"/>
      <c r="L996" s="68"/>
      <c r="M996" s="68"/>
      <c r="O996" s="68"/>
      <c r="R996" s="68"/>
    </row>
    <row r="997" ht="15.75" customHeight="1">
      <c r="E997" s="68"/>
      <c r="J997" s="68"/>
      <c r="L997" s="68"/>
      <c r="M997" s="68"/>
      <c r="O997" s="68"/>
      <c r="R997" s="68"/>
    </row>
    <row r="998" ht="15.75" customHeight="1">
      <c r="E998" s="68"/>
      <c r="J998" s="68"/>
      <c r="L998" s="68"/>
      <c r="M998" s="68"/>
      <c r="O998" s="68"/>
      <c r="R998" s="68"/>
    </row>
    <row r="999" ht="15.75" customHeight="1">
      <c r="E999" s="68"/>
      <c r="J999" s="68"/>
      <c r="L999" s="68"/>
      <c r="M999" s="68"/>
      <c r="O999" s="68"/>
      <c r="R999" s="68"/>
    </row>
    <row r="1000" ht="15.75" customHeight="1">
      <c r="E1000" s="68"/>
      <c r="J1000" s="68"/>
      <c r="L1000" s="68"/>
      <c r="M1000" s="68"/>
      <c r="O1000" s="68"/>
      <c r="R1000" s="68"/>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howErrorMessage="1" sqref="E7:E24 E26:E1000">
      <formula1>"UI,API,PL/SQL,DB"</formula1>
    </dataValidation>
    <dataValidation type="list" allowBlank="1" showErrorMessage="1" sqref="M7:M24 M26:M1000">
      <formula1>"High,Medium,Low"</formula1>
    </dataValidation>
    <dataValidation type="list" allowBlank="1" sqref="R7:R22 J7:J1000 R26:R1000">
      <formula1>"PASS,FAIL,NT"</formula1>
    </dataValidation>
    <dataValidation type="list" allowBlank="1" sqref="L7:L24 L26:L1000">
      <formula1>"Critical,High,Medium,Low"</formula1>
    </dataValidation>
    <dataValidation type="list" allowBlank="1" showErrorMessage="1" sqref="O7:O24 O26:O1000">
      <formula1>"Accepted,Rejected"</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19"/>
    <hyperlink r:id="rId14" ref="N20"/>
    <hyperlink r:id="rId15" ref="N21"/>
    <hyperlink r:id="rId16" ref="N22"/>
    <hyperlink r:id="rId17" ref="N23"/>
    <hyperlink r:id="rId18" ref="N24"/>
    <hyperlink r:id="rId19" ref="N25"/>
    <hyperlink r:id="rId20" ref="N26"/>
    <hyperlink r:id="rId21" ref="N27"/>
    <hyperlink r:id="rId22" ref="N28"/>
    <hyperlink r:id="rId23" ref="B43"/>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88"/>
    <col customWidth="1" min="3" max="3" width="12.63"/>
    <col customWidth="1" min="4" max="4" width="54.88"/>
    <col customWidth="1" min="5" max="5" width="12.63"/>
    <col customWidth="1" min="6" max="6" width="57.75"/>
    <col customWidth="1" min="7" max="7" width="21.63"/>
    <col customWidth="1" min="8" max="8" width="30.63"/>
    <col customWidth="1" min="9" max="9" width="22.75"/>
    <col customWidth="1" min="14" max="14" width="28.63"/>
    <col customWidth="1" min="18" max="18" width="27.63"/>
  </cols>
  <sheetData>
    <row r="1" ht="15.75" customHeight="1">
      <c r="A1" s="1" t="s">
        <v>0</v>
      </c>
      <c r="B1" s="2"/>
      <c r="C1" s="3" t="s">
        <v>1</v>
      </c>
      <c r="D1" s="4" t="s">
        <v>2</v>
      </c>
      <c r="E1" s="5"/>
      <c r="F1" s="4" t="s">
        <v>3</v>
      </c>
      <c r="G1" s="5"/>
      <c r="H1" s="7"/>
      <c r="I1" s="9"/>
      <c r="J1" s="1" t="s">
        <v>4</v>
      </c>
      <c r="K1" s="11"/>
      <c r="L1" s="13" t="s">
        <v>5</v>
      </c>
      <c r="M1" s="2"/>
      <c r="N1" s="1" t="s">
        <v>6</v>
      </c>
      <c r="O1" s="2"/>
      <c r="P1" s="16"/>
      <c r="Q1" s="2"/>
      <c r="R1" s="9"/>
      <c r="S1" s="17"/>
      <c r="T1" s="17"/>
      <c r="U1" s="17"/>
      <c r="V1" s="17"/>
      <c r="W1" s="17"/>
      <c r="X1" s="17"/>
      <c r="Y1" s="17"/>
      <c r="Z1" s="17"/>
      <c r="AA1" s="17"/>
      <c r="AB1" s="17"/>
      <c r="AC1" s="17"/>
      <c r="AD1" s="17"/>
      <c r="AE1" s="17"/>
      <c r="AF1" s="17"/>
    </row>
    <row r="2" ht="15.75" customHeight="1">
      <c r="A2" s="1" t="s">
        <v>7</v>
      </c>
      <c r="B2" s="2"/>
      <c r="C2" s="19"/>
      <c r="D2" s="4" t="s">
        <v>8</v>
      </c>
      <c r="E2" s="5"/>
      <c r="F2" s="4" t="s">
        <v>9</v>
      </c>
      <c r="G2" s="5"/>
      <c r="H2" s="7"/>
      <c r="I2" s="9"/>
      <c r="J2" s="20" t="s">
        <v>10</v>
      </c>
      <c r="K2" s="25">
        <f>COUNTIF(J7:J1002, "PASS")</f>
        <v>22</v>
      </c>
      <c r="L2" s="26" t="s">
        <v>11</v>
      </c>
      <c r="M2" s="25">
        <f>COUNTIF(L7:L1002, "Critical")</f>
        <v>0</v>
      </c>
      <c r="N2" s="30" t="s">
        <v>12</v>
      </c>
      <c r="O2" s="25">
        <f>COUNTIF(M6:M1001, "High")</f>
        <v>0</v>
      </c>
      <c r="P2" s="16"/>
      <c r="Q2" s="2"/>
      <c r="R2" s="9"/>
      <c r="S2" s="17"/>
      <c r="T2" s="17"/>
      <c r="U2" s="17"/>
      <c r="V2" s="17"/>
      <c r="W2" s="17"/>
      <c r="X2" s="17"/>
      <c r="Y2" s="17"/>
      <c r="Z2" s="17"/>
      <c r="AA2" s="17"/>
      <c r="AB2" s="17"/>
      <c r="AC2" s="17"/>
      <c r="AD2" s="17"/>
      <c r="AE2" s="17"/>
      <c r="AF2" s="17"/>
    </row>
    <row r="3" ht="15.75" customHeight="1">
      <c r="A3" s="1" t="s">
        <v>13</v>
      </c>
      <c r="B3" s="2"/>
      <c r="C3" s="32"/>
      <c r="D3" s="4" t="s">
        <v>14</v>
      </c>
      <c r="E3" s="34" t="s">
        <v>16</v>
      </c>
      <c r="F3" s="7"/>
      <c r="G3" s="9"/>
      <c r="H3" s="7"/>
      <c r="I3" s="9"/>
      <c r="J3" s="26" t="s">
        <v>15</v>
      </c>
      <c r="K3" s="25">
        <f>COUNTIF(J7:J1002, "FAIL")</f>
        <v>1</v>
      </c>
      <c r="L3" s="30" t="s">
        <v>12</v>
      </c>
      <c r="M3" s="25">
        <f>COUNTIF(L7:L1002, "High")</f>
        <v>0</v>
      </c>
      <c r="N3" s="36" t="s">
        <v>17</v>
      </c>
      <c r="O3" s="25">
        <f>COUNTIF(M6:M1001, "Medium")</f>
        <v>0</v>
      </c>
      <c r="P3" s="16"/>
      <c r="Q3" s="2"/>
      <c r="R3" s="9"/>
      <c r="S3" s="17"/>
      <c r="T3" s="17"/>
      <c r="U3" s="17"/>
      <c r="V3" s="17"/>
      <c r="W3" s="17"/>
      <c r="X3" s="17"/>
      <c r="Y3" s="17"/>
      <c r="Z3" s="17"/>
      <c r="AA3" s="17"/>
      <c r="AB3" s="17"/>
      <c r="AC3" s="17"/>
      <c r="AD3" s="17"/>
      <c r="AE3" s="17"/>
      <c r="AF3" s="17"/>
    </row>
    <row r="4" ht="15.75" customHeight="1">
      <c r="A4" s="1" t="s">
        <v>18</v>
      </c>
      <c r="B4" s="2"/>
      <c r="C4" s="32"/>
      <c r="D4" s="4" t="s">
        <v>20</v>
      </c>
      <c r="E4" s="9"/>
      <c r="F4" s="7"/>
      <c r="G4" s="9"/>
      <c r="H4" s="7"/>
      <c r="I4" s="9"/>
      <c r="J4" s="39" t="s">
        <v>21</v>
      </c>
      <c r="K4" s="25">
        <f>COUNTIF(J7:J1002, "NT")</f>
        <v>0</v>
      </c>
      <c r="L4" s="36" t="s">
        <v>17</v>
      </c>
      <c r="M4" s="25">
        <f>COUNTIF(L7:L1002, "Medium")</f>
        <v>0</v>
      </c>
      <c r="N4" s="42" t="s">
        <v>22</v>
      </c>
      <c r="O4" s="25">
        <f>COUNTIF(M6:M1002, "Low")</f>
        <v>0</v>
      </c>
      <c r="P4" s="16"/>
      <c r="Q4" s="2"/>
      <c r="R4" s="9"/>
      <c r="S4" s="17"/>
      <c r="T4" s="17"/>
      <c r="U4" s="17"/>
      <c r="V4" s="17"/>
      <c r="W4" s="17"/>
      <c r="X4" s="17"/>
      <c r="Y4" s="17"/>
      <c r="Z4" s="17"/>
      <c r="AA4" s="17"/>
      <c r="AB4" s="17"/>
      <c r="AC4" s="17"/>
      <c r="AD4" s="17"/>
      <c r="AE4" s="17"/>
      <c r="AF4" s="17"/>
    </row>
    <row r="5" ht="15.75" customHeight="1">
      <c r="A5" s="1" t="s">
        <v>23</v>
      </c>
      <c r="B5" s="2"/>
      <c r="C5" s="32"/>
      <c r="D5" s="4" t="s">
        <v>24</v>
      </c>
      <c r="E5" s="34">
        <v>19805.0</v>
      </c>
      <c r="F5" s="7"/>
      <c r="G5" s="9"/>
      <c r="H5" s="7"/>
      <c r="I5" s="9"/>
      <c r="J5" s="45" t="s">
        <v>25</v>
      </c>
      <c r="K5" s="25">
        <f>SUM(K2,K3,K4)</f>
        <v>23</v>
      </c>
      <c r="L5" s="42" t="s">
        <v>22</v>
      </c>
      <c r="M5" s="25">
        <f>COUNTIF(L7:L1003, "Low")</f>
        <v>0</v>
      </c>
      <c r="N5" s="47" t="s">
        <v>26</v>
      </c>
      <c r="O5" s="25">
        <f>COUNTIF(O7:O1002, "Accepted")</f>
        <v>0</v>
      </c>
      <c r="P5" s="16"/>
      <c r="Q5" s="2"/>
      <c r="R5" s="9"/>
      <c r="S5" s="17"/>
      <c r="T5" s="17"/>
      <c r="U5" s="17"/>
      <c r="V5" s="17"/>
      <c r="W5" s="17"/>
      <c r="X5" s="17"/>
      <c r="Y5" s="17"/>
      <c r="Z5" s="17"/>
      <c r="AA5" s="17"/>
      <c r="AB5" s="17"/>
      <c r="AC5" s="17"/>
      <c r="AD5" s="17"/>
      <c r="AE5" s="17"/>
      <c r="AF5" s="17"/>
    </row>
    <row r="6" ht="15.75" customHeight="1">
      <c r="A6" s="49" t="s">
        <v>27</v>
      </c>
      <c r="B6" s="49" t="s">
        <v>28</v>
      </c>
      <c r="C6" s="49" t="s">
        <v>29</v>
      </c>
      <c r="D6" s="49" t="s">
        <v>30</v>
      </c>
      <c r="E6" s="49" t="s">
        <v>31</v>
      </c>
      <c r="F6" s="49" t="s">
        <v>32</v>
      </c>
      <c r="G6" s="49" t="s">
        <v>33</v>
      </c>
      <c r="H6" s="49" t="s">
        <v>34</v>
      </c>
      <c r="I6" s="49" t="s">
        <v>35</v>
      </c>
      <c r="J6" s="50" t="s">
        <v>36</v>
      </c>
      <c r="K6" s="50" t="s">
        <v>37</v>
      </c>
      <c r="L6" s="49" t="s">
        <v>5</v>
      </c>
      <c r="M6" s="49" t="s">
        <v>6</v>
      </c>
      <c r="N6" s="49" t="s">
        <v>38</v>
      </c>
      <c r="O6" s="50" t="s">
        <v>39</v>
      </c>
      <c r="P6" s="50" t="s">
        <v>40</v>
      </c>
      <c r="Q6" s="50" t="s">
        <v>41</v>
      </c>
      <c r="R6" s="50" t="s">
        <v>42</v>
      </c>
      <c r="S6" s="17"/>
      <c r="T6" s="17"/>
      <c r="U6" s="17"/>
      <c r="V6" s="17"/>
      <c r="W6" s="17"/>
      <c r="X6" s="17"/>
      <c r="Y6" s="17"/>
      <c r="Z6" s="17"/>
      <c r="AA6" s="17"/>
      <c r="AB6" s="17"/>
      <c r="AC6" s="17"/>
      <c r="AD6" s="17"/>
      <c r="AE6" s="17"/>
      <c r="AF6" s="17"/>
    </row>
    <row r="7" ht="15.75" customHeight="1">
      <c r="A7" s="9"/>
      <c r="B7" s="9"/>
      <c r="C7" s="3" t="s">
        <v>48</v>
      </c>
      <c r="D7" s="9" t="s">
        <v>49</v>
      </c>
      <c r="E7" s="9"/>
      <c r="F7" s="9" t="s">
        <v>50</v>
      </c>
      <c r="G7" s="9" t="s">
        <v>51</v>
      </c>
      <c r="H7" s="9" t="s">
        <v>52</v>
      </c>
      <c r="I7" s="9" t="s">
        <v>53</v>
      </c>
      <c r="J7" s="52" t="s">
        <v>10</v>
      </c>
      <c r="K7" s="9"/>
      <c r="L7" s="52"/>
      <c r="M7" s="52"/>
      <c r="N7" s="56" t="s">
        <v>74</v>
      </c>
      <c r="O7" s="52"/>
      <c r="P7" s="9"/>
      <c r="Q7" s="9"/>
      <c r="R7" s="52"/>
      <c r="S7" s="17"/>
      <c r="T7" s="17"/>
      <c r="U7" s="17"/>
      <c r="V7" s="17"/>
      <c r="W7" s="17"/>
      <c r="X7" s="17"/>
      <c r="Y7" s="17"/>
      <c r="Z7" s="17"/>
      <c r="AA7" s="17"/>
      <c r="AB7" s="17"/>
      <c r="AC7" s="17"/>
      <c r="AD7" s="17"/>
      <c r="AE7" s="17"/>
      <c r="AF7" s="17"/>
    </row>
    <row r="8" ht="15.75" customHeight="1">
      <c r="A8" s="9"/>
      <c r="B8" s="9"/>
      <c r="C8" s="3" t="s">
        <v>91</v>
      </c>
      <c r="D8" s="9" t="s">
        <v>92</v>
      </c>
      <c r="E8" s="9"/>
      <c r="F8" s="9" t="s">
        <v>95</v>
      </c>
      <c r="G8" s="9" t="s">
        <v>97</v>
      </c>
      <c r="H8" s="9" t="s">
        <v>99</v>
      </c>
      <c r="I8" s="9" t="s">
        <v>53</v>
      </c>
      <c r="J8" s="52" t="s">
        <v>10</v>
      </c>
      <c r="K8" s="9"/>
      <c r="L8" s="52"/>
      <c r="M8" s="52"/>
      <c r="N8" s="56" t="s">
        <v>125</v>
      </c>
      <c r="O8" s="52"/>
      <c r="P8" s="9"/>
      <c r="Q8" s="9"/>
      <c r="R8" s="9"/>
      <c r="S8" s="17"/>
      <c r="T8" s="17"/>
      <c r="U8" s="17"/>
      <c r="V8" s="17"/>
      <c r="W8" s="17"/>
      <c r="X8" s="17"/>
      <c r="Y8" s="17"/>
      <c r="Z8" s="17"/>
      <c r="AA8" s="17"/>
      <c r="AB8" s="17"/>
      <c r="AC8" s="17"/>
      <c r="AD8" s="17"/>
      <c r="AE8" s="17"/>
      <c r="AF8" s="17"/>
    </row>
    <row r="9" ht="15.75" customHeight="1">
      <c r="A9" s="9"/>
      <c r="B9" s="9"/>
      <c r="C9" s="3" t="s">
        <v>132</v>
      </c>
      <c r="D9" s="9" t="s">
        <v>133</v>
      </c>
      <c r="E9" s="9"/>
      <c r="F9" s="9" t="s">
        <v>134</v>
      </c>
      <c r="G9" s="9" t="s">
        <v>135</v>
      </c>
      <c r="H9" s="9" t="s">
        <v>136</v>
      </c>
      <c r="I9" s="9" t="s">
        <v>53</v>
      </c>
      <c r="J9" s="52" t="s">
        <v>10</v>
      </c>
      <c r="K9" s="9"/>
      <c r="L9" s="52"/>
      <c r="M9" s="52"/>
      <c r="N9" s="56" t="s">
        <v>146</v>
      </c>
      <c r="O9" s="9"/>
      <c r="P9" s="9"/>
      <c r="Q9" s="9"/>
      <c r="R9" s="9"/>
      <c r="S9" s="17"/>
      <c r="T9" s="17"/>
      <c r="U9" s="17"/>
      <c r="V9" s="17"/>
      <c r="W9" s="17"/>
      <c r="X9" s="17"/>
      <c r="Y9" s="17"/>
      <c r="Z9" s="17"/>
      <c r="AA9" s="17"/>
      <c r="AB9" s="17"/>
      <c r="AC9" s="17"/>
      <c r="AD9" s="17"/>
      <c r="AE9" s="17"/>
      <c r="AF9" s="17"/>
    </row>
    <row r="10" ht="15.75" customHeight="1">
      <c r="A10" s="9"/>
      <c r="B10" s="9"/>
      <c r="C10" s="3" t="s">
        <v>152</v>
      </c>
      <c r="D10" s="9" t="s">
        <v>153</v>
      </c>
      <c r="E10" s="9"/>
      <c r="F10" s="9" t="s">
        <v>154</v>
      </c>
      <c r="G10" s="9" t="s">
        <v>155</v>
      </c>
      <c r="H10" s="9" t="s">
        <v>156</v>
      </c>
      <c r="I10" s="9" t="s">
        <v>157</v>
      </c>
      <c r="J10" s="52" t="s">
        <v>10</v>
      </c>
      <c r="K10" s="9"/>
      <c r="L10" s="52"/>
      <c r="M10" s="9"/>
      <c r="N10" s="56" t="s">
        <v>163</v>
      </c>
      <c r="O10" s="9"/>
      <c r="P10" s="9"/>
      <c r="Q10" s="9"/>
      <c r="R10" s="9"/>
      <c r="S10" s="17"/>
      <c r="T10" s="17"/>
      <c r="U10" s="17"/>
      <c r="V10" s="17"/>
      <c r="W10" s="17"/>
      <c r="X10" s="17"/>
      <c r="Y10" s="17"/>
      <c r="Z10" s="17"/>
      <c r="AA10" s="17"/>
      <c r="AB10" s="17"/>
      <c r="AC10" s="17"/>
      <c r="AD10" s="17"/>
      <c r="AE10" s="17"/>
      <c r="AF10" s="17"/>
    </row>
    <row r="11" ht="15.75" customHeight="1">
      <c r="A11" s="9"/>
      <c r="B11" s="9"/>
      <c r="C11" s="3" t="s">
        <v>166</v>
      </c>
      <c r="D11" s="9" t="s">
        <v>167</v>
      </c>
      <c r="E11" s="9"/>
      <c r="F11" s="9" t="s">
        <v>168</v>
      </c>
      <c r="G11" s="9" t="s">
        <v>169</v>
      </c>
      <c r="H11" s="9" t="s">
        <v>170</v>
      </c>
      <c r="I11" s="9" t="s">
        <v>171</v>
      </c>
      <c r="J11" s="52" t="s">
        <v>10</v>
      </c>
      <c r="K11" s="9"/>
      <c r="L11" s="9"/>
      <c r="M11" s="9"/>
      <c r="N11" s="56" t="s">
        <v>175</v>
      </c>
      <c r="O11" s="9"/>
      <c r="P11" s="9"/>
      <c r="Q11" s="9"/>
      <c r="R11" s="9"/>
      <c r="S11" s="17"/>
      <c r="T11" s="17"/>
      <c r="U11" s="17"/>
      <c r="V11" s="17"/>
      <c r="W11" s="17"/>
      <c r="X11" s="17"/>
      <c r="Y11" s="17"/>
      <c r="Z11" s="17"/>
      <c r="AA11" s="17"/>
      <c r="AB11" s="17"/>
      <c r="AC11" s="17"/>
      <c r="AD11" s="17"/>
      <c r="AE11" s="17"/>
      <c r="AF11" s="17"/>
    </row>
    <row r="12" ht="15.75" customHeight="1">
      <c r="A12" s="9"/>
      <c r="B12" s="9"/>
      <c r="C12" s="3" t="s">
        <v>180</v>
      </c>
      <c r="D12" s="9" t="s">
        <v>181</v>
      </c>
      <c r="E12" s="9"/>
      <c r="F12" s="9" t="s">
        <v>182</v>
      </c>
      <c r="G12" s="9" t="s">
        <v>183</v>
      </c>
      <c r="H12" s="9" t="s">
        <v>184</v>
      </c>
      <c r="I12" s="9" t="s">
        <v>185</v>
      </c>
      <c r="J12" s="52" t="s">
        <v>10</v>
      </c>
      <c r="K12" s="9"/>
      <c r="L12" s="9"/>
      <c r="M12" s="9"/>
      <c r="N12" s="56" t="s">
        <v>191</v>
      </c>
      <c r="O12" s="9"/>
      <c r="P12" s="9"/>
      <c r="Q12" s="9"/>
      <c r="R12" s="9"/>
      <c r="S12" s="17"/>
      <c r="T12" s="17"/>
      <c r="U12" s="17"/>
      <c r="V12" s="17"/>
      <c r="W12" s="17"/>
      <c r="X12" s="17"/>
      <c r="Y12" s="17"/>
      <c r="Z12" s="17"/>
      <c r="AA12" s="17"/>
      <c r="AB12" s="17"/>
      <c r="AC12" s="17"/>
      <c r="AD12" s="17"/>
      <c r="AE12" s="17"/>
      <c r="AF12" s="17"/>
    </row>
    <row r="13" ht="15.75" customHeight="1">
      <c r="A13" s="9"/>
      <c r="B13" s="9"/>
      <c r="C13" s="3" t="s">
        <v>194</v>
      </c>
      <c r="D13" s="9" t="s">
        <v>195</v>
      </c>
      <c r="E13" s="9"/>
      <c r="F13" s="9" t="s">
        <v>197</v>
      </c>
      <c r="G13" s="9" t="s">
        <v>199</v>
      </c>
      <c r="H13" s="9" t="s">
        <v>201</v>
      </c>
      <c r="I13" s="9" t="s">
        <v>202</v>
      </c>
      <c r="J13" s="52" t="s">
        <v>10</v>
      </c>
      <c r="K13" s="9"/>
      <c r="L13" s="9"/>
      <c r="M13" s="9"/>
      <c r="N13" s="56" t="s">
        <v>205</v>
      </c>
      <c r="O13" s="9"/>
      <c r="P13" s="9"/>
      <c r="Q13" s="9"/>
      <c r="R13" s="9"/>
      <c r="S13" s="17"/>
      <c r="T13" s="17"/>
      <c r="U13" s="17"/>
      <c r="V13" s="17"/>
      <c r="W13" s="17"/>
      <c r="X13" s="17"/>
      <c r="Y13" s="17"/>
      <c r="Z13" s="17"/>
      <c r="AA13" s="17"/>
      <c r="AB13" s="17"/>
      <c r="AC13" s="17"/>
      <c r="AD13" s="17"/>
      <c r="AE13" s="17"/>
      <c r="AF13" s="17"/>
    </row>
    <row r="14" ht="15.75" customHeight="1">
      <c r="A14" s="9"/>
      <c r="B14" s="9"/>
      <c r="C14" s="3" t="s">
        <v>207</v>
      </c>
      <c r="D14" s="9" t="s">
        <v>208</v>
      </c>
      <c r="E14" s="9"/>
      <c r="F14" s="9" t="s">
        <v>209</v>
      </c>
      <c r="G14" s="9" t="s">
        <v>210</v>
      </c>
      <c r="H14" s="9" t="s">
        <v>211</v>
      </c>
      <c r="I14" s="9" t="s">
        <v>213</v>
      </c>
      <c r="J14" s="52" t="s">
        <v>10</v>
      </c>
      <c r="K14" s="9"/>
      <c r="L14" s="9"/>
      <c r="M14" s="9"/>
      <c r="N14" s="56" t="s">
        <v>218</v>
      </c>
      <c r="O14" s="9"/>
      <c r="P14" s="9"/>
      <c r="Q14" s="9"/>
      <c r="R14" s="9"/>
      <c r="S14" s="17"/>
      <c r="T14" s="17"/>
      <c r="U14" s="17"/>
      <c r="V14" s="17"/>
      <c r="W14" s="17"/>
      <c r="X14" s="17"/>
      <c r="Y14" s="17"/>
      <c r="Z14" s="17"/>
      <c r="AA14" s="17"/>
      <c r="AB14" s="17"/>
      <c r="AC14" s="17"/>
      <c r="AD14" s="17"/>
      <c r="AE14" s="17"/>
      <c r="AF14" s="17"/>
    </row>
    <row r="15" ht="15.75" customHeight="1">
      <c r="A15" s="9"/>
      <c r="B15" s="9"/>
      <c r="C15" s="3" t="s">
        <v>222</v>
      </c>
      <c r="D15" s="9" t="s">
        <v>223</v>
      </c>
      <c r="E15" s="9"/>
      <c r="F15" s="9" t="s">
        <v>225</v>
      </c>
      <c r="G15" s="9" t="s">
        <v>226</v>
      </c>
      <c r="H15" s="9" t="s">
        <v>227</v>
      </c>
      <c r="I15" s="9" t="s">
        <v>228</v>
      </c>
      <c r="J15" s="52" t="s">
        <v>10</v>
      </c>
      <c r="K15" s="9"/>
      <c r="L15" s="9"/>
      <c r="M15" s="9"/>
      <c r="N15" s="56" t="s">
        <v>232</v>
      </c>
      <c r="O15" s="9"/>
      <c r="P15" s="9"/>
      <c r="Q15" s="9"/>
      <c r="R15" s="9"/>
      <c r="S15" s="17"/>
      <c r="T15" s="17"/>
      <c r="U15" s="17"/>
      <c r="V15" s="17"/>
      <c r="W15" s="17"/>
      <c r="X15" s="17"/>
      <c r="Y15" s="17"/>
      <c r="Z15" s="17"/>
      <c r="AA15" s="17"/>
      <c r="AB15" s="17"/>
      <c r="AC15" s="17"/>
      <c r="AD15" s="17"/>
      <c r="AE15" s="17"/>
      <c r="AF15" s="17"/>
    </row>
    <row r="16" ht="15.75" customHeight="1">
      <c r="A16" s="9"/>
      <c r="B16" s="9"/>
      <c r="C16" s="3" t="s">
        <v>236</v>
      </c>
      <c r="D16" s="9" t="s">
        <v>237</v>
      </c>
      <c r="E16" s="9"/>
      <c r="F16" s="9" t="s">
        <v>238</v>
      </c>
      <c r="G16" s="9" t="s">
        <v>239</v>
      </c>
      <c r="H16" s="9" t="s">
        <v>240</v>
      </c>
      <c r="I16" s="9" t="s">
        <v>241</v>
      </c>
      <c r="J16" s="52" t="s">
        <v>10</v>
      </c>
      <c r="K16" s="9"/>
      <c r="L16" s="9"/>
      <c r="M16" s="9"/>
      <c r="N16" s="56" t="s">
        <v>247</v>
      </c>
      <c r="O16" s="9"/>
      <c r="P16" s="9"/>
      <c r="Q16" s="9"/>
      <c r="R16" s="9"/>
      <c r="S16" s="17"/>
      <c r="T16" s="17"/>
      <c r="U16" s="17"/>
      <c r="V16" s="17"/>
      <c r="W16" s="17"/>
      <c r="X16" s="17"/>
      <c r="Y16" s="17"/>
      <c r="Z16" s="17"/>
      <c r="AA16" s="17"/>
      <c r="AB16" s="17"/>
      <c r="AC16" s="17"/>
      <c r="AD16" s="17"/>
      <c r="AE16" s="17"/>
      <c r="AF16" s="17"/>
    </row>
    <row r="17" ht="15.75" customHeight="1">
      <c r="A17" s="9"/>
      <c r="B17" s="9"/>
      <c r="C17" s="3" t="s">
        <v>251</v>
      </c>
      <c r="D17" s="9" t="s">
        <v>253</v>
      </c>
      <c r="E17" s="9"/>
      <c r="F17" s="9" t="s">
        <v>255</v>
      </c>
      <c r="G17" s="9" t="s">
        <v>256</v>
      </c>
      <c r="H17" s="9" t="s">
        <v>258</v>
      </c>
      <c r="I17" s="9" t="s">
        <v>259</v>
      </c>
      <c r="J17" s="52" t="s">
        <v>10</v>
      </c>
      <c r="K17" s="9"/>
      <c r="L17" s="9"/>
      <c r="M17" s="9"/>
      <c r="N17" s="56" t="s">
        <v>264</v>
      </c>
      <c r="O17" s="9"/>
      <c r="P17" s="9"/>
      <c r="Q17" s="9"/>
      <c r="R17" s="9"/>
      <c r="S17" s="17"/>
      <c r="T17" s="17"/>
      <c r="U17" s="17"/>
      <c r="V17" s="17"/>
      <c r="W17" s="17"/>
      <c r="X17" s="17"/>
      <c r="Y17" s="17"/>
      <c r="Z17" s="17"/>
      <c r="AA17" s="17"/>
      <c r="AB17" s="17"/>
      <c r="AC17" s="17"/>
      <c r="AD17" s="17"/>
      <c r="AE17" s="17"/>
      <c r="AF17" s="17"/>
    </row>
    <row r="18" ht="15.75" customHeight="1">
      <c r="A18" s="9"/>
      <c r="B18" s="9"/>
      <c r="C18" s="3" t="s">
        <v>267</v>
      </c>
      <c r="D18" s="9" t="s">
        <v>268</v>
      </c>
      <c r="E18" s="9"/>
      <c r="F18" s="9" t="s">
        <v>269</v>
      </c>
      <c r="G18" s="9" t="s">
        <v>270</v>
      </c>
      <c r="H18" s="9" t="s">
        <v>273</v>
      </c>
      <c r="I18" s="9" t="s">
        <v>274</v>
      </c>
      <c r="J18" s="52" t="s">
        <v>10</v>
      </c>
      <c r="K18" s="9"/>
      <c r="L18" s="9"/>
      <c r="M18" s="9"/>
      <c r="N18" s="56" t="s">
        <v>279</v>
      </c>
      <c r="O18" s="9"/>
      <c r="P18" s="9"/>
      <c r="Q18" s="9"/>
      <c r="R18" s="9"/>
      <c r="S18" s="17"/>
      <c r="T18" s="17"/>
      <c r="U18" s="17"/>
      <c r="V18" s="17"/>
      <c r="W18" s="17"/>
      <c r="X18" s="17"/>
      <c r="Y18" s="17"/>
      <c r="Z18" s="17"/>
      <c r="AA18" s="17"/>
      <c r="AB18" s="17"/>
      <c r="AC18" s="17"/>
      <c r="AD18" s="17"/>
      <c r="AE18" s="17"/>
      <c r="AF18" s="17"/>
    </row>
    <row r="19" ht="15.75" customHeight="1">
      <c r="A19" s="9"/>
      <c r="B19" s="9"/>
      <c r="C19" s="3" t="s">
        <v>281</v>
      </c>
      <c r="D19" s="9" t="s">
        <v>282</v>
      </c>
      <c r="E19" s="9"/>
      <c r="F19" s="9" t="s">
        <v>283</v>
      </c>
      <c r="G19" s="9" t="s">
        <v>284</v>
      </c>
      <c r="H19" s="9" t="s">
        <v>285</v>
      </c>
      <c r="I19" s="9" t="s">
        <v>286</v>
      </c>
      <c r="J19" s="52" t="s">
        <v>10</v>
      </c>
      <c r="K19" s="9"/>
      <c r="L19" s="9"/>
      <c r="M19" s="9"/>
      <c r="N19" s="9"/>
      <c r="O19" s="9"/>
      <c r="P19" s="9"/>
      <c r="Q19" s="9"/>
      <c r="R19" s="9"/>
      <c r="S19" s="17"/>
      <c r="T19" s="17"/>
      <c r="U19" s="17"/>
      <c r="V19" s="17"/>
      <c r="W19" s="17"/>
      <c r="X19" s="17"/>
      <c r="Y19" s="17"/>
      <c r="Z19" s="17"/>
      <c r="AA19" s="17"/>
      <c r="AB19" s="17"/>
      <c r="AC19" s="17"/>
      <c r="AD19" s="17"/>
      <c r="AE19" s="17"/>
      <c r="AF19" s="17"/>
    </row>
    <row r="20" ht="15.75" customHeight="1">
      <c r="A20" s="9"/>
      <c r="B20" s="9"/>
      <c r="C20" s="3" t="s">
        <v>288</v>
      </c>
      <c r="D20" s="9" t="s">
        <v>290</v>
      </c>
      <c r="E20" s="9"/>
      <c r="F20" s="9" t="s">
        <v>291</v>
      </c>
      <c r="G20" s="9" t="s">
        <v>292</v>
      </c>
      <c r="H20" s="9" t="s">
        <v>293</v>
      </c>
      <c r="I20" s="9" t="s">
        <v>294</v>
      </c>
      <c r="J20" s="52" t="s">
        <v>10</v>
      </c>
      <c r="K20" s="9"/>
      <c r="L20" s="9"/>
      <c r="M20" s="9"/>
      <c r="N20" s="56" t="s">
        <v>297</v>
      </c>
      <c r="O20" s="9"/>
      <c r="P20" s="9"/>
      <c r="Q20" s="9"/>
      <c r="R20" s="9"/>
      <c r="S20" s="17"/>
      <c r="T20" s="17"/>
      <c r="U20" s="17"/>
      <c r="V20" s="17"/>
      <c r="W20" s="17"/>
      <c r="X20" s="17"/>
      <c r="Y20" s="17"/>
      <c r="Z20" s="17"/>
      <c r="AA20" s="17"/>
      <c r="AB20" s="17"/>
      <c r="AC20" s="17"/>
      <c r="AD20" s="17"/>
      <c r="AE20" s="17"/>
      <c r="AF20" s="17"/>
    </row>
    <row r="21" ht="15.75" customHeight="1">
      <c r="A21" s="9"/>
      <c r="B21" s="9"/>
      <c r="C21" s="3" t="s">
        <v>299</v>
      </c>
      <c r="D21" s="9"/>
      <c r="E21" s="9"/>
      <c r="F21" s="9"/>
      <c r="G21" s="9" t="s">
        <v>300</v>
      </c>
      <c r="H21" s="9" t="s">
        <v>293</v>
      </c>
      <c r="I21" s="9" t="s">
        <v>294</v>
      </c>
      <c r="J21" s="52" t="s">
        <v>10</v>
      </c>
      <c r="K21" s="9"/>
      <c r="L21" s="9"/>
      <c r="M21" s="9"/>
      <c r="N21" s="56" t="s">
        <v>306</v>
      </c>
      <c r="O21" s="9"/>
      <c r="P21" s="9"/>
      <c r="Q21" s="9"/>
      <c r="R21" s="9"/>
      <c r="S21" s="17"/>
      <c r="T21" s="17"/>
      <c r="U21" s="17"/>
      <c r="V21" s="17"/>
      <c r="W21" s="17"/>
      <c r="X21" s="17"/>
      <c r="Y21" s="17"/>
      <c r="Z21" s="17"/>
      <c r="AA21" s="17"/>
      <c r="AB21" s="17"/>
      <c r="AC21" s="17"/>
      <c r="AD21" s="17"/>
      <c r="AE21" s="17"/>
      <c r="AF21" s="17"/>
    </row>
    <row r="22" ht="15.75" customHeight="1">
      <c r="A22" s="9"/>
      <c r="B22" s="9"/>
      <c r="C22" s="3" t="s">
        <v>308</v>
      </c>
      <c r="D22" s="9"/>
      <c r="E22" s="9"/>
      <c r="F22" s="9"/>
      <c r="G22" s="9" t="s">
        <v>309</v>
      </c>
      <c r="H22" s="9" t="s">
        <v>310</v>
      </c>
      <c r="I22" s="9" t="s">
        <v>312</v>
      </c>
      <c r="J22" s="52" t="s">
        <v>10</v>
      </c>
      <c r="K22" s="9"/>
      <c r="L22" s="9"/>
      <c r="M22" s="9"/>
      <c r="N22" s="56" t="s">
        <v>321</v>
      </c>
      <c r="O22" s="9"/>
      <c r="P22" s="9"/>
      <c r="Q22" s="9"/>
      <c r="R22" s="9"/>
      <c r="S22" s="17"/>
      <c r="T22" s="17"/>
      <c r="U22" s="17"/>
      <c r="V22" s="17"/>
      <c r="W22" s="17"/>
      <c r="X22" s="17"/>
      <c r="Y22" s="17"/>
      <c r="Z22" s="17"/>
      <c r="AA22" s="17"/>
      <c r="AB22" s="17"/>
      <c r="AC22" s="17"/>
      <c r="AD22" s="17"/>
      <c r="AE22" s="17"/>
      <c r="AF22" s="17"/>
    </row>
    <row r="23" ht="15.75" customHeight="1">
      <c r="A23" s="9"/>
      <c r="B23" s="9"/>
      <c r="C23" s="3" t="s">
        <v>323</v>
      </c>
      <c r="D23" s="9" t="s">
        <v>324</v>
      </c>
      <c r="E23" s="9"/>
      <c r="F23" s="9" t="s">
        <v>325</v>
      </c>
      <c r="G23" s="9" t="s">
        <v>326</v>
      </c>
      <c r="H23" s="9" t="s">
        <v>327</v>
      </c>
      <c r="I23" s="9" t="s">
        <v>328</v>
      </c>
      <c r="J23" s="52" t="s">
        <v>10</v>
      </c>
      <c r="K23" s="9"/>
      <c r="L23" s="9"/>
      <c r="M23" s="9"/>
      <c r="N23" s="56" t="s">
        <v>331</v>
      </c>
      <c r="O23" s="9"/>
      <c r="P23" s="9"/>
      <c r="Q23" s="9"/>
      <c r="R23" s="9"/>
      <c r="S23" s="17"/>
      <c r="T23" s="17"/>
      <c r="U23" s="17"/>
      <c r="V23" s="17"/>
      <c r="W23" s="17"/>
      <c r="X23" s="17"/>
      <c r="Y23" s="17"/>
      <c r="Z23" s="17"/>
      <c r="AA23" s="17"/>
      <c r="AB23" s="17"/>
      <c r="AC23" s="17"/>
      <c r="AD23" s="17"/>
      <c r="AE23" s="17"/>
      <c r="AF23" s="17"/>
    </row>
    <row r="24" ht="15.75" customHeight="1">
      <c r="A24" s="9"/>
      <c r="B24" s="9"/>
      <c r="C24" s="3" t="s">
        <v>337</v>
      </c>
      <c r="D24" s="9" t="s">
        <v>338</v>
      </c>
      <c r="E24" s="9"/>
      <c r="F24" s="9" t="s">
        <v>339</v>
      </c>
      <c r="G24" s="9" t="s">
        <v>340</v>
      </c>
      <c r="H24" s="9" t="s">
        <v>341</v>
      </c>
      <c r="I24" s="9" t="s">
        <v>328</v>
      </c>
      <c r="J24" s="52" t="s">
        <v>10</v>
      </c>
      <c r="K24" s="9"/>
      <c r="L24" s="9"/>
      <c r="M24" s="9"/>
      <c r="N24" s="56" t="s">
        <v>342</v>
      </c>
      <c r="O24" s="9"/>
      <c r="P24" s="9"/>
      <c r="Q24" s="9"/>
      <c r="R24" s="9"/>
      <c r="S24" s="17"/>
      <c r="T24" s="17"/>
      <c r="U24" s="17"/>
      <c r="V24" s="17"/>
      <c r="W24" s="17"/>
      <c r="X24" s="17"/>
      <c r="Y24" s="17"/>
      <c r="Z24" s="17"/>
      <c r="AA24" s="17"/>
      <c r="AB24" s="17"/>
      <c r="AC24" s="17"/>
      <c r="AD24" s="17"/>
      <c r="AE24" s="17"/>
      <c r="AF24" s="17"/>
    </row>
    <row r="25" ht="15.75" customHeight="1">
      <c r="A25" s="9"/>
      <c r="B25" s="9"/>
      <c r="C25" s="3" t="s">
        <v>345</v>
      </c>
      <c r="D25" s="9" t="s">
        <v>346</v>
      </c>
      <c r="E25" s="9"/>
      <c r="F25" s="9" t="s">
        <v>347</v>
      </c>
      <c r="G25" s="9" t="s">
        <v>348</v>
      </c>
      <c r="H25" s="9" t="s">
        <v>349</v>
      </c>
      <c r="I25" s="9" t="s">
        <v>328</v>
      </c>
      <c r="J25" s="52" t="s">
        <v>10</v>
      </c>
      <c r="K25" s="9"/>
      <c r="L25" s="9"/>
      <c r="M25" s="9"/>
      <c r="N25" s="62" t="s">
        <v>351</v>
      </c>
      <c r="O25" s="9"/>
      <c r="P25" s="9"/>
      <c r="Q25" s="9"/>
      <c r="R25" s="9"/>
      <c r="S25" s="17"/>
      <c r="T25" s="17"/>
      <c r="U25" s="17"/>
      <c r="V25" s="17"/>
      <c r="W25" s="17"/>
      <c r="X25" s="17"/>
      <c r="Y25" s="17"/>
      <c r="Z25" s="17"/>
      <c r="AA25" s="17"/>
      <c r="AB25" s="17"/>
      <c r="AC25" s="17"/>
      <c r="AD25" s="17"/>
      <c r="AE25" s="17"/>
      <c r="AF25" s="17"/>
    </row>
    <row r="26" ht="15.75" customHeight="1">
      <c r="A26" s="9"/>
      <c r="B26" s="9"/>
      <c r="C26" s="3" t="s">
        <v>357</v>
      </c>
      <c r="D26" s="9" t="s">
        <v>358</v>
      </c>
      <c r="E26" s="9"/>
      <c r="F26" s="9" t="s">
        <v>359</v>
      </c>
      <c r="G26" s="9" t="s">
        <v>360</v>
      </c>
      <c r="H26" s="9" t="s">
        <v>361</v>
      </c>
      <c r="I26" s="9" t="s">
        <v>363</v>
      </c>
      <c r="J26" s="52" t="s">
        <v>10</v>
      </c>
      <c r="K26" s="9"/>
      <c r="L26" s="9"/>
      <c r="M26" s="9"/>
      <c r="N26" s="56" t="s">
        <v>366</v>
      </c>
      <c r="O26" s="9"/>
      <c r="P26" s="9"/>
      <c r="Q26" s="9"/>
      <c r="R26" s="9"/>
      <c r="S26" s="17"/>
      <c r="T26" s="17"/>
      <c r="U26" s="17"/>
      <c r="V26" s="17"/>
      <c r="W26" s="17"/>
      <c r="X26" s="17"/>
      <c r="Y26" s="17"/>
      <c r="Z26" s="17"/>
      <c r="AA26" s="17"/>
      <c r="AB26" s="17"/>
      <c r="AC26" s="17"/>
      <c r="AD26" s="17"/>
      <c r="AE26" s="17"/>
      <c r="AF26" s="17"/>
    </row>
    <row r="27" ht="15.75" customHeight="1">
      <c r="A27" s="9"/>
      <c r="B27" s="9"/>
      <c r="C27" s="3" t="s">
        <v>367</v>
      </c>
      <c r="D27" s="9" t="s">
        <v>369</v>
      </c>
      <c r="E27" s="9"/>
      <c r="F27" s="9" t="s">
        <v>371</v>
      </c>
      <c r="G27" s="9"/>
      <c r="H27" s="9" t="s">
        <v>372</v>
      </c>
      <c r="I27" s="9" t="s">
        <v>373</v>
      </c>
      <c r="J27" s="52" t="s">
        <v>10</v>
      </c>
      <c r="K27" s="9"/>
      <c r="L27" s="9"/>
      <c r="M27" s="9"/>
      <c r="N27" s="56" t="s">
        <v>374</v>
      </c>
      <c r="O27" s="9"/>
      <c r="P27" s="9"/>
      <c r="Q27" s="9"/>
      <c r="R27" s="9"/>
      <c r="S27" s="17"/>
      <c r="T27" s="17"/>
      <c r="U27" s="17"/>
      <c r="V27" s="17"/>
      <c r="W27" s="17"/>
      <c r="X27" s="17"/>
      <c r="Y27" s="17"/>
      <c r="Z27" s="17"/>
      <c r="AA27" s="17"/>
      <c r="AB27" s="17"/>
      <c r="AC27" s="17"/>
      <c r="AD27" s="17"/>
      <c r="AE27" s="17"/>
      <c r="AF27" s="17"/>
    </row>
    <row r="28" ht="15.75" customHeight="1">
      <c r="A28" s="9"/>
      <c r="B28" s="9"/>
      <c r="C28" s="3" t="s">
        <v>376</v>
      </c>
      <c r="D28" s="9" t="s">
        <v>377</v>
      </c>
      <c r="E28" s="9"/>
      <c r="F28" s="9" t="s">
        <v>378</v>
      </c>
      <c r="G28" s="9" t="s">
        <v>379</v>
      </c>
      <c r="H28" s="9" t="s">
        <v>380</v>
      </c>
      <c r="I28" s="9" t="s">
        <v>381</v>
      </c>
      <c r="J28" s="64" t="s">
        <v>15</v>
      </c>
      <c r="K28" s="9"/>
      <c r="L28" s="9"/>
      <c r="M28" s="9"/>
      <c r="N28" s="56" t="s">
        <v>384</v>
      </c>
      <c r="O28" s="9"/>
      <c r="P28" s="9"/>
      <c r="Q28" s="9"/>
      <c r="R28" s="9"/>
      <c r="S28" s="17"/>
      <c r="T28" s="17"/>
      <c r="U28" s="17"/>
      <c r="V28" s="17"/>
      <c r="W28" s="17"/>
      <c r="X28" s="17"/>
      <c r="Y28" s="17"/>
      <c r="Z28" s="17"/>
      <c r="AA28" s="17"/>
      <c r="AB28" s="17"/>
      <c r="AC28" s="17"/>
      <c r="AD28" s="17"/>
      <c r="AE28" s="17"/>
      <c r="AF28" s="17"/>
    </row>
    <row r="29" ht="15.75" customHeight="1">
      <c r="A29" s="9"/>
      <c r="B29" s="9"/>
      <c r="C29" s="3" t="s">
        <v>387</v>
      </c>
      <c r="D29" s="9" t="s">
        <v>389</v>
      </c>
      <c r="E29" s="9"/>
      <c r="F29" s="9" t="s">
        <v>393</v>
      </c>
      <c r="G29" s="9" t="s">
        <v>394</v>
      </c>
      <c r="H29" s="9" t="s">
        <v>395</v>
      </c>
      <c r="I29" s="9" t="s">
        <v>396</v>
      </c>
      <c r="J29" s="34" t="s">
        <v>10</v>
      </c>
      <c r="K29" s="9"/>
      <c r="L29" s="9"/>
      <c r="M29" s="9"/>
      <c r="N29" s="56" t="s">
        <v>400</v>
      </c>
      <c r="O29" s="9"/>
      <c r="P29" s="9"/>
      <c r="Q29" s="9"/>
      <c r="R29" s="9"/>
      <c r="S29" s="17"/>
      <c r="T29" s="17"/>
      <c r="U29" s="17"/>
      <c r="V29" s="17"/>
      <c r="W29" s="17"/>
      <c r="X29" s="17"/>
      <c r="Y29" s="17"/>
      <c r="Z29" s="17"/>
      <c r="AA29" s="17"/>
      <c r="AB29" s="17"/>
      <c r="AC29" s="17"/>
      <c r="AD29" s="17"/>
      <c r="AE29" s="17"/>
      <c r="AF29" s="17"/>
    </row>
    <row r="30" ht="15.75" customHeight="1">
      <c r="A30" s="9"/>
      <c r="B30" s="9"/>
      <c r="C30" s="9"/>
      <c r="D30" s="9"/>
      <c r="E30" s="9"/>
      <c r="F30" s="9"/>
      <c r="G30" s="9"/>
      <c r="H30" s="9"/>
      <c r="I30" s="9"/>
      <c r="J30" s="9"/>
      <c r="K30" s="9"/>
      <c r="L30" s="9"/>
      <c r="M30" s="9"/>
      <c r="N30" s="9"/>
      <c r="O30" s="9"/>
      <c r="P30" s="9"/>
      <c r="Q30" s="9"/>
      <c r="R30" s="9"/>
      <c r="S30" s="17"/>
      <c r="T30" s="17"/>
      <c r="U30" s="17"/>
      <c r="V30" s="17"/>
      <c r="W30" s="17"/>
      <c r="X30" s="17"/>
      <c r="Y30" s="17"/>
      <c r="Z30" s="17"/>
      <c r="AA30" s="17"/>
      <c r="AB30" s="17"/>
      <c r="AC30" s="17"/>
      <c r="AD30" s="17"/>
      <c r="AE30" s="17"/>
      <c r="AF30" s="17"/>
    </row>
    <row r="31" ht="15.75" customHeight="1">
      <c r="A31" s="9"/>
      <c r="B31" s="9"/>
      <c r="C31" s="9"/>
      <c r="D31" s="9"/>
      <c r="E31" s="9"/>
      <c r="F31" s="9"/>
      <c r="G31" s="9"/>
      <c r="H31" s="9"/>
      <c r="I31" s="9"/>
      <c r="J31" s="9"/>
      <c r="K31" s="9"/>
      <c r="L31" s="9"/>
      <c r="M31" s="9"/>
      <c r="N31" s="9"/>
      <c r="O31" s="9"/>
      <c r="P31" s="9"/>
      <c r="Q31" s="9"/>
      <c r="R31" s="9"/>
      <c r="S31" s="17"/>
      <c r="T31" s="17"/>
      <c r="U31" s="17"/>
      <c r="V31" s="17"/>
      <c r="W31" s="17"/>
      <c r="X31" s="17"/>
      <c r="Y31" s="17"/>
      <c r="Z31" s="17"/>
      <c r="AA31" s="17"/>
      <c r="AB31" s="17"/>
      <c r="AC31" s="17"/>
      <c r="AD31" s="17"/>
      <c r="AE31" s="17"/>
      <c r="AF31" s="17"/>
    </row>
    <row r="32" ht="15.75" customHeight="1">
      <c r="A32" s="9"/>
      <c r="B32" s="9"/>
      <c r="C32" s="9"/>
      <c r="D32" s="9"/>
      <c r="E32" s="9"/>
      <c r="F32" s="9"/>
      <c r="G32" s="9"/>
      <c r="H32" s="9"/>
      <c r="I32" s="9"/>
      <c r="J32" s="9"/>
      <c r="K32" s="9"/>
      <c r="L32" s="9"/>
      <c r="M32" s="9"/>
      <c r="N32" s="9"/>
      <c r="O32" s="9"/>
      <c r="P32" s="9"/>
      <c r="Q32" s="9"/>
      <c r="R32" s="9"/>
      <c r="S32" s="17"/>
      <c r="T32" s="17"/>
      <c r="U32" s="17"/>
      <c r="V32" s="17"/>
      <c r="W32" s="17"/>
      <c r="X32" s="17"/>
      <c r="Y32" s="17"/>
      <c r="Z32" s="17"/>
      <c r="AA32" s="17"/>
      <c r="AB32" s="17"/>
      <c r="AC32" s="17"/>
      <c r="AD32" s="17"/>
      <c r="AE32" s="17"/>
      <c r="AF32" s="17"/>
    </row>
    <row r="33" ht="15.75" customHeight="1">
      <c r="A33" s="9"/>
      <c r="B33" s="9"/>
      <c r="C33" s="9"/>
      <c r="D33" s="9"/>
      <c r="E33" s="9"/>
      <c r="F33" s="9"/>
      <c r="G33" s="9"/>
      <c r="H33" s="9"/>
      <c r="I33" s="9"/>
      <c r="J33" s="9"/>
      <c r="K33" s="9"/>
      <c r="L33" s="9"/>
      <c r="M33" s="9"/>
      <c r="N33" s="9"/>
      <c r="O33" s="9"/>
      <c r="P33" s="9"/>
      <c r="Q33" s="9"/>
      <c r="R33" s="9"/>
      <c r="S33" s="17"/>
      <c r="T33" s="17"/>
      <c r="U33" s="17"/>
      <c r="V33" s="17"/>
      <c r="W33" s="17"/>
      <c r="X33" s="17"/>
      <c r="Y33" s="17"/>
      <c r="Z33" s="17"/>
      <c r="AA33" s="17"/>
      <c r="AB33" s="17"/>
      <c r="AC33" s="17"/>
      <c r="AD33" s="17"/>
      <c r="AE33" s="17"/>
      <c r="AF33" s="17"/>
    </row>
    <row r="34" ht="15.75" customHeight="1">
      <c r="A34" s="9"/>
      <c r="B34" s="9"/>
      <c r="C34" s="9"/>
      <c r="D34" s="9"/>
      <c r="E34" s="9"/>
      <c r="F34" s="9"/>
      <c r="G34" s="9"/>
      <c r="H34" s="9"/>
      <c r="I34" s="9"/>
      <c r="J34" s="9"/>
      <c r="K34" s="9"/>
      <c r="L34" s="9"/>
      <c r="M34" s="9"/>
      <c r="N34" s="9"/>
      <c r="O34" s="9"/>
      <c r="P34" s="9"/>
      <c r="Q34" s="9"/>
      <c r="R34" s="9"/>
      <c r="S34" s="17"/>
      <c r="T34" s="17"/>
      <c r="U34" s="17"/>
      <c r="V34" s="17"/>
      <c r="W34" s="17"/>
      <c r="X34" s="17"/>
      <c r="Y34" s="17"/>
      <c r="Z34" s="17"/>
      <c r="AA34" s="17"/>
      <c r="AB34" s="17"/>
      <c r="AC34" s="17"/>
      <c r="AD34" s="17"/>
      <c r="AE34" s="17"/>
      <c r="AF34" s="17"/>
    </row>
    <row r="35" ht="15.75" customHeight="1">
      <c r="A35" s="9"/>
      <c r="B35" s="9"/>
      <c r="C35" s="9"/>
      <c r="D35" s="9"/>
      <c r="E35" s="9"/>
      <c r="F35" s="9"/>
      <c r="G35" s="9"/>
      <c r="H35" s="9"/>
      <c r="I35" s="9"/>
      <c r="J35" s="9"/>
      <c r="K35" s="9"/>
      <c r="L35" s="9"/>
      <c r="M35" s="9"/>
      <c r="N35" s="9"/>
      <c r="O35" s="9"/>
      <c r="P35" s="9"/>
      <c r="Q35" s="9"/>
      <c r="R35" s="9"/>
      <c r="S35" s="17"/>
      <c r="T35" s="17"/>
      <c r="U35" s="17"/>
      <c r="V35" s="17"/>
      <c r="W35" s="17"/>
      <c r="X35" s="17"/>
      <c r="Y35" s="17"/>
      <c r="Z35" s="17"/>
      <c r="AA35" s="17"/>
      <c r="AB35" s="17"/>
      <c r="AC35" s="17"/>
      <c r="AD35" s="17"/>
      <c r="AE35" s="17"/>
      <c r="AF35" s="17"/>
    </row>
    <row r="36" ht="15.75" customHeight="1">
      <c r="A36" s="9"/>
      <c r="B36" s="67" t="s">
        <v>402</v>
      </c>
      <c r="C36" s="66"/>
      <c r="D36" s="9"/>
      <c r="E36" s="9"/>
      <c r="F36" s="9"/>
      <c r="G36" s="9"/>
      <c r="H36" s="9"/>
      <c r="I36" s="9"/>
      <c r="J36" s="9"/>
      <c r="K36" s="9"/>
      <c r="L36" s="9"/>
      <c r="M36" s="9"/>
      <c r="N36" s="9"/>
      <c r="O36" s="9"/>
      <c r="P36" s="9"/>
      <c r="Q36" s="9"/>
      <c r="R36" s="9"/>
      <c r="S36" s="17"/>
      <c r="T36" s="17"/>
      <c r="U36" s="17"/>
      <c r="V36" s="17"/>
      <c r="W36" s="17"/>
      <c r="X36" s="17"/>
      <c r="Y36" s="17"/>
      <c r="Z36" s="17"/>
      <c r="AA36" s="17"/>
      <c r="AB36" s="17"/>
      <c r="AC36" s="17"/>
      <c r="AD36" s="17"/>
      <c r="AE36" s="17"/>
      <c r="AF36" s="17"/>
    </row>
    <row r="37" ht="15.75" customHeight="1">
      <c r="A37" s="9"/>
      <c r="B37" s="17"/>
      <c r="C37" s="9"/>
      <c r="D37" s="9"/>
      <c r="E37" s="9"/>
      <c r="F37" s="9"/>
      <c r="G37" s="9"/>
      <c r="H37" s="9"/>
      <c r="I37" s="9"/>
      <c r="J37" s="9"/>
      <c r="K37" s="9"/>
      <c r="L37" s="9"/>
      <c r="M37" s="9"/>
      <c r="N37" s="9"/>
      <c r="O37" s="9"/>
      <c r="P37" s="9"/>
      <c r="Q37" s="9"/>
      <c r="R37" s="9"/>
      <c r="S37" s="17"/>
      <c r="T37" s="17"/>
      <c r="U37" s="17"/>
      <c r="V37" s="17"/>
      <c r="W37" s="17"/>
      <c r="X37" s="17"/>
      <c r="Y37" s="17"/>
      <c r="Z37" s="17"/>
      <c r="AA37" s="17"/>
      <c r="AB37" s="17"/>
      <c r="AC37" s="17"/>
      <c r="AD37" s="17"/>
      <c r="AE37" s="17"/>
      <c r="AF37" s="17"/>
    </row>
    <row r="38" ht="15.75" customHeight="1">
      <c r="A38" s="9"/>
      <c r="B38" s="9"/>
      <c r="C38" s="9"/>
      <c r="D38" s="9"/>
      <c r="E38" s="9"/>
      <c r="F38" s="9"/>
      <c r="G38" s="9"/>
      <c r="H38" s="9"/>
      <c r="I38" s="9"/>
      <c r="J38" s="9"/>
      <c r="K38" s="9"/>
      <c r="L38" s="9"/>
      <c r="M38" s="9"/>
      <c r="N38" s="9"/>
      <c r="O38" s="9"/>
      <c r="P38" s="9"/>
      <c r="Q38" s="9"/>
      <c r="R38" s="9"/>
      <c r="S38" s="17"/>
      <c r="T38" s="17"/>
      <c r="U38" s="17"/>
      <c r="V38" s="17"/>
      <c r="W38" s="17"/>
      <c r="X38" s="17"/>
      <c r="Y38" s="17"/>
      <c r="Z38" s="17"/>
      <c r="AA38" s="17"/>
      <c r="AB38" s="17"/>
      <c r="AC38" s="17"/>
      <c r="AD38" s="17"/>
      <c r="AE38" s="17"/>
      <c r="AF38" s="17"/>
    </row>
    <row r="39" ht="15.75" customHeight="1">
      <c r="A39" s="9"/>
      <c r="B39" s="9" t="s">
        <v>403</v>
      </c>
      <c r="C39" s="9"/>
      <c r="D39" s="9"/>
      <c r="E39" s="9"/>
      <c r="F39" s="9"/>
      <c r="G39" s="9"/>
      <c r="H39" s="9"/>
      <c r="I39" s="9"/>
      <c r="J39" s="9"/>
      <c r="K39" s="9"/>
      <c r="L39" s="9"/>
      <c r="M39" s="9"/>
      <c r="N39" s="9"/>
      <c r="O39" s="9"/>
      <c r="P39" s="9"/>
      <c r="Q39" s="9"/>
      <c r="R39" s="9"/>
      <c r="S39" s="17"/>
      <c r="T39" s="17"/>
      <c r="U39" s="17"/>
      <c r="V39" s="17"/>
      <c r="W39" s="17"/>
      <c r="X39" s="17"/>
      <c r="Y39" s="17"/>
      <c r="Z39" s="17"/>
      <c r="AA39" s="17"/>
      <c r="AB39" s="17"/>
      <c r="AC39" s="17"/>
      <c r="AD39" s="17"/>
      <c r="AE39" s="17"/>
      <c r="AF39" s="17"/>
    </row>
    <row r="40" ht="15.75" customHeight="1">
      <c r="A40" s="9"/>
      <c r="B40" s="9"/>
      <c r="C40" s="9"/>
      <c r="D40" s="9"/>
      <c r="E40" s="9"/>
      <c r="F40" s="9"/>
      <c r="G40" s="9"/>
      <c r="H40" s="9"/>
      <c r="I40" s="9"/>
      <c r="J40" s="9"/>
      <c r="K40" s="9"/>
      <c r="L40" s="9"/>
      <c r="M40" s="9"/>
      <c r="N40" s="9"/>
      <c r="O40" s="9"/>
      <c r="P40" s="9"/>
      <c r="Q40" s="9"/>
      <c r="R40" s="9"/>
      <c r="S40" s="17"/>
      <c r="T40" s="17"/>
      <c r="U40" s="17"/>
      <c r="V40" s="17"/>
      <c r="W40" s="17"/>
      <c r="X40" s="17"/>
      <c r="Y40" s="17"/>
      <c r="Z40" s="17"/>
      <c r="AA40" s="17"/>
      <c r="AB40" s="17"/>
      <c r="AC40" s="17"/>
      <c r="AD40" s="17"/>
      <c r="AE40" s="17"/>
      <c r="AF40" s="17"/>
    </row>
    <row r="41" ht="15.75" customHeight="1">
      <c r="A41" s="9"/>
      <c r="B41" s="9"/>
      <c r="C41" s="9"/>
      <c r="D41" s="9"/>
      <c r="E41" s="9"/>
      <c r="F41" s="9"/>
      <c r="G41" s="9"/>
      <c r="H41" s="9"/>
      <c r="I41" s="9"/>
      <c r="J41" s="9"/>
      <c r="K41" s="9"/>
      <c r="L41" s="9"/>
      <c r="M41" s="9"/>
      <c r="N41" s="9"/>
      <c r="O41" s="9"/>
      <c r="P41" s="9"/>
      <c r="Q41" s="9"/>
      <c r="R41" s="9"/>
      <c r="S41" s="17"/>
      <c r="T41" s="17"/>
      <c r="U41" s="17"/>
      <c r="V41" s="17"/>
      <c r="W41" s="17"/>
      <c r="X41" s="17"/>
      <c r="Y41" s="17"/>
      <c r="Z41" s="17"/>
      <c r="AA41" s="17"/>
      <c r="AB41" s="17"/>
      <c r="AC41" s="17"/>
      <c r="AD41" s="17"/>
      <c r="AE41" s="17"/>
      <c r="AF41" s="17"/>
    </row>
    <row r="42" ht="15.75" customHeight="1">
      <c r="A42" s="9"/>
      <c r="B42" s="9"/>
      <c r="C42" s="9"/>
      <c r="D42" s="9"/>
      <c r="E42" s="9"/>
      <c r="F42" s="9"/>
      <c r="G42" s="9"/>
      <c r="H42" s="9"/>
      <c r="I42" s="9"/>
      <c r="J42" s="9"/>
      <c r="K42" s="9"/>
      <c r="L42" s="9"/>
      <c r="M42" s="9"/>
      <c r="N42" s="9"/>
      <c r="O42" s="9"/>
      <c r="P42" s="9"/>
      <c r="Q42" s="9"/>
      <c r="R42" s="9"/>
      <c r="S42" s="17"/>
      <c r="T42" s="17"/>
      <c r="U42" s="17"/>
      <c r="V42" s="17"/>
      <c r="W42" s="17"/>
      <c r="X42" s="17"/>
      <c r="Y42" s="17"/>
      <c r="Z42" s="17"/>
      <c r="AA42" s="17"/>
      <c r="AB42" s="17"/>
      <c r="AC42" s="17"/>
      <c r="AD42" s="17"/>
      <c r="AE42" s="17"/>
      <c r="AF42" s="17"/>
    </row>
    <row r="43" ht="15.75" customHeight="1">
      <c r="A43" s="9"/>
      <c r="B43" s="56" t="s">
        <v>405</v>
      </c>
      <c r="C43" s="9"/>
      <c r="D43" s="9"/>
      <c r="E43" s="9"/>
      <c r="F43" s="9"/>
      <c r="G43" s="9"/>
      <c r="H43" s="9"/>
      <c r="I43" s="9"/>
      <c r="J43" s="9"/>
      <c r="K43" s="9"/>
      <c r="L43" s="9"/>
      <c r="M43" s="9"/>
      <c r="N43" s="9"/>
      <c r="O43" s="9"/>
      <c r="P43" s="9"/>
      <c r="Q43" s="9"/>
      <c r="R43" s="9"/>
      <c r="S43" s="17"/>
      <c r="T43" s="17"/>
      <c r="U43" s="17"/>
      <c r="V43" s="17"/>
      <c r="W43" s="17"/>
      <c r="X43" s="17"/>
      <c r="Y43" s="17"/>
      <c r="Z43" s="17"/>
      <c r="AA43" s="17"/>
      <c r="AB43" s="17"/>
      <c r="AC43" s="17"/>
      <c r="AD43" s="17"/>
      <c r="AE43" s="17"/>
      <c r="AF43" s="17"/>
    </row>
    <row r="44" ht="15.75" customHeight="1">
      <c r="A44" s="9"/>
      <c r="B44" s="9"/>
      <c r="C44" s="9"/>
      <c r="D44" s="9"/>
      <c r="E44" s="9"/>
      <c r="F44" s="9"/>
      <c r="G44" s="9"/>
      <c r="H44" s="9"/>
      <c r="I44" s="9"/>
      <c r="J44" s="9"/>
      <c r="K44" s="9"/>
      <c r="L44" s="9"/>
      <c r="M44" s="9"/>
      <c r="N44" s="9"/>
      <c r="O44" s="9"/>
      <c r="P44" s="9"/>
      <c r="Q44" s="9"/>
      <c r="R44" s="9"/>
      <c r="S44" s="17"/>
      <c r="T44" s="17"/>
      <c r="U44" s="17"/>
      <c r="V44" s="17"/>
      <c r="W44" s="17"/>
      <c r="X44" s="17"/>
      <c r="Y44" s="17"/>
      <c r="Z44" s="17"/>
      <c r="AA44" s="17"/>
      <c r="AB44" s="17"/>
      <c r="AC44" s="17"/>
      <c r="AD44" s="17"/>
      <c r="AE44" s="17"/>
      <c r="AF44" s="17"/>
    </row>
    <row r="45" ht="15.75" customHeight="1">
      <c r="A45" s="9"/>
      <c r="B45" s="9"/>
      <c r="C45" s="9"/>
      <c r="D45" s="9"/>
      <c r="E45" s="9"/>
      <c r="F45" s="9"/>
      <c r="G45" s="9"/>
      <c r="H45" s="9"/>
      <c r="I45" s="9"/>
      <c r="J45" s="9"/>
      <c r="K45" s="9"/>
      <c r="L45" s="9"/>
      <c r="M45" s="9"/>
      <c r="N45" s="9"/>
      <c r="O45" s="9"/>
      <c r="P45" s="9"/>
      <c r="Q45" s="9"/>
      <c r="R45" s="9"/>
      <c r="S45" s="17"/>
      <c r="T45" s="17"/>
      <c r="U45" s="17"/>
      <c r="V45" s="17"/>
      <c r="W45" s="17"/>
      <c r="X45" s="17"/>
      <c r="Y45" s="17"/>
      <c r="Z45" s="17"/>
      <c r="AA45" s="17"/>
      <c r="AB45" s="17"/>
      <c r="AC45" s="17"/>
      <c r="AD45" s="17"/>
      <c r="AE45" s="17"/>
      <c r="AF45" s="17"/>
    </row>
    <row r="46" ht="15.75" customHeight="1">
      <c r="A46" s="9"/>
      <c r="B46" s="9"/>
      <c r="C46" s="9"/>
      <c r="D46" s="9"/>
      <c r="E46" s="9"/>
      <c r="F46" s="9"/>
      <c r="G46" s="9"/>
      <c r="H46" s="9"/>
      <c r="I46" s="9"/>
      <c r="J46" s="9"/>
      <c r="K46" s="9"/>
      <c r="L46" s="9"/>
      <c r="M46" s="9"/>
      <c r="N46" s="9"/>
      <c r="O46" s="9"/>
      <c r="P46" s="9"/>
      <c r="Q46" s="9"/>
      <c r="R46" s="9"/>
      <c r="S46" s="17"/>
      <c r="T46" s="17"/>
      <c r="U46" s="17"/>
      <c r="V46" s="17"/>
      <c r="W46" s="17"/>
      <c r="X46" s="17"/>
      <c r="Y46" s="17"/>
      <c r="Z46" s="17"/>
      <c r="AA46" s="17"/>
      <c r="AB46" s="17"/>
      <c r="AC46" s="17"/>
      <c r="AD46" s="17"/>
      <c r="AE46" s="17"/>
      <c r="AF46" s="17"/>
    </row>
    <row r="47" ht="15.75" customHeight="1">
      <c r="A47" s="9"/>
      <c r="B47" s="9"/>
      <c r="C47" s="9"/>
      <c r="D47" s="9"/>
      <c r="E47" s="9"/>
      <c r="F47" s="9"/>
      <c r="G47" s="9"/>
      <c r="H47" s="9"/>
      <c r="I47" s="9"/>
      <c r="J47" s="9"/>
      <c r="K47" s="9"/>
      <c r="L47" s="9"/>
      <c r="M47" s="9"/>
      <c r="N47" s="9"/>
      <c r="O47" s="9"/>
      <c r="P47" s="9"/>
      <c r="Q47" s="9"/>
      <c r="R47" s="9"/>
      <c r="S47" s="17"/>
      <c r="T47" s="17"/>
      <c r="U47" s="17"/>
      <c r="V47" s="17"/>
      <c r="W47" s="17"/>
      <c r="X47" s="17"/>
      <c r="Y47" s="17"/>
      <c r="Z47" s="17"/>
      <c r="AA47" s="17"/>
      <c r="AB47" s="17"/>
      <c r="AC47" s="17"/>
      <c r="AD47" s="17"/>
      <c r="AE47" s="17"/>
      <c r="AF47" s="17"/>
    </row>
    <row r="48" ht="15.75" customHeight="1">
      <c r="A48" s="9"/>
      <c r="B48" s="9"/>
      <c r="C48" s="9"/>
      <c r="D48" s="9"/>
      <c r="E48" s="9"/>
      <c r="F48" s="9"/>
      <c r="G48" s="9"/>
      <c r="H48" s="9"/>
      <c r="I48" s="9"/>
      <c r="J48" s="9"/>
      <c r="K48" s="9"/>
      <c r="L48" s="9"/>
      <c r="M48" s="9"/>
      <c r="N48" s="9"/>
      <c r="O48" s="9"/>
      <c r="P48" s="9"/>
      <c r="Q48" s="9"/>
      <c r="R48" s="9"/>
      <c r="S48" s="17"/>
      <c r="T48" s="17"/>
      <c r="U48" s="17"/>
      <c r="V48" s="17"/>
      <c r="W48" s="17"/>
      <c r="X48" s="17"/>
      <c r="Y48" s="17"/>
      <c r="Z48" s="17"/>
      <c r="AA48" s="17"/>
      <c r="AB48" s="17"/>
      <c r="AC48" s="17"/>
      <c r="AD48" s="17"/>
      <c r="AE48" s="17"/>
      <c r="AF48" s="17"/>
    </row>
    <row r="49" ht="15.75" customHeight="1">
      <c r="A49" s="9"/>
      <c r="B49" s="9"/>
      <c r="C49" s="9"/>
      <c r="D49" s="9"/>
      <c r="E49" s="9"/>
      <c r="F49" s="9"/>
      <c r="G49" s="9"/>
      <c r="H49" s="9"/>
      <c r="I49" s="9"/>
      <c r="J49" s="9"/>
      <c r="K49" s="9"/>
      <c r="L49" s="9"/>
      <c r="M49" s="9"/>
      <c r="N49" s="9"/>
      <c r="O49" s="9"/>
      <c r="P49" s="9"/>
      <c r="Q49" s="9"/>
      <c r="R49" s="9"/>
      <c r="S49" s="17"/>
      <c r="T49" s="17"/>
      <c r="U49" s="17"/>
      <c r="V49" s="17"/>
      <c r="W49" s="17"/>
      <c r="X49" s="17"/>
      <c r="Y49" s="17"/>
      <c r="Z49" s="17"/>
      <c r="AA49" s="17"/>
      <c r="AB49" s="17"/>
      <c r="AC49" s="17"/>
      <c r="AD49" s="17"/>
      <c r="AE49" s="17"/>
      <c r="AF49" s="17"/>
    </row>
    <row r="50" ht="15.75" customHeight="1">
      <c r="A50" s="9"/>
      <c r="B50" s="9"/>
      <c r="C50" s="9"/>
      <c r="D50" s="9"/>
      <c r="E50" s="9"/>
      <c r="F50" s="9"/>
      <c r="G50" s="9"/>
      <c r="H50" s="9"/>
      <c r="I50" s="9"/>
      <c r="J50" s="9"/>
      <c r="K50" s="9"/>
      <c r="L50" s="9"/>
      <c r="M50" s="9"/>
      <c r="N50" s="9"/>
      <c r="O50" s="9"/>
      <c r="P50" s="9"/>
      <c r="Q50" s="9"/>
      <c r="R50" s="9"/>
      <c r="S50" s="17"/>
      <c r="T50" s="17"/>
      <c r="U50" s="17"/>
      <c r="V50" s="17"/>
      <c r="W50" s="17"/>
      <c r="X50" s="17"/>
      <c r="Y50" s="17"/>
      <c r="Z50" s="17"/>
      <c r="AA50" s="17"/>
      <c r="AB50" s="17"/>
      <c r="AC50" s="17"/>
      <c r="AD50" s="17"/>
      <c r="AE50" s="17"/>
      <c r="AF50" s="17"/>
    </row>
    <row r="51" ht="15.75" customHeight="1">
      <c r="A51" s="9"/>
      <c r="B51" s="9"/>
      <c r="C51" s="9"/>
      <c r="D51" s="9"/>
      <c r="E51" s="9"/>
      <c r="F51" s="9"/>
      <c r="G51" s="9"/>
      <c r="H51" s="9"/>
      <c r="I51" s="9"/>
      <c r="J51" s="9"/>
      <c r="K51" s="9"/>
      <c r="L51" s="9"/>
      <c r="M51" s="9"/>
      <c r="N51" s="9"/>
      <c r="O51" s="9"/>
      <c r="P51" s="9"/>
      <c r="Q51" s="9"/>
      <c r="R51" s="9"/>
      <c r="S51" s="17"/>
      <c r="T51" s="17"/>
      <c r="U51" s="17"/>
      <c r="V51" s="17"/>
      <c r="W51" s="17"/>
      <c r="X51" s="17"/>
      <c r="Y51" s="17"/>
      <c r="Z51" s="17"/>
      <c r="AA51" s="17"/>
      <c r="AB51" s="17"/>
      <c r="AC51" s="17"/>
      <c r="AD51" s="17"/>
      <c r="AE51" s="17"/>
      <c r="AF51" s="17"/>
    </row>
    <row r="52" ht="15.75" customHeight="1">
      <c r="A52" s="9"/>
      <c r="B52" s="9"/>
      <c r="C52" s="9"/>
      <c r="D52" s="9"/>
      <c r="E52" s="9"/>
      <c r="F52" s="9"/>
      <c r="G52" s="9"/>
      <c r="H52" s="9"/>
      <c r="I52" s="9"/>
      <c r="J52" s="9"/>
      <c r="K52" s="9"/>
      <c r="L52" s="9"/>
      <c r="M52" s="9"/>
      <c r="N52" s="9"/>
      <c r="O52" s="9"/>
      <c r="P52" s="9"/>
      <c r="Q52" s="9"/>
      <c r="R52" s="9"/>
      <c r="S52" s="17"/>
      <c r="T52" s="17"/>
      <c r="U52" s="17"/>
      <c r="V52" s="17"/>
      <c r="W52" s="17"/>
      <c r="X52" s="17"/>
      <c r="Y52" s="17"/>
      <c r="Z52" s="17"/>
      <c r="AA52" s="17"/>
      <c r="AB52" s="17"/>
      <c r="AC52" s="17"/>
      <c r="AD52" s="17"/>
      <c r="AE52" s="17"/>
      <c r="AF52" s="17"/>
    </row>
    <row r="53" ht="15.75" customHeight="1">
      <c r="A53" s="9"/>
      <c r="B53" s="9"/>
      <c r="C53" s="9"/>
      <c r="D53" s="9"/>
      <c r="E53" s="9"/>
      <c r="F53" s="9"/>
      <c r="G53" s="9"/>
      <c r="H53" s="9"/>
      <c r="I53" s="9"/>
      <c r="J53" s="9"/>
      <c r="K53" s="9"/>
      <c r="L53" s="9"/>
      <c r="M53" s="9"/>
      <c r="N53" s="9"/>
      <c r="O53" s="9"/>
      <c r="P53" s="9"/>
      <c r="Q53" s="9"/>
      <c r="R53" s="9"/>
      <c r="S53" s="17"/>
      <c r="T53" s="17"/>
      <c r="U53" s="17"/>
      <c r="V53" s="17"/>
      <c r="W53" s="17"/>
      <c r="X53" s="17"/>
      <c r="Y53" s="17"/>
      <c r="Z53" s="17"/>
      <c r="AA53" s="17"/>
      <c r="AB53" s="17"/>
      <c r="AC53" s="17"/>
      <c r="AD53" s="17"/>
      <c r="AE53" s="17"/>
      <c r="AF53" s="17"/>
    </row>
    <row r="54" ht="15.75" customHeight="1">
      <c r="A54" s="9"/>
      <c r="B54" s="9"/>
      <c r="C54" s="9"/>
      <c r="D54" s="9"/>
      <c r="E54" s="9"/>
      <c r="F54" s="9"/>
      <c r="G54" s="9"/>
      <c r="H54" s="9"/>
      <c r="I54" s="9"/>
      <c r="J54" s="9"/>
      <c r="K54" s="9"/>
      <c r="L54" s="9"/>
      <c r="M54" s="9"/>
      <c r="N54" s="9"/>
      <c r="O54" s="9"/>
      <c r="P54" s="9"/>
      <c r="Q54" s="9"/>
      <c r="R54" s="9"/>
      <c r="S54" s="17"/>
      <c r="T54" s="17"/>
      <c r="U54" s="17"/>
      <c r="V54" s="17"/>
      <c r="W54" s="17"/>
      <c r="X54" s="17"/>
      <c r="Y54" s="17"/>
      <c r="Z54" s="17"/>
      <c r="AA54" s="17"/>
      <c r="AB54" s="17"/>
      <c r="AC54" s="17"/>
      <c r="AD54" s="17"/>
      <c r="AE54" s="17"/>
      <c r="AF54" s="17"/>
    </row>
    <row r="55" ht="15.75" customHeight="1">
      <c r="A55" s="9"/>
      <c r="B55" s="9"/>
      <c r="C55" s="9"/>
      <c r="D55" s="9"/>
      <c r="E55" s="9"/>
      <c r="F55" s="9"/>
      <c r="G55" s="9"/>
      <c r="H55" s="9"/>
      <c r="I55" s="9"/>
      <c r="J55" s="9"/>
      <c r="K55" s="9"/>
      <c r="L55" s="9"/>
      <c r="M55" s="9"/>
      <c r="N55" s="9"/>
      <c r="O55" s="9"/>
      <c r="P55" s="9"/>
      <c r="Q55" s="9"/>
      <c r="R55" s="9"/>
      <c r="S55" s="17"/>
      <c r="T55" s="17"/>
      <c r="U55" s="17"/>
      <c r="V55" s="17"/>
      <c r="W55" s="17"/>
      <c r="X55" s="17"/>
      <c r="Y55" s="17"/>
      <c r="Z55" s="17"/>
      <c r="AA55" s="17"/>
      <c r="AB55" s="17"/>
      <c r="AC55" s="17"/>
      <c r="AD55" s="17"/>
      <c r="AE55" s="17"/>
      <c r="AF55" s="17"/>
    </row>
    <row r="56" ht="15.75" customHeight="1">
      <c r="A56" s="9"/>
      <c r="B56" s="9"/>
      <c r="C56" s="9"/>
      <c r="D56" s="9"/>
      <c r="E56" s="9"/>
      <c r="F56" s="9"/>
      <c r="G56" s="9"/>
      <c r="H56" s="9"/>
      <c r="I56" s="9"/>
      <c r="J56" s="9"/>
      <c r="K56" s="9"/>
      <c r="L56" s="9"/>
      <c r="M56" s="9"/>
      <c r="N56" s="9"/>
      <c r="O56" s="9"/>
      <c r="P56" s="9"/>
      <c r="Q56" s="9"/>
      <c r="R56" s="9"/>
      <c r="S56" s="17"/>
      <c r="T56" s="17"/>
      <c r="U56" s="17"/>
      <c r="V56" s="17"/>
      <c r="W56" s="17"/>
      <c r="X56" s="17"/>
      <c r="Y56" s="17"/>
      <c r="Z56" s="17"/>
      <c r="AA56" s="17"/>
      <c r="AB56" s="17"/>
      <c r="AC56" s="17"/>
      <c r="AD56" s="17"/>
      <c r="AE56" s="17"/>
      <c r="AF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row>
    <row r="244" ht="15.75" customHeight="1">
      <c r="E244" s="68"/>
      <c r="J244" s="68"/>
      <c r="L244" s="68"/>
      <c r="M244" s="68"/>
      <c r="O244" s="68"/>
      <c r="R244" s="68"/>
    </row>
    <row r="245" ht="15.75" customHeight="1">
      <c r="E245" s="68"/>
      <c r="J245" s="68"/>
      <c r="L245" s="68"/>
      <c r="M245" s="68"/>
      <c r="O245" s="68"/>
      <c r="R245" s="68"/>
    </row>
    <row r="246" ht="15.75" customHeight="1">
      <c r="E246" s="68"/>
      <c r="J246" s="68"/>
      <c r="L246" s="68"/>
      <c r="M246" s="68"/>
      <c r="O246" s="68"/>
      <c r="R246" s="68"/>
    </row>
    <row r="247" ht="15.75" customHeight="1">
      <c r="E247" s="68"/>
      <c r="J247" s="68"/>
      <c r="L247" s="68"/>
      <c r="M247" s="68"/>
      <c r="O247" s="68"/>
      <c r="R247" s="68"/>
    </row>
    <row r="248" ht="15.75" customHeight="1">
      <c r="E248" s="68"/>
      <c r="J248" s="68"/>
      <c r="L248" s="68"/>
      <c r="M248" s="68"/>
      <c r="O248" s="68"/>
      <c r="R248" s="68"/>
    </row>
    <row r="249" ht="15.75" customHeight="1">
      <c r="E249" s="68"/>
      <c r="J249" s="68"/>
      <c r="L249" s="68"/>
      <c r="M249" s="68"/>
      <c r="O249" s="68"/>
      <c r="R249" s="68"/>
    </row>
    <row r="250" ht="15.75" customHeight="1">
      <c r="E250" s="68"/>
      <c r="J250" s="68"/>
      <c r="L250" s="68"/>
      <c r="M250" s="68"/>
      <c r="O250" s="68"/>
      <c r="R250" s="68"/>
    </row>
    <row r="251" ht="15.75" customHeight="1">
      <c r="E251" s="68"/>
      <c r="J251" s="68"/>
      <c r="L251" s="68"/>
      <c r="M251" s="68"/>
      <c r="O251" s="68"/>
      <c r="R251" s="68"/>
    </row>
    <row r="252" ht="15.75" customHeight="1">
      <c r="E252" s="68"/>
      <c r="J252" s="68"/>
      <c r="L252" s="68"/>
      <c r="M252" s="68"/>
      <c r="O252" s="68"/>
      <c r="R252" s="68"/>
    </row>
    <row r="253" ht="15.75" customHeight="1">
      <c r="E253" s="68"/>
      <c r="J253" s="68"/>
      <c r="L253" s="68"/>
      <c r="M253" s="68"/>
      <c r="O253" s="68"/>
      <c r="R253" s="68"/>
    </row>
    <row r="254" ht="15.75" customHeight="1">
      <c r="E254" s="68"/>
      <c r="J254" s="68"/>
      <c r="L254" s="68"/>
      <c r="M254" s="68"/>
      <c r="O254" s="68"/>
      <c r="R254" s="68"/>
    </row>
    <row r="255" ht="15.75" customHeight="1">
      <c r="E255" s="68"/>
      <c r="J255" s="68"/>
      <c r="L255" s="68"/>
      <c r="M255" s="68"/>
      <c r="O255" s="68"/>
      <c r="R255" s="68"/>
    </row>
    <row r="256" ht="15.75" customHeight="1">
      <c r="E256" s="68"/>
      <c r="J256" s="68"/>
      <c r="L256" s="68"/>
      <c r="M256" s="68"/>
      <c r="O256" s="68"/>
      <c r="R256" s="68"/>
    </row>
    <row r="257" ht="15.75" customHeight="1">
      <c r="E257" s="68"/>
      <c r="J257" s="68"/>
      <c r="L257" s="68"/>
      <c r="M257" s="68"/>
      <c r="O257" s="68"/>
      <c r="R257" s="68"/>
    </row>
    <row r="258" ht="15.75" customHeight="1">
      <c r="E258" s="68"/>
      <c r="J258" s="68"/>
      <c r="L258" s="68"/>
      <c r="M258" s="68"/>
      <c r="O258" s="68"/>
      <c r="R258" s="68"/>
    </row>
    <row r="259" ht="15.75" customHeight="1">
      <c r="E259" s="68"/>
      <c r="J259" s="68"/>
      <c r="L259" s="68"/>
      <c r="M259" s="68"/>
      <c r="O259" s="68"/>
      <c r="R259" s="68"/>
    </row>
    <row r="260" ht="15.75" customHeight="1">
      <c r="E260" s="68"/>
      <c r="J260" s="68"/>
      <c r="L260" s="68"/>
      <c r="M260" s="68"/>
      <c r="O260" s="68"/>
      <c r="R260" s="68"/>
    </row>
    <row r="261" ht="15.75" customHeight="1">
      <c r="E261" s="68"/>
      <c r="J261" s="68"/>
      <c r="L261" s="68"/>
      <c r="M261" s="68"/>
      <c r="O261" s="68"/>
      <c r="R261" s="68"/>
    </row>
    <row r="262" ht="15.75" customHeight="1">
      <c r="E262" s="68"/>
      <c r="J262" s="68"/>
      <c r="L262" s="68"/>
      <c r="M262" s="68"/>
      <c r="O262" s="68"/>
      <c r="R262" s="68"/>
    </row>
    <row r="263" ht="15.75" customHeight="1">
      <c r="E263" s="68"/>
      <c r="J263" s="68"/>
      <c r="L263" s="68"/>
      <c r="M263" s="68"/>
      <c r="O263" s="68"/>
      <c r="R263" s="68"/>
    </row>
    <row r="264" ht="15.75" customHeight="1">
      <c r="E264" s="68"/>
      <c r="J264" s="68"/>
      <c r="L264" s="68"/>
      <c r="M264" s="68"/>
      <c r="O264" s="68"/>
      <c r="R264" s="68"/>
    </row>
    <row r="265" ht="15.75" customHeight="1">
      <c r="E265" s="68"/>
      <c r="J265" s="68"/>
      <c r="L265" s="68"/>
      <c r="M265" s="68"/>
      <c r="O265" s="68"/>
      <c r="R265" s="68"/>
    </row>
    <row r="266" ht="15.75" customHeight="1">
      <c r="E266" s="68"/>
      <c r="J266" s="68"/>
      <c r="L266" s="68"/>
      <c r="M266" s="68"/>
      <c r="O266" s="68"/>
      <c r="R266" s="68"/>
    </row>
    <row r="267" ht="15.75" customHeight="1">
      <c r="E267" s="68"/>
      <c r="J267" s="68"/>
      <c r="L267" s="68"/>
      <c r="M267" s="68"/>
      <c r="O267" s="68"/>
      <c r="R267" s="68"/>
    </row>
    <row r="268" ht="15.75" customHeight="1">
      <c r="E268" s="68"/>
      <c r="J268" s="68"/>
      <c r="L268" s="68"/>
      <c r="M268" s="68"/>
      <c r="O268" s="68"/>
      <c r="R268" s="68"/>
    </row>
    <row r="269" ht="15.75" customHeight="1">
      <c r="E269" s="68"/>
      <c r="J269" s="68"/>
      <c r="L269" s="68"/>
      <c r="M269" s="68"/>
      <c r="O269" s="68"/>
      <c r="R269" s="68"/>
    </row>
    <row r="270" ht="15.75" customHeight="1">
      <c r="E270" s="68"/>
      <c r="J270" s="68"/>
      <c r="L270" s="68"/>
      <c r="M270" s="68"/>
      <c r="O270" s="68"/>
      <c r="R270" s="68"/>
    </row>
    <row r="271" ht="15.75" customHeight="1">
      <c r="E271" s="68"/>
      <c r="J271" s="68"/>
      <c r="L271" s="68"/>
      <c r="M271" s="68"/>
      <c r="O271" s="68"/>
      <c r="R271" s="68"/>
    </row>
    <row r="272" ht="15.75" customHeight="1">
      <c r="E272" s="68"/>
      <c r="J272" s="68"/>
      <c r="L272" s="68"/>
      <c r="M272" s="68"/>
      <c r="O272" s="68"/>
      <c r="R272" s="68"/>
    </row>
    <row r="273" ht="15.75" customHeight="1">
      <c r="E273" s="68"/>
      <c r="J273" s="68"/>
      <c r="L273" s="68"/>
      <c r="M273" s="68"/>
      <c r="O273" s="68"/>
      <c r="R273" s="68"/>
    </row>
    <row r="274" ht="15.75" customHeight="1">
      <c r="E274" s="68"/>
      <c r="J274" s="68"/>
      <c r="L274" s="68"/>
      <c r="M274" s="68"/>
      <c r="O274" s="68"/>
      <c r="R274" s="68"/>
    </row>
    <row r="275" ht="15.75" customHeight="1">
      <c r="E275" s="68"/>
      <c r="J275" s="68"/>
      <c r="L275" s="68"/>
      <c r="M275" s="68"/>
      <c r="O275" s="68"/>
      <c r="R275" s="68"/>
    </row>
    <row r="276" ht="15.75" customHeight="1">
      <c r="E276" s="68"/>
      <c r="J276" s="68"/>
      <c r="L276" s="68"/>
      <c r="M276" s="68"/>
      <c r="O276" s="68"/>
      <c r="R276" s="68"/>
    </row>
    <row r="277" ht="15.75" customHeight="1">
      <c r="E277" s="68"/>
      <c r="J277" s="68"/>
      <c r="L277" s="68"/>
      <c r="M277" s="68"/>
      <c r="O277" s="68"/>
      <c r="R277" s="68"/>
    </row>
    <row r="278" ht="15.75" customHeight="1">
      <c r="E278" s="68"/>
      <c r="J278" s="68"/>
      <c r="L278" s="68"/>
      <c r="M278" s="68"/>
      <c r="O278" s="68"/>
      <c r="R278" s="68"/>
    </row>
    <row r="279" ht="15.75" customHeight="1">
      <c r="E279" s="68"/>
      <c r="J279" s="68"/>
      <c r="L279" s="68"/>
      <c r="M279" s="68"/>
      <c r="O279" s="68"/>
      <c r="R279" s="68"/>
    </row>
    <row r="280" ht="15.75" customHeight="1">
      <c r="E280" s="68"/>
      <c r="J280" s="68"/>
      <c r="L280" s="68"/>
      <c r="M280" s="68"/>
      <c r="O280" s="68"/>
      <c r="R280" s="68"/>
    </row>
    <row r="281" ht="15.75" customHeight="1">
      <c r="E281" s="68"/>
      <c r="J281" s="68"/>
      <c r="L281" s="68"/>
      <c r="M281" s="68"/>
      <c r="O281" s="68"/>
      <c r="R281" s="68"/>
    </row>
    <row r="282" ht="15.75" customHeight="1">
      <c r="E282" s="68"/>
      <c r="J282" s="68"/>
      <c r="L282" s="68"/>
      <c r="M282" s="68"/>
      <c r="O282" s="68"/>
      <c r="R282" s="68"/>
    </row>
    <row r="283" ht="15.75" customHeight="1">
      <c r="E283" s="68"/>
      <c r="J283" s="68"/>
      <c r="L283" s="68"/>
      <c r="M283" s="68"/>
      <c r="O283" s="68"/>
      <c r="R283" s="68"/>
    </row>
    <row r="284" ht="15.75" customHeight="1">
      <c r="E284" s="68"/>
      <c r="J284" s="68"/>
      <c r="L284" s="68"/>
      <c r="M284" s="68"/>
      <c r="O284" s="68"/>
      <c r="R284" s="68"/>
    </row>
    <row r="285" ht="15.75" customHeight="1">
      <c r="E285" s="68"/>
      <c r="J285" s="68"/>
      <c r="L285" s="68"/>
      <c r="M285" s="68"/>
      <c r="O285" s="68"/>
      <c r="R285" s="68"/>
    </row>
    <row r="286" ht="15.75" customHeight="1">
      <c r="E286" s="68"/>
      <c r="J286" s="68"/>
      <c r="L286" s="68"/>
      <c r="M286" s="68"/>
      <c r="O286" s="68"/>
      <c r="R286" s="68"/>
    </row>
    <row r="287" ht="15.75" customHeight="1">
      <c r="E287" s="68"/>
      <c r="J287" s="68"/>
      <c r="L287" s="68"/>
      <c r="M287" s="68"/>
      <c r="O287" s="68"/>
      <c r="R287" s="68"/>
    </row>
    <row r="288" ht="15.75" customHeight="1">
      <c r="E288" s="68"/>
      <c r="J288" s="68"/>
      <c r="L288" s="68"/>
      <c r="M288" s="68"/>
      <c r="O288" s="68"/>
      <c r="R288" s="68"/>
    </row>
    <row r="289" ht="15.75" customHeight="1">
      <c r="E289" s="68"/>
      <c r="J289" s="68"/>
      <c r="L289" s="68"/>
      <c r="M289" s="68"/>
      <c r="O289" s="68"/>
      <c r="R289" s="68"/>
    </row>
    <row r="290" ht="15.75" customHeight="1">
      <c r="E290" s="68"/>
      <c r="J290" s="68"/>
      <c r="L290" s="68"/>
      <c r="M290" s="68"/>
      <c r="O290" s="68"/>
      <c r="R290" s="68"/>
    </row>
    <row r="291" ht="15.75" customHeight="1">
      <c r="E291" s="68"/>
      <c r="J291" s="68"/>
      <c r="L291" s="68"/>
      <c r="M291" s="68"/>
      <c r="O291" s="68"/>
      <c r="R291" s="68"/>
    </row>
    <row r="292" ht="15.75" customHeight="1">
      <c r="E292" s="68"/>
      <c r="J292" s="68"/>
      <c r="L292" s="68"/>
      <c r="M292" s="68"/>
      <c r="O292" s="68"/>
      <c r="R292" s="68"/>
    </row>
    <row r="293" ht="15.75" customHeight="1">
      <c r="E293" s="68"/>
      <c r="J293" s="68"/>
      <c r="L293" s="68"/>
      <c r="M293" s="68"/>
      <c r="O293" s="68"/>
      <c r="R293" s="68"/>
    </row>
    <row r="294" ht="15.75" customHeight="1">
      <c r="E294" s="68"/>
      <c r="J294" s="68"/>
      <c r="L294" s="68"/>
      <c r="M294" s="68"/>
      <c r="O294" s="68"/>
      <c r="R294" s="68"/>
    </row>
    <row r="295" ht="15.75" customHeight="1">
      <c r="E295" s="68"/>
      <c r="J295" s="68"/>
      <c r="L295" s="68"/>
      <c r="M295" s="68"/>
      <c r="O295" s="68"/>
      <c r="R295" s="68"/>
    </row>
    <row r="296" ht="15.75" customHeight="1">
      <c r="E296" s="68"/>
      <c r="J296" s="68"/>
      <c r="L296" s="68"/>
      <c r="M296" s="68"/>
      <c r="O296" s="68"/>
      <c r="R296" s="68"/>
    </row>
    <row r="297" ht="15.75" customHeight="1">
      <c r="E297" s="68"/>
      <c r="J297" s="68"/>
      <c r="L297" s="68"/>
      <c r="M297" s="68"/>
      <c r="O297" s="68"/>
      <c r="R297" s="68"/>
    </row>
    <row r="298" ht="15.75" customHeight="1">
      <c r="E298" s="68"/>
      <c r="J298" s="68"/>
      <c r="L298" s="68"/>
      <c r="M298" s="68"/>
      <c r="O298" s="68"/>
      <c r="R298" s="68"/>
    </row>
    <row r="299" ht="15.75" customHeight="1">
      <c r="E299" s="68"/>
      <c r="J299" s="68"/>
      <c r="L299" s="68"/>
      <c r="M299" s="68"/>
      <c r="O299" s="68"/>
      <c r="R299" s="68"/>
    </row>
    <row r="300" ht="15.75" customHeight="1">
      <c r="E300" s="68"/>
      <c r="J300" s="68"/>
      <c r="L300" s="68"/>
      <c r="M300" s="68"/>
      <c r="O300" s="68"/>
      <c r="R300" s="68"/>
    </row>
    <row r="301" ht="15.75" customHeight="1">
      <c r="E301" s="68"/>
      <c r="J301" s="68"/>
      <c r="L301" s="68"/>
      <c r="M301" s="68"/>
      <c r="O301" s="68"/>
      <c r="R301" s="68"/>
    </row>
    <row r="302" ht="15.75" customHeight="1">
      <c r="E302" s="68"/>
      <c r="J302" s="68"/>
      <c r="L302" s="68"/>
      <c r="M302" s="68"/>
      <c r="O302" s="68"/>
      <c r="R302" s="68"/>
    </row>
    <row r="303" ht="15.75" customHeight="1">
      <c r="E303" s="68"/>
      <c r="J303" s="68"/>
      <c r="L303" s="68"/>
      <c r="M303" s="68"/>
      <c r="O303" s="68"/>
      <c r="R303" s="68"/>
    </row>
    <row r="304" ht="15.75" customHeight="1">
      <c r="E304" s="68"/>
      <c r="J304" s="68"/>
      <c r="L304" s="68"/>
      <c r="M304" s="68"/>
      <c r="O304" s="68"/>
      <c r="R304" s="68"/>
    </row>
    <row r="305" ht="15.75" customHeight="1">
      <c r="E305" s="68"/>
      <c r="J305" s="68"/>
      <c r="L305" s="68"/>
      <c r="M305" s="68"/>
      <c r="O305" s="68"/>
      <c r="R305" s="68"/>
    </row>
    <row r="306" ht="15.75" customHeight="1">
      <c r="E306" s="68"/>
      <c r="J306" s="68"/>
      <c r="L306" s="68"/>
      <c r="M306" s="68"/>
      <c r="O306" s="68"/>
      <c r="R306" s="68"/>
    </row>
    <row r="307" ht="15.75" customHeight="1">
      <c r="E307" s="68"/>
      <c r="J307" s="68"/>
      <c r="L307" s="68"/>
      <c r="M307" s="68"/>
      <c r="O307" s="68"/>
      <c r="R307" s="68"/>
    </row>
    <row r="308" ht="15.75" customHeight="1">
      <c r="E308" s="68"/>
      <c r="J308" s="68"/>
      <c r="L308" s="68"/>
      <c r="M308" s="68"/>
      <c r="O308" s="68"/>
      <c r="R308" s="68"/>
    </row>
    <row r="309" ht="15.75" customHeight="1">
      <c r="E309" s="68"/>
      <c r="J309" s="68"/>
      <c r="L309" s="68"/>
      <c r="M309" s="68"/>
      <c r="O309" s="68"/>
      <c r="R309" s="68"/>
    </row>
    <row r="310" ht="15.75" customHeight="1">
      <c r="E310" s="68"/>
      <c r="J310" s="68"/>
      <c r="L310" s="68"/>
      <c r="M310" s="68"/>
      <c r="O310" s="68"/>
      <c r="R310" s="68"/>
    </row>
    <row r="311" ht="15.75" customHeight="1">
      <c r="E311" s="68"/>
      <c r="J311" s="68"/>
      <c r="L311" s="68"/>
      <c r="M311" s="68"/>
      <c r="O311" s="68"/>
      <c r="R311" s="68"/>
    </row>
    <row r="312" ht="15.75" customHeight="1">
      <c r="E312" s="68"/>
      <c r="J312" s="68"/>
      <c r="L312" s="68"/>
      <c r="M312" s="68"/>
      <c r="O312" s="68"/>
      <c r="R312" s="68"/>
    </row>
    <row r="313" ht="15.75" customHeight="1">
      <c r="E313" s="68"/>
      <c r="J313" s="68"/>
      <c r="L313" s="68"/>
      <c r="M313" s="68"/>
      <c r="O313" s="68"/>
      <c r="R313" s="68"/>
    </row>
    <row r="314" ht="15.75" customHeight="1">
      <c r="E314" s="68"/>
      <c r="J314" s="68"/>
      <c r="L314" s="68"/>
      <c r="M314" s="68"/>
      <c r="O314" s="68"/>
      <c r="R314" s="68"/>
    </row>
    <row r="315" ht="15.75" customHeight="1">
      <c r="E315" s="68"/>
      <c r="J315" s="68"/>
      <c r="L315" s="68"/>
      <c r="M315" s="68"/>
      <c r="O315" s="68"/>
      <c r="R315" s="68"/>
    </row>
    <row r="316" ht="15.75" customHeight="1">
      <c r="E316" s="68"/>
      <c r="J316" s="68"/>
      <c r="L316" s="68"/>
      <c r="M316" s="68"/>
      <c r="O316" s="68"/>
      <c r="R316" s="68"/>
    </row>
    <row r="317" ht="15.75" customHeight="1">
      <c r="E317" s="68"/>
      <c r="J317" s="68"/>
      <c r="L317" s="68"/>
      <c r="M317" s="68"/>
      <c r="O317" s="68"/>
      <c r="R317" s="68"/>
    </row>
    <row r="318" ht="15.75" customHeight="1">
      <c r="E318" s="68"/>
      <c r="J318" s="68"/>
      <c r="L318" s="68"/>
      <c r="M318" s="68"/>
      <c r="O318" s="68"/>
      <c r="R318" s="68"/>
    </row>
    <row r="319" ht="15.75" customHeight="1">
      <c r="E319" s="68"/>
      <c r="J319" s="68"/>
      <c r="L319" s="68"/>
      <c r="M319" s="68"/>
      <c r="O319" s="68"/>
      <c r="R319" s="68"/>
    </row>
    <row r="320" ht="15.75" customHeight="1">
      <c r="E320" s="68"/>
      <c r="J320" s="68"/>
      <c r="L320" s="68"/>
      <c r="M320" s="68"/>
      <c r="O320" s="68"/>
      <c r="R320" s="68"/>
    </row>
    <row r="321" ht="15.75" customHeight="1">
      <c r="E321" s="68"/>
      <c r="J321" s="68"/>
      <c r="L321" s="68"/>
      <c r="M321" s="68"/>
      <c r="O321" s="68"/>
      <c r="R321" s="68"/>
    </row>
    <row r="322" ht="15.75" customHeight="1">
      <c r="E322" s="68"/>
      <c r="J322" s="68"/>
      <c r="L322" s="68"/>
      <c r="M322" s="68"/>
      <c r="O322" s="68"/>
      <c r="R322" s="68"/>
    </row>
    <row r="323" ht="15.75" customHeight="1">
      <c r="E323" s="68"/>
      <c r="J323" s="68"/>
      <c r="L323" s="68"/>
      <c r="M323" s="68"/>
      <c r="O323" s="68"/>
      <c r="R323" s="68"/>
    </row>
    <row r="324" ht="15.75" customHeight="1">
      <c r="E324" s="68"/>
      <c r="J324" s="68"/>
      <c r="L324" s="68"/>
      <c r="M324" s="68"/>
      <c r="O324" s="68"/>
      <c r="R324" s="68"/>
    </row>
    <row r="325" ht="15.75" customHeight="1">
      <c r="E325" s="68"/>
      <c r="J325" s="68"/>
      <c r="L325" s="68"/>
      <c r="M325" s="68"/>
      <c r="O325" s="68"/>
      <c r="R325" s="68"/>
    </row>
    <row r="326" ht="15.75" customHeight="1">
      <c r="E326" s="68"/>
      <c r="J326" s="68"/>
      <c r="L326" s="68"/>
      <c r="M326" s="68"/>
      <c r="O326" s="68"/>
      <c r="R326" s="68"/>
    </row>
    <row r="327" ht="15.75" customHeight="1">
      <c r="E327" s="68"/>
      <c r="J327" s="68"/>
      <c r="L327" s="68"/>
      <c r="M327" s="68"/>
      <c r="O327" s="68"/>
      <c r="R327" s="68"/>
    </row>
    <row r="328" ht="15.75" customHeight="1">
      <c r="E328" s="68"/>
      <c r="J328" s="68"/>
      <c r="L328" s="68"/>
      <c r="M328" s="68"/>
      <c r="O328" s="68"/>
      <c r="R328" s="68"/>
    </row>
    <row r="329" ht="15.75" customHeight="1">
      <c r="E329" s="68"/>
      <c r="J329" s="68"/>
      <c r="L329" s="68"/>
      <c r="M329" s="68"/>
      <c r="O329" s="68"/>
      <c r="R329" s="68"/>
    </row>
    <row r="330" ht="15.75" customHeight="1">
      <c r="E330" s="68"/>
      <c r="J330" s="68"/>
      <c r="L330" s="68"/>
      <c r="M330" s="68"/>
      <c r="O330" s="68"/>
      <c r="R330" s="68"/>
    </row>
    <row r="331" ht="15.75" customHeight="1">
      <c r="E331" s="68"/>
      <c r="J331" s="68"/>
      <c r="L331" s="68"/>
      <c r="M331" s="68"/>
      <c r="O331" s="68"/>
      <c r="R331" s="68"/>
    </row>
    <row r="332" ht="15.75" customHeight="1">
      <c r="E332" s="68"/>
      <c r="J332" s="68"/>
      <c r="L332" s="68"/>
      <c r="M332" s="68"/>
      <c r="O332" s="68"/>
      <c r="R332" s="68"/>
    </row>
    <row r="333" ht="15.75" customHeight="1">
      <c r="E333" s="68"/>
      <c r="J333" s="68"/>
      <c r="L333" s="68"/>
      <c r="M333" s="68"/>
      <c r="O333" s="68"/>
      <c r="R333" s="68"/>
    </row>
    <row r="334" ht="15.75" customHeight="1">
      <c r="E334" s="68"/>
      <c r="J334" s="68"/>
      <c r="L334" s="68"/>
      <c r="M334" s="68"/>
      <c r="O334" s="68"/>
      <c r="R334" s="68"/>
    </row>
    <row r="335" ht="15.75" customHeight="1">
      <c r="E335" s="68"/>
      <c r="J335" s="68"/>
      <c r="L335" s="68"/>
      <c r="M335" s="68"/>
      <c r="O335" s="68"/>
      <c r="R335" s="68"/>
    </row>
    <row r="336" ht="15.75" customHeight="1">
      <c r="E336" s="68"/>
      <c r="J336" s="68"/>
      <c r="L336" s="68"/>
      <c r="M336" s="68"/>
      <c r="O336" s="68"/>
      <c r="R336" s="68"/>
    </row>
    <row r="337" ht="15.75" customHeight="1">
      <c r="E337" s="68"/>
      <c r="J337" s="68"/>
      <c r="L337" s="68"/>
      <c r="M337" s="68"/>
      <c r="O337" s="68"/>
      <c r="R337" s="68"/>
    </row>
    <row r="338" ht="15.75" customHeight="1">
      <c r="E338" s="68"/>
      <c r="J338" s="68"/>
      <c r="L338" s="68"/>
      <c r="M338" s="68"/>
      <c r="O338" s="68"/>
      <c r="R338" s="68"/>
    </row>
    <row r="339" ht="15.75" customHeight="1">
      <c r="E339" s="68"/>
      <c r="J339" s="68"/>
      <c r="L339" s="68"/>
      <c r="M339" s="68"/>
      <c r="O339" s="68"/>
      <c r="R339" s="68"/>
    </row>
    <row r="340" ht="15.75" customHeight="1">
      <c r="E340" s="68"/>
      <c r="J340" s="68"/>
      <c r="L340" s="68"/>
      <c r="M340" s="68"/>
      <c r="O340" s="68"/>
      <c r="R340" s="68"/>
    </row>
    <row r="341" ht="15.75" customHeight="1">
      <c r="E341" s="68"/>
      <c r="J341" s="68"/>
      <c r="L341" s="68"/>
      <c r="M341" s="68"/>
      <c r="O341" s="68"/>
      <c r="R341" s="68"/>
    </row>
    <row r="342" ht="15.75" customHeight="1">
      <c r="E342" s="68"/>
      <c r="J342" s="68"/>
      <c r="L342" s="68"/>
      <c r="M342" s="68"/>
      <c r="O342" s="68"/>
      <c r="R342" s="68"/>
    </row>
    <row r="343" ht="15.75" customHeight="1">
      <c r="E343" s="68"/>
      <c r="J343" s="68"/>
      <c r="L343" s="68"/>
      <c r="M343" s="68"/>
      <c r="O343" s="68"/>
      <c r="R343" s="68"/>
    </row>
    <row r="344" ht="15.75" customHeight="1">
      <c r="E344" s="68"/>
      <c r="J344" s="68"/>
      <c r="L344" s="68"/>
      <c r="M344" s="68"/>
      <c r="O344" s="68"/>
      <c r="R344" s="68"/>
    </row>
    <row r="345" ht="15.75" customHeight="1">
      <c r="E345" s="68"/>
      <c r="J345" s="68"/>
      <c r="L345" s="68"/>
      <c r="M345" s="68"/>
      <c r="O345" s="68"/>
      <c r="R345" s="68"/>
    </row>
    <row r="346" ht="15.75" customHeight="1">
      <c r="E346" s="68"/>
      <c r="J346" s="68"/>
      <c r="L346" s="68"/>
      <c r="M346" s="68"/>
      <c r="O346" s="68"/>
      <c r="R346" s="68"/>
    </row>
    <row r="347" ht="15.75" customHeight="1">
      <c r="E347" s="68"/>
      <c r="J347" s="68"/>
      <c r="L347" s="68"/>
      <c r="M347" s="68"/>
      <c r="O347" s="68"/>
      <c r="R347" s="68"/>
    </row>
    <row r="348" ht="15.75" customHeight="1">
      <c r="E348" s="68"/>
      <c r="J348" s="68"/>
      <c r="L348" s="68"/>
      <c r="M348" s="68"/>
      <c r="O348" s="68"/>
      <c r="R348" s="68"/>
    </row>
    <row r="349" ht="15.75" customHeight="1">
      <c r="E349" s="68"/>
      <c r="J349" s="68"/>
      <c r="L349" s="68"/>
      <c r="M349" s="68"/>
      <c r="O349" s="68"/>
      <c r="R349" s="68"/>
    </row>
    <row r="350" ht="15.75" customHeight="1">
      <c r="E350" s="68"/>
      <c r="J350" s="68"/>
      <c r="L350" s="68"/>
      <c r="M350" s="68"/>
      <c r="O350" s="68"/>
      <c r="R350" s="68"/>
    </row>
    <row r="351" ht="15.75" customHeight="1">
      <c r="E351" s="68"/>
      <c r="J351" s="68"/>
      <c r="L351" s="68"/>
      <c r="M351" s="68"/>
      <c r="O351" s="68"/>
      <c r="R351" s="68"/>
    </row>
    <row r="352" ht="15.75" customHeight="1">
      <c r="E352" s="68"/>
      <c r="J352" s="68"/>
      <c r="L352" s="68"/>
      <c r="M352" s="68"/>
      <c r="O352" s="68"/>
      <c r="R352" s="68"/>
    </row>
    <row r="353" ht="15.75" customHeight="1">
      <c r="E353" s="68"/>
      <c r="J353" s="68"/>
      <c r="L353" s="68"/>
      <c r="M353" s="68"/>
      <c r="O353" s="68"/>
      <c r="R353" s="68"/>
    </row>
    <row r="354" ht="15.75" customHeight="1">
      <c r="E354" s="68"/>
      <c r="J354" s="68"/>
      <c r="L354" s="68"/>
      <c r="M354" s="68"/>
      <c r="O354" s="68"/>
      <c r="R354" s="68"/>
    </row>
    <row r="355" ht="15.75" customHeight="1">
      <c r="E355" s="68"/>
      <c r="J355" s="68"/>
      <c r="L355" s="68"/>
      <c r="M355" s="68"/>
      <c r="O355" s="68"/>
      <c r="R355" s="68"/>
    </row>
    <row r="356" ht="15.75" customHeight="1">
      <c r="E356" s="68"/>
      <c r="J356" s="68"/>
      <c r="L356" s="68"/>
      <c r="M356" s="68"/>
      <c r="O356" s="68"/>
      <c r="R356" s="68"/>
    </row>
    <row r="357" ht="15.75" customHeight="1">
      <c r="E357" s="68"/>
      <c r="J357" s="68"/>
      <c r="L357" s="68"/>
      <c r="M357" s="68"/>
      <c r="O357" s="68"/>
      <c r="R357" s="68"/>
    </row>
    <row r="358" ht="15.75" customHeight="1">
      <c r="E358" s="68"/>
      <c r="J358" s="68"/>
      <c r="L358" s="68"/>
      <c r="M358" s="68"/>
      <c r="O358" s="68"/>
      <c r="R358" s="68"/>
    </row>
    <row r="359" ht="15.75" customHeight="1">
      <c r="E359" s="68"/>
      <c r="J359" s="68"/>
      <c r="L359" s="68"/>
      <c r="M359" s="68"/>
      <c r="O359" s="68"/>
      <c r="R359" s="68"/>
    </row>
    <row r="360" ht="15.75" customHeight="1">
      <c r="E360" s="68"/>
      <c r="J360" s="68"/>
      <c r="L360" s="68"/>
      <c r="M360" s="68"/>
      <c r="O360" s="68"/>
      <c r="R360" s="68"/>
    </row>
    <row r="361" ht="15.75" customHeight="1">
      <c r="E361" s="68"/>
      <c r="J361" s="68"/>
      <c r="L361" s="68"/>
      <c r="M361" s="68"/>
      <c r="O361" s="68"/>
      <c r="R361" s="68"/>
    </row>
    <row r="362" ht="15.75" customHeight="1">
      <c r="E362" s="68"/>
      <c r="J362" s="68"/>
      <c r="L362" s="68"/>
      <c r="M362" s="68"/>
      <c r="O362" s="68"/>
      <c r="R362" s="68"/>
    </row>
    <row r="363" ht="15.75" customHeight="1">
      <c r="E363" s="68"/>
      <c r="J363" s="68"/>
      <c r="L363" s="68"/>
      <c r="M363" s="68"/>
      <c r="O363" s="68"/>
      <c r="R363" s="68"/>
    </row>
    <row r="364" ht="15.75" customHeight="1">
      <c r="E364" s="68"/>
      <c r="J364" s="68"/>
      <c r="L364" s="68"/>
      <c r="M364" s="68"/>
      <c r="O364" s="68"/>
      <c r="R364" s="68"/>
    </row>
    <row r="365" ht="15.75" customHeight="1">
      <c r="E365" s="68"/>
      <c r="J365" s="68"/>
      <c r="L365" s="68"/>
      <c r="M365" s="68"/>
      <c r="O365" s="68"/>
      <c r="R365" s="68"/>
    </row>
    <row r="366" ht="15.75" customHeight="1">
      <c r="E366" s="68"/>
      <c r="J366" s="68"/>
      <c r="L366" s="68"/>
      <c r="M366" s="68"/>
      <c r="O366" s="68"/>
      <c r="R366" s="68"/>
    </row>
    <row r="367" ht="15.75" customHeight="1">
      <c r="E367" s="68"/>
      <c r="J367" s="68"/>
      <c r="L367" s="68"/>
      <c r="M367" s="68"/>
      <c r="O367" s="68"/>
      <c r="R367" s="68"/>
    </row>
    <row r="368" ht="15.75" customHeight="1">
      <c r="E368" s="68"/>
      <c r="J368" s="68"/>
      <c r="L368" s="68"/>
      <c r="M368" s="68"/>
      <c r="O368" s="68"/>
      <c r="R368" s="68"/>
    </row>
    <row r="369" ht="15.75" customHeight="1">
      <c r="E369" s="68"/>
      <c r="J369" s="68"/>
      <c r="L369" s="68"/>
      <c r="M369" s="68"/>
      <c r="O369" s="68"/>
      <c r="R369" s="68"/>
    </row>
    <row r="370" ht="15.75" customHeight="1">
      <c r="E370" s="68"/>
      <c r="J370" s="68"/>
      <c r="L370" s="68"/>
      <c r="M370" s="68"/>
      <c r="O370" s="68"/>
      <c r="R370" s="68"/>
    </row>
    <row r="371" ht="15.75" customHeight="1">
      <c r="E371" s="68"/>
      <c r="J371" s="68"/>
      <c r="L371" s="68"/>
      <c r="M371" s="68"/>
      <c r="O371" s="68"/>
      <c r="R371" s="68"/>
    </row>
    <row r="372" ht="15.75" customHeight="1">
      <c r="E372" s="68"/>
      <c r="J372" s="68"/>
      <c r="L372" s="68"/>
      <c r="M372" s="68"/>
      <c r="O372" s="68"/>
      <c r="R372" s="68"/>
    </row>
    <row r="373" ht="15.75" customHeight="1">
      <c r="E373" s="68"/>
      <c r="J373" s="68"/>
      <c r="L373" s="68"/>
      <c r="M373" s="68"/>
      <c r="O373" s="68"/>
      <c r="R373" s="68"/>
    </row>
    <row r="374" ht="15.75" customHeight="1">
      <c r="E374" s="68"/>
      <c r="J374" s="68"/>
      <c r="L374" s="68"/>
      <c r="M374" s="68"/>
      <c r="O374" s="68"/>
      <c r="R374" s="68"/>
    </row>
    <row r="375" ht="15.75" customHeight="1">
      <c r="E375" s="68"/>
      <c r="J375" s="68"/>
      <c r="L375" s="68"/>
      <c r="M375" s="68"/>
      <c r="O375" s="68"/>
      <c r="R375" s="68"/>
    </row>
    <row r="376" ht="15.75" customHeight="1">
      <c r="E376" s="68"/>
      <c r="J376" s="68"/>
      <c r="L376" s="68"/>
      <c r="M376" s="68"/>
      <c r="O376" s="68"/>
      <c r="R376" s="68"/>
    </row>
    <row r="377" ht="15.75" customHeight="1">
      <c r="E377" s="68"/>
      <c r="J377" s="68"/>
      <c r="L377" s="68"/>
      <c r="M377" s="68"/>
      <c r="O377" s="68"/>
      <c r="R377" s="68"/>
    </row>
    <row r="378" ht="15.75" customHeight="1">
      <c r="E378" s="68"/>
      <c r="J378" s="68"/>
      <c r="L378" s="68"/>
      <c r="M378" s="68"/>
      <c r="O378" s="68"/>
      <c r="R378" s="68"/>
    </row>
    <row r="379" ht="15.75" customHeight="1">
      <c r="E379" s="68"/>
      <c r="J379" s="68"/>
      <c r="L379" s="68"/>
      <c r="M379" s="68"/>
      <c r="O379" s="68"/>
      <c r="R379" s="68"/>
    </row>
    <row r="380" ht="15.75" customHeight="1">
      <c r="E380" s="68"/>
      <c r="J380" s="68"/>
      <c r="L380" s="68"/>
      <c r="M380" s="68"/>
      <c r="O380" s="68"/>
      <c r="R380" s="68"/>
    </row>
    <row r="381" ht="15.75" customHeight="1">
      <c r="E381" s="68"/>
      <c r="J381" s="68"/>
      <c r="L381" s="68"/>
      <c r="M381" s="68"/>
      <c r="O381" s="68"/>
      <c r="R381" s="68"/>
    </row>
    <row r="382" ht="15.75" customHeight="1">
      <c r="E382" s="68"/>
      <c r="J382" s="68"/>
      <c r="L382" s="68"/>
      <c r="M382" s="68"/>
      <c r="O382" s="68"/>
      <c r="R382" s="68"/>
    </row>
    <row r="383" ht="15.75" customHeight="1">
      <c r="E383" s="68"/>
      <c r="J383" s="68"/>
      <c r="L383" s="68"/>
      <c r="M383" s="68"/>
      <c r="O383" s="68"/>
      <c r="R383" s="68"/>
    </row>
    <row r="384" ht="15.75" customHeight="1">
      <c r="E384" s="68"/>
      <c r="J384" s="68"/>
      <c r="L384" s="68"/>
      <c r="M384" s="68"/>
      <c r="O384" s="68"/>
      <c r="R384" s="68"/>
    </row>
    <row r="385" ht="15.75" customHeight="1">
      <c r="E385" s="68"/>
      <c r="J385" s="68"/>
      <c r="L385" s="68"/>
      <c r="M385" s="68"/>
      <c r="O385" s="68"/>
      <c r="R385" s="68"/>
    </row>
    <row r="386" ht="15.75" customHeight="1">
      <c r="E386" s="68"/>
      <c r="J386" s="68"/>
      <c r="L386" s="68"/>
      <c r="M386" s="68"/>
      <c r="O386" s="68"/>
      <c r="R386" s="68"/>
    </row>
    <row r="387" ht="15.75" customHeight="1">
      <c r="E387" s="68"/>
      <c r="J387" s="68"/>
      <c r="L387" s="68"/>
      <c r="M387" s="68"/>
      <c r="O387" s="68"/>
      <c r="R387" s="68"/>
    </row>
    <row r="388" ht="15.75" customHeight="1">
      <c r="E388" s="68"/>
      <c r="J388" s="68"/>
      <c r="L388" s="68"/>
      <c r="M388" s="68"/>
      <c r="O388" s="68"/>
      <c r="R388" s="68"/>
    </row>
    <row r="389" ht="15.75" customHeight="1">
      <c r="E389" s="68"/>
      <c r="J389" s="68"/>
      <c r="L389" s="68"/>
      <c r="M389" s="68"/>
      <c r="O389" s="68"/>
      <c r="R389" s="68"/>
    </row>
    <row r="390" ht="15.75" customHeight="1">
      <c r="E390" s="68"/>
      <c r="J390" s="68"/>
      <c r="L390" s="68"/>
      <c r="M390" s="68"/>
      <c r="O390" s="68"/>
      <c r="R390" s="68"/>
    </row>
    <row r="391" ht="15.75" customHeight="1">
      <c r="E391" s="68"/>
      <c r="J391" s="68"/>
      <c r="L391" s="68"/>
      <c r="M391" s="68"/>
      <c r="O391" s="68"/>
      <c r="R391" s="68"/>
    </row>
    <row r="392" ht="15.75" customHeight="1">
      <c r="E392" s="68"/>
      <c r="J392" s="68"/>
      <c r="L392" s="68"/>
      <c r="M392" s="68"/>
      <c r="O392" s="68"/>
      <c r="R392" s="68"/>
    </row>
    <row r="393" ht="15.75" customHeight="1">
      <c r="E393" s="68"/>
      <c r="J393" s="68"/>
      <c r="L393" s="68"/>
      <c r="M393" s="68"/>
      <c r="O393" s="68"/>
      <c r="R393" s="68"/>
    </row>
    <row r="394" ht="15.75" customHeight="1">
      <c r="E394" s="68"/>
      <c r="J394" s="68"/>
      <c r="L394" s="68"/>
      <c r="M394" s="68"/>
      <c r="O394" s="68"/>
      <c r="R394" s="68"/>
    </row>
    <row r="395" ht="15.75" customHeight="1">
      <c r="E395" s="68"/>
      <c r="J395" s="68"/>
      <c r="L395" s="68"/>
      <c r="M395" s="68"/>
      <c r="O395" s="68"/>
      <c r="R395" s="68"/>
    </row>
    <row r="396" ht="15.75" customHeight="1">
      <c r="E396" s="68"/>
      <c r="J396" s="68"/>
      <c r="L396" s="68"/>
      <c r="M396" s="68"/>
      <c r="O396" s="68"/>
      <c r="R396" s="68"/>
    </row>
    <row r="397" ht="15.75" customHeight="1">
      <c r="E397" s="68"/>
      <c r="J397" s="68"/>
      <c r="L397" s="68"/>
      <c r="M397" s="68"/>
      <c r="O397" s="68"/>
      <c r="R397" s="68"/>
    </row>
    <row r="398" ht="15.75" customHeight="1">
      <c r="E398" s="68"/>
      <c r="J398" s="68"/>
      <c r="L398" s="68"/>
      <c r="M398" s="68"/>
      <c r="O398" s="68"/>
      <c r="R398" s="68"/>
    </row>
    <row r="399" ht="15.75" customHeight="1">
      <c r="E399" s="68"/>
      <c r="J399" s="68"/>
      <c r="L399" s="68"/>
      <c r="M399" s="68"/>
      <c r="O399" s="68"/>
      <c r="R399" s="68"/>
    </row>
    <row r="400" ht="15.75" customHeight="1">
      <c r="E400" s="68"/>
      <c r="J400" s="68"/>
      <c r="L400" s="68"/>
      <c r="M400" s="68"/>
      <c r="O400" s="68"/>
      <c r="R400" s="68"/>
    </row>
    <row r="401" ht="15.75" customHeight="1">
      <c r="E401" s="68"/>
      <c r="J401" s="68"/>
      <c r="L401" s="68"/>
      <c r="M401" s="68"/>
      <c r="O401" s="68"/>
      <c r="R401" s="68"/>
    </row>
    <row r="402" ht="15.75" customHeight="1">
      <c r="E402" s="68"/>
      <c r="J402" s="68"/>
      <c r="L402" s="68"/>
      <c r="M402" s="68"/>
      <c r="O402" s="68"/>
      <c r="R402" s="68"/>
    </row>
    <row r="403" ht="15.75" customHeight="1">
      <c r="E403" s="68"/>
      <c r="J403" s="68"/>
      <c r="L403" s="68"/>
      <c r="M403" s="68"/>
      <c r="O403" s="68"/>
      <c r="R403" s="68"/>
    </row>
    <row r="404" ht="15.75" customHeight="1">
      <c r="E404" s="68"/>
      <c r="J404" s="68"/>
      <c r="L404" s="68"/>
      <c r="M404" s="68"/>
      <c r="O404" s="68"/>
      <c r="R404" s="68"/>
    </row>
    <row r="405" ht="15.75" customHeight="1">
      <c r="E405" s="68"/>
      <c r="J405" s="68"/>
      <c r="L405" s="68"/>
      <c r="M405" s="68"/>
      <c r="O405" s="68"/>
      <c r="R405" s="68"/>
    </row>
    <row r="406" ht="15.75" customHeight="1">
      <c r="E406" s="68"/>
      <c r="J406" s="68"/>
      <c r="L406" s="68"/>
      <c r="M406" s="68"/>
      <c r="O406" s="68"/>
      <c r="R406" s="68"/>
    </row>
    <row r="407" ht="15.75" customHeight="1">
      <c r="E407" s="68"/>
      <c r="J407" s="68"/>
      <c r="L407" s="68"/>
      <c r="M407" s="68"/>
      <c r="O407" s="68"/>
      <c r="R407" s="68"/>
    </row>
    <row r="408" ht="15.75" customHeight="1">
      <c r="E408" s="68"/>
      <c r="J408" s="68"/>
      <c r="L408" s="68"/>
      <c r="M408" s="68"/>
      <c r="O408" s="68"/>
      <c r="R408" s="68"/>
    </row>
    <row r="409" ht="15.75" customHeight="1">
      <c r="E409" s="68"/>
      <c r="J409" s="68"/>
      <c r="L409" s="68"/>
      <c r="M409" s="68"/>
      <c r="O409" s="68"/>
      <c r="R409" s="68"/>
    </row>
    <row r="410" ht="15.75" customHeight="1">
      <c r="E410" s="68"/>
      <c r="J410" s="68"/>
      <c r="L410" s="68"/>
      <c r="M410" s="68"/>
      <c r="O410" s="68"/>
      <c r="R410" s="68"/>
    </row>
    <row r="411" ht="15.75" customHeight="1">
      <c r="E411" s="68"/>
      <c r="J411" s="68"/>
      <c r="L411" s="68"/>
      <c r="M411" s="68"/>
      <c r="O411" s="68"/>
      <c r="R411" s="68"/>
    </row>
    <row r="412" ht="15.75" customHeight="1">
      <c r="E412" s="68"/>
      <c r="J412" s="68"/>
      <c r="L412" s="68"/>
      <c r="M412" s="68"/>
      <c r="O412" s="68"/>
      <c r="R412" s="68"/>
    </row>
    <row r="413" ht="15.75" customHeight="1">
      <c r="E413" s="68"/>
      <c r="J413" s="68"/>
      <c r="L413" s="68"/>
      <c r="M413" s="68"/>
      <c r="O413" s="68"/>
      <c r="R413" s="68"/>
    </row>
    <row r="414" ht="15.75" customHeight="1">
      <c r="E414" s="68"/>
      <c r="J414" s="68"/>
      <c r="L414" s="68"/>
      <c r="M414" s="68"/>
      <c r="O414" s="68"/>
      <c r="R414" s="68"/>
    </row>
    <row r="415" ht="15.75" customHeight="1">
      <c r="E415" s="68"/>
      <c r="J415" s="68"/>
      <c r="L415" s="68"/>
      <c r="M415" s="68"/>
      <c r="O415" s="68"/>
      <c r="R415" s="68"/>
    </row>
    <row r="416" ht="15.75" customHeight="1">
      <c r="E416" s="68"/>
      <c r="J416" s="68"/>
      <c r="L416" s="68"/>
      <c r="M416" s="68"/>
      <c r="O416" s="68"/>
      <c r="R416" s="68"/>
    </row>
    <row r="417" ht="15.75" customHeight="1">
      <c r="E417" s="68"/>
      <c r="J417" s="68"/>
      <c r="L417" s="68"/>
      <c r="M417" s="68"/>
      <c r="O417" s="68"/>
      <c r="R417" s="68"/>
    </row>
    <row r="418" ht="15.75" customHeight="1">
      <c r="E418" s="68"/>
      <c r="J418" s="68"/>
      <c r="L418" s="68"/>
      <c r="M418" s="68"/>
      <c r="O418" s="68"/>
      <c r="R418" s="68"/>
    </row>
    <row r="419" ht="15.75" customHeight="1">
      <c r="E419" s="68"/>
      <c r="J419" s="68"/>
      <c r="L419" s="68"/>
      <c r="M419" s="68"/>
      <c r="O419" s="68"/>
      <c r="R419" s="68"/>
    </row>
    <row r="420" ht="15.75" customHeight="1">
      <c r="E420" s="68"/>
      <c r="J420" s="68"/>
      <c r="L420" s="68"/>
      <c r="M420" s="68"/>
      <c r="O420" s="68"/>
      <c r="R420" s="68"/>
    </row>
    <row r="421" ht="15.75" customHeight="1">
      <c r="E421" s="68"/>
      <c r="J421" s="68"/>
      <c r="L421" s="68"/>
      <c r="M421" s="68"/>
      <c r="O421" s="68"/>
      <c r="R421" s="68"/>
    </row>
    <row r="422" ht="15.75" customHeight="1">
      <c r="E422" s="68"/>
      <c r="J422" s="68"/>
      <c r="L422" s="68"/>
      <c r="M422" s="68"/>
      <c r="O422" s="68"/>
      <c r="R422" s="68"/>
    </row>
    <row r="423" ht="15.75" customHeight="1">
      <c r="E423" s="68"/>
      <c r="J423" s="68"/>
      <c r="L423" s="68"/>
      <c r="M423" s="68"/>
      <c r="O423" s="68"/>
      <c r="R423" s="68"/>
    </row>
    <row r="424" ht="15.75" customHeight="1">
      <c r="E424" s="68"/>
      <c r="J424" s="68"/>
      <c r="L424" s="68"/>
      <c r="M424" s="68"/>
      <c r="O424" s="68"/>
      <c r="R424" s="68"/>
    </row>
    <row r="425" ht="15.75" customHeight="1">
      <c r="E425" s="68"/>
      <c r="J425" s="68"/>
      <c r="L425" s="68"/>
      <c r="M425" s="68"/>
      <c r="O425" s="68"/>
      <c r="R425" s="68"/>
    </row>
    <row r="426" ht="15.75" customHeight="1">
      <c r="E426" s="68"/>
      <c r="J426" s="68"/>
      <c r="L426" s="68"/>
      <c r="M426" s="68"/>
      <c r="O426" s="68"/>
      <c r="R426" s="68"/>
    </row>
    <row r="427" ht="15.75" customHeight="1">
      <c r="E427" s="68"/>
      <c r="J427" s="68"/>
      <c r="L427" s="68"/>
      <c r="M427" s="68"/>
      <c r="O427" s="68"/>
      <c r="R427" s="68"/>
    </row>
    <row r="428" ht="15.75" customHeight="1">
      <c r="E428" s="68"/>
      <c r="J428" s="68"/>
      <c r="L428" s="68"/>
      <c r="M428" s="68"/>
      <c r="O428" s="68"/>
      <c r="R428" s="68"/>
    </row>
    <row r="429" ht="15.75" customHeight="1">
      <c r="E429" s="68"/>
      <c r="J429" s="68"/>
      <c r="L429" s="68"/>
      <c r="M429" s="68"/>
      <c r="O429" s="68"/>
      <c r="R429" s="68"/>
    </row>
    <row r="430" ht="15.75" customHeight="1">
      <c r="E430" s="68"/>
      <c r="J430" s="68"/>
      <c r="L430" s="68"/>
      <c r="M430" s="68"/>
      <c r="O430" s="68"/>
      <c r="R430" s="68"/>
    </row>
    <row r="431" ht="15.75" customHeight="1">
      <c r="E431" s="68"/>
      <c r="J431" s="68"/>
      <c r="L431" s="68"/>
      <c r="M431" s="68"/>
      <c r="O431" s="68"/>
      <c r="R431" s="68"/>
    </row>
    <row r="432" ht="15.75" customHeight="1">
      <c r="E432" s="68"/>
      <c r="J432" s="68"/>
      <c r="L432" s="68"/>
      <c r="M432" s="68"/>
      <c r="O432" s="68"/>
      <c r="R432" s="68"/>
    </row>
    <row r="433" ht="15.75" customHeight="1">
      <c r="E433" s="68"/>
      <c r="J433" s="68"/>
      <c r="L433" s="68"/>
      <c r="M433" s="68"/>
      <c r="O433" s="68"/>
      <c r="R433" s="68"/>
    </row>
    <row r="434" ht="15.75" customHeight="1">
      <c r="E434" s="68"/>
      <c r="J434" s="68"/>
      <c r="L434" s="68"/>
      <c r="M434" s="68"/>
      <c r="O434" s="68"/>
      <c r="R434" s="68"/>
    </row>
    <row r="435" ht="15.75" customHeight="1">
      <c r="E435" s="68"/>
      <c r="J435" s="68"/>
      <c r="L435" s="68"/>
      <c r="M435" s="68"/>
      <c r="O435" s="68"/>
      <c r="R435" s="68"/>
    </row>
    <row r="436" ht="15.75" customHeight="1">
      <c r="E436" s="68"/>
      <c r="J436" s="68"/>
      <c r="L436" s="68"/>
      <c r="M436" s="68"/>
      <c r="O436" s="68"/>
      <c r="R436" s="68"/>
    </row>
    <row r="437" ht="15.75" customHeight="1">
      <c r="E437" s="68"/>
      <c r="J437" s="68"/>
      <c r="L437" s="68"/>
      <c r="M437" s="68"/>
      <c r="O437" s="68"/>
      <c r="R437" s="68"/>
    </row>
    <row r="438" ht="15.75" customHeight="1">
      <c r="E438" s="68"/>
      <c r="J438" s="68"/>
      <c r="L438" s="68"/>
      <c r="M438" s="68"/>
      <c r="O438" s="68"/>
      <c r="R438" s="68"/>
    </row>
    <row r="439" ht="15.75" customHeight="1">
      <c r="E439" s="68"/>
      <c r="J439" s="68"/>
      <c r="L439" s="68"/>
      <c r="M439" s="68"/>
      <c r="O439" s="68"/>
      <c r="R439" s="68"/>
    </row>
    <row r="440" ht="15.75" customHeight="1">
      <c r="E440" s="68"/>
      <c r="J440" s="68"/>
      <c r="L440" s="68"/>
      <c r="M440" s="68"/>
      <c r="O440" s="68"/>
      <c r="R440" s="68"/>
    </row>
    <row r="441" ht="15.75" customHeight="1">
      <c r="E441" s="68"/>
      <c r="J441" s="68"/>
      <c r="L441" s="68"/>
      <c r="M441" s="68"/>
      <c r="O441" s="68"/>
      <c r="R441" s="68"/>
    </row>
    <row r="442" ht="15.75" customHeight="1">
      <c r="E442" s="68"/>
      <c r="J442" s="68"/>
      <c r="L442" s="68"/>
      <c r="M442" s="68"/>
      <c r="O442" s="68"/>
      <c r="R442" s="68"/>
    </row>
    <row r="443" ht="15.75" customHeight="1">
      <c r="E443" s="68"/>
      <c r="J443" s="68"/>
      <c r="L443" s="68"/>
      <c r="M443" s="68"/>
      <c r="O443" s="68"/>
      <c r="R443" s="68"/>
    </row>
    <row r="444" ht="15.75" customHeight="1">
      <c r="E444" s="68"/>
      <c r="J444" s="68"/>
      <c r="L444" s="68"/>
      <c r="M444" s="68"/>
      <c r="O444" s="68"/>
      <c r="R444" s="68"/>
    </row>
    <row r="445" ht="15.75" customHeight="1">
      <c r="E445" s="68"/>
      <c r="J445" s="68"/>
      <c r="L445" s="68"/>
      <c r="M445" s="68"/>
      <c r="O445" s="68"/>
      <c r="R445" s="68"/>
    </row>
    <row r="446" ht="15.75" customHeight="1">
      <c r="E446" s="68"/>
      <c r="J446" s="68"/>
      <c r="L446" s="68"/>
      <c r="M446" s="68"/>
      <c r="O446" s="68"/>
      <c r="R446" s="68"/>
    </row>
    <row r="447" ht="15.75" customHeight="1">
      <c r="E447" s="68"/>
      <c r="J447" s="68"/>
      <c r="L447" s="68"/>
      <c r="M447" s="68"/>
      <c r="O447" s="68"/>
      <c r="R447" s="68"/>
    </row>
    <row r="448" ht="15.75" customHeight="1">
      <c r="E448" s="68"/>
      <c r="J448" s="68"/>
      <c r="L448" s="68"/>
      <c r="M448" s="68"/>
      <c r="O448" s="68"/>
      <c r="R448" s="68"/>
    </row>
    <row r="449" ht="15.75" customHeight="1">
      <c r="E449" s="68"/>
      <c r="J449" s="68"/>
      <c r="L449" s="68"/>
      <c r="M449" s="68"/>
      <c r="O449" s="68"/>
      <c r="R449" s="68"/>
    </row>
    <row r="450" ht="15.75" customHeight="1">
      <c r="E450" s="68"/>
      <c r="J450" s="68"/>
      <c r="L450" s="68"/>
      <c r="M450" s="68"/>
      <c r="O450" s="68"/>
      <c r="R450" s="68"/>
    </row>
    <row r="451" ht="15.75" customHeight="1">
      <c r="E451" s="68"/>
      <c r="J451" s="68"/>
      <c r="L451" s="68"/>
      <c r="M451" s="68"/>
      <c r="O451" s="68"/>
      <c r="R451" s="68"/>
    </row>
    <row r="452" ht="15.75" customHeight="1">
      <c r="E452" s="68"/>
      <c r="J452" s="68"/>
      <c r="L452" s="68"/>
      <c r="M452" s="68"/>
      <c r="O452" s="68"/>
      <c r="R452" s="68"/>
    </row>
    <row r="453" ht="15.75" customHeight="1">
      <c r="E453" s="68"/>
      <c r="J453" s="68"/>
      <c r="L453" s="68"/>
      <c r="M453" s="68"/>
      <c r="O453" s="68"/>
      <c r="R453" s="68"/>
    </row>
    <row r="454" ht="15.75" customHeight="1">
      <c r="E454" s="68"/>
      <c r="J454" s="68"/>
      <c r="L454" s="68"/>
      <c r="M454" s="68"/>
      <c r="O454" s="68"/>
      <c r="R454" s="68"/>
    </row>
    <row r="455" ht="15.75" customHeight="1">
      <c r="E455" s="68"/>
      <c r="J455" s="68"/>
      <c r="L455" s="68"/>
      <c r="M455" s="68"/>
      <c r="O455" s="68"/>
      <c r="R455" s="68"/>
    </row>
    <row r="456" ht="15.75" customHeight="1">
      <c r="E456" s="68"/>
      <c r="J456" s="68"/>
      <c r="L456" s="68"/>
      <c r="M456" s="68"/>
      <c r="O456" s="68"/>
      <c r="R456" s="68"/>
    </row>
    <row r="457" ht="15.75" customHeight="1">
      <c r="E457" s="68"/>
      <c r="J457" s="68"/>
      <c r="L457" s="68"/>
      <c r="M457" s="68"/>
      <c r="O457" s="68"/>
      <c r="R457" s="68"/>
    </row>
    <row r="458" ht="15.75" customHeight="1">
      <c r="E458" s="68"/>
      <c r="J458" s="68"/>
      <c r="L458" s="68"/>
      <c r="M458" s="68"/>
      <c r="O458" s="68"/>
      <c r="R458" s="68"/>
    </row>
    <row r="459" ht="15.75" customHeight="1">
      <c r="E459" s="68"/>
      <c r="J459" s="68"/>
      <c r="L459" s="68"/>
      <c r="M459" s="68"/>
      <c r="O459" s="68"/>
      <c r="R459" s="68"/>
    </row>
    <row r="460" ht="15.75" customHeight="1">
      <c r="E460" s="68"/>
      <c r="J460" s="68"/>
      <c r="L460" s="68"/>
      <c r="M460" s="68"/>
      <c r="O460" s="68"/>
      <c r="R460" s="68"/>
    </row>
    <row r="461" ht="15.75" customHeight="1">
      <c r="E461" s="68"/>
      <c r="J461" s="68"/>
      <c r="L461" s="68"/>
      <c r="M461" s="68"/>
      <c r="O461" s="68"/>
      <c r="R461" s="68"/>
    </row>
    <row r="462" ht="15.75" customHeight="1">
      <c r="E462" s="68"/>
      <c r="J462" s="68"/>
      <c r="L462" s="68"/>
      <c r="M462" s="68"/>
      <c r="O462" s="68"/>
      <c r="R462" s="68"/>
    </row>
    <row r="463" ht="15.75" customHeight="1">
      <c r="E463" s="68"/>
      <c r="J463" s="68"/>
      <c r="L463" s="68"/>
      <c r="M463" s="68"/>
      <c r="O463" s="68"/>
      <c r="R463" s="68"/>
    </row>
    <row r="464" ht="15.75" customHeight="1">
      <c r="E464" s="68"/>
      <c r="J464" s="68"/>
      <c r="L464" s="68"/>
      <c r="M464" s="68"/>
      <c r="O464" s="68"/>
      <c r="R464" s="68"/>
    </row>
    <row r="465" ht="15.75" customHeight="1">
      <c r="E465" s="68"/>
      <c r="J465" s="68"/>
      <c r="L465" s="68"/>
      <c r="M465" s="68"/>
      <c r="O465" s="68"/>
      <c r="R465" s="68"/>
    </row>
    <row r="466" ht="15.75" customHeight="1">
      <c r="E466" s="68"/>
      <c r="J466" s="68"/>
      <c r="L466" s="68"/>
      <c r="M466" s="68"/>
      <c r="O466" s="68"/>
      <c r="R466" s="68"/>
    </row>
    <row r="467" ht="15.75" customHeight="1">
      <c r="E467" s="68"/>
      <c r="J467" s="68"/>
      <c r="L467" s="68"/>
      <c r="M467" s="68"/>
      <c r="O467" s="68"/>
      <c r="R467" s="68"/>
    </row>
    <row r="468" ht="15.75" customHeight="1">
      <c r="E468" s="68"/>
      <c r="J468" s="68"/>
      <c r="L468" s="68"/>
      <c r="M468" s="68"/>
      <c r="O468" s="68"/>
      <c r="R468" s="68"/>
    </row>
    <row r="469" ht="15.75" customHeight="1">
      <c r="E469" s="68"/>
      <c r="J469" s="68"/>
      <c r="L469" s="68"/>
      <c r="M469" s="68"/>
      <c r="O469" s="68"/>
      <c r="R469" s="68"/>
    </row>
    <row r="470" ht="15.75" customHeight="1">
      <c r="E470" s="68"/>
      <c r="J470" s="68"/>
      <c r="L470" s="68"/>
      <c r="M470" s="68"/>
      <c r="O470" s="68"/>
      <c r="R470" s="68"/>
    </row>
    <row r="471" ht="15.75" customHeight="1">
      <c r="E471" s="68"/>
      <c r="J471" s="68"/>
      <c r="L471" s="68"/>
      <c r="M471" s="68"/>
      <c r="O471" s="68"/>
      <c r="R471" s="68"/>
    </row>
    <row r="472" ht="15.75" customHeight="1">
      <c r="E472" s="68"/>
      <c r="J472" s="68"/>
      <c r="L472" s="68"/>
      <c r="M472" s="68"/>
      <c r="O472" s="68"/>
      <c r="R472" s="68"/>
    </row>
    <row r="473" ht="15.75" customHeight="1">
      <c r="E473" s="68"/>
      <c r="J473" s="68"/>
      <c r="L473" s="68"/>
      <c r="M473" s="68"/>
      <c r="O473" s="68"/>
      <c r="R473" s="68"/>
    </row>
    <row r="474" ht="15.75" customHeight="1">
      <c r="E474" s="68"/>
      <c r="J474" s="68"/>
      <c r="L474" s="68"/>
      <c r="M474" s="68"/>
      <c r="O474" s="68"/>
      <c r="R474" s="68"/>
    </row>
    <row r="475" ht="15.75" customHeight="1">
      <c r="E475" s="68"/>
      <c r="J475" s="68"/>
      <c r="L475" s="68"/>
      <c r="M475" s="68"/>
      <c r="O475" s="68"/>
      <c r="R475" s="68"/>
    </row>
    <row r="476" ht="15.75" customHeight="1">
      <c r="E476" s="68"/>
      <c r="J476" s="68"/>
      <c r="L476" s="68"/>
      <c r="M476" s="68"/>
      <c r="O476" s="68"/>
      <c r="R476" s="68"/>
    </row>
    <row r="477" ht="15.75" customHeight="1">
      <c r="E477" s="68"/>
      <c r="J477" s="68"/>
      <c r="L477" s="68"/>
      <c r="M477" s="68"/>
      <c r="O477" s="68"/>
      <c r="R477" s="68"/>
    </row>
    <row r="478" ht="15.75" customHeight="1">
      <c r="E478" s="68"/>
      <c r="J478" s="68"/>
      <c r="L478" s="68"/>
      <c r="M478" s="68"/>
      <c r="O478" s="68"/>
      <c r="R478" s="68"/>
    </row>
    <row r="479" ht="15.75" customHeight="1">
      <c r="E479" s="68"/>
      <c r="J479" s="68"/>
      <c r="L479" s="68"/>
      <c r="M479" s="68"/>
      <c r="O479" s="68"/>
      <c r="R479" s="68"/>
    </row>
    <row r="480" ht="15.75" customHeight="1">
      <c r="E480" s="68"/>
      <c r="J480" s="68"/>
      <c r="L480" s="68"/>
      <c r="M480" s="68"/>
      <c r="O480" s="68"/>
      <c r="R480" s="68"/>
    </row>
    <row r="481" ht="15.75" customHeight="1">
      <c r="E481" s="68"/>
      <c r="J481" s="68"/>
      <c r="L481" s="68"/>
      <c r="M481" s="68"/>
      <c r="O481" s="68"/>
      <c r="R481" s="68"/>
    </row>
    <row r="482" ht="15.75" customHeight="1">
      <c r="E482" s="68"/>
      <c r="J482" s="68"/>
      <c r="L482" s="68"/>
      <c r="M482" s="68"/>
      <c r="O482" s="68"/>
      <c r="R482" s="68"/>
    </row>
    <row r="483" ht="15.75" customHeight="1">
      <c r="E483" s="68"/>
      <c r="J483" s="68"/>
      <c r="L483" s="68"/>
      <c r="M483" s="68"/>
      <c r="O483" s="68"/>
      <c r="R483" s="68"/>
    </row>
    <row r="484" ht="15.75" customHeight="1">
      <c r="E484" s="68"/>
      <c r="J484" s="68"/>
      <c r="L484" s="68"/>
      <c r="M484" s="68"/>
      <c r="O484" s="68"/>
      <c r="R484" s="68"/>
    </row>
    <row r="485" ht="15.75" customHeight="1">
      <c r="E485" s="68"/>
      <c r="J485" s="68"/>
      <c r="L485" s="68"/>
      <c r="M485" s="68"/>
      <c r="O485" s="68"/>
      <c r="R485" s="68"/>
    </row>
    <row r="486" ht="15.75" customHeight="1">
      <c r="E486" s="68"/>
      <c r="J486" s="68"/>
      <c r="L486" s="68"/>
      <c r="M486" s="68"/>
      <c r="O486" s="68"/>
      <c r="R486" s="68"/>
    </row>
    <row r="487" ht="15.75" customHeight="1">
      <c r="E487" s="68"/>
      <c r="J487" s="68"/>
      <c r="L487" s="68"/>
      <c r="M487" s="68"/>
      <c r="O487" s="68"/>
      <c r="R487" s="68"/>
    </row>
    <row r="488" ht="15.75" customHeight="1">
      <c r="E488" s="68"/>
      <c r="J488" s="68"/>
      <c r="L488" s="68"/>
      <c r="M488" s="68"/>
      <c r="O488" s="68"/>
      <c r="R488" s="68"/>
    </row>
    <row r="489" ht="15.75" customHeight="1">
      <c r="E489" s="68"/>
      <c r="J489" s="68"/>
      <c r="L489" s="68"/>
      <c r="M489" s="68"/>
      <c r="O489" s="68"/>
      <c r="R489" s="68"/>
    </row>
    <row r="490" ht="15.75" customHeight="1">
      <c r="E490" s="68"/>
      <c r="J490" s="68"/>
      <c r="L490" s="68"/>
      <c r="M490" s="68"/>
      <c r="O490" s="68"/>
      <c r="R490" s="68"/>
    </row>
    <row r="491" ht="15.75" customHeight="1">
      <c r="E491" s="68"/>
      <c r="J491" s="68"/>
      <c r="L491" s="68"/>
      <c r="M491" s="68"/>
      <c r="O491" s="68"/>
      <c r="R491" s="68"/>
    </row>
    <row r="492" ht="15.75" customHeight="1">
      <c r="E492" s="68"/>
      <c r="J492" s="68"/>
      <c r="L492" s="68"/>
      <c r="M492" s="68"/>
      <c r="O492" s="68"/>
      <c r="R492" s="68"/>
    </row>
    <row r="493" ht="15.75" customHeight="1">
      <c r="E493" s="68"/>
      <c r="J493" s="68"/>
      <c r="L493" s="68"/>
      <c r="M493" s="68"/>
      <c r="O493" s="68"/>
      <c r="R493" s="68"/>
    </row>
    <row r="494" ht="15.75" customHeight="1">
      <c r="E494" s="68"/>
      <c r="J494" s="68"/>
      <c r="L494" s="68"/>
      <c r="M494" s="68"/>
      <c r="O494" s="68"/>
      <c r="R494" s="68"/>
    </row>
    <row r="495" ht="15.75" customHeight="1">
      <c r="E495" s="68"/>
      <c r="J495" s="68"/>
      <c r="L495" s="68"/>
      <c r="M495" s="68"/>
      <c r="O495" s="68"/>
      <c r="R495" s="68"/>
    </row>
    <row r="496" ht="15.75" customHeight="1">
      <c r="E496" s="68"/>
      <c r="J496" s="68"/>
      <c r="L496" s="68"/>
      <c r="M496" s="68"/>
      <c r="O496" s="68"/>
      <c r="R496" s="68"/>
    </row>
    <row r="497" ht="15.75" customHeight="1">
      <c r="E497" s="68"/>
      <c r="J497" s="68"/>
      <c r="L497" s="68"/>
      <c r="M497" s="68"/>
      <c r="O497" s="68"/>
      <c r="R497" s="68"/>
    </row>
    <row r="498" ht="15.75" customHeight="1">
      <c r="E498" s="68"/>
      <c r="J498" s="68"/>
      <c r="L498" s="68"/>
      <c r="M498" s="68"/>
      <c r="O498" s="68"/>
      <c r="R498" s="68"/>
    </row>
    <row r="499" ht="15.75" customHeight="1">
      <c r="E499" s="68"/>
      <c r="J499" s="68"/>
      <c r="L499" s="68"/>
      <c r="M499" s="68"/>
      <c r="O499" s="68"/>
      <c r="R499" s="68"/>
    </row>
    <row r="500" ht="15.75" customHeight="1">
      <c r="E500" s="68"/>
      <c r="J500" s="68"/>
      <c r="L500" s="68"/>
      <c r="M500" s="68"/>
      <c r="O500" s="68"/>
      <c r="R500" s="68"/>
    </row>
    <row r="501" ht="15.75" customHeight="1">
      <c r="E501" s="68"/>
      <c r="J501" s="68"/>
      <c r="L501" s="68"/>
      <c r="M501" s="68"/>
      <c r="O501" s="68"/>
      <c r="R501" s="68"/>
    </row>
    <row r="502" ht="15.75" customHeight="1">
      <c r="E502" s="68"/>
      <c r="J502" s="68"/>
      <c r="L502" s="68"/>
      <c r="M502" s="68"/>
      <c r="O502" s="68"/>
      <c r="R502" s="68"/>
    </row>
    <row r="503" ht="15.75" customHeight="1">
      <c r="E503" s="68"/>
      <c r="J503" s="68"/>
      <c r="L503" s="68"/>
      <c r="M503" s="68"/>
      <c r="O503" s="68"/>
      <c r="R503" s="68"/>
    </row>
    <row r="504" ht="15.75" customHeight="1">
      <c r="E504" s="68"/>
      <c r="J504" s="68"/>
      <c r="L504" s="68"/>
      <c r="M504" s="68"/>
      <c r="O504" s="68"/>
      <c r="R504" s="68"/>
    </row>
    <row r="505" ht="15.75" customHeight="1">
      <c r="E505" s="68"/>
      <c r="J505" s="68"/>
      <c r="L505" s="68"/>
      <c r="M505" s="68"/>
      <c r="O505" s="68"/>
      <c r="R505" s="68"/>
    </row>
    <row r="506" ht="15.75" customHeight="1">
      <c r="E506" s="68"/>
      <c r="J506" s="68"/>
      <c r="L506" s="68"/>
      <c r="M506" s="68"/>
      <c r="O506" s="68"/>
      <c r="R506" s="68"/>
    </row>
    <row r="507" ht="15.75" customHeight="1">
      <c r="E507" s="68"/>
      <c r="J507" s="68"/>
      <c r="L507" s="68"/>
      <c r="M507" s="68"/>
      <c r="O507" s="68"/>
      <c r="R507" s="68"/>
    </row>
    <row r="508" ht="15.75" customHeight="1">
      <c r="E508" s="68"/>
      <c r="J508" s="68"/>
      <c r="L508" s="68"/>
      <c r="M508" s="68"/>
      <c r="O508" s="68"/>
      <c r="R508" s="68"/>
    </row>
    <row r="509" ht="15.75" customHeight="1">
      <c r="E509" s="68"/>
      <c r="J509" s="68"/>
      <c r="L509" s="68"/>
      <c r="M509" s="68"/>
      <c r="O509" s="68"/>
      <c r="R509" s="68"/>
    </row>
    <row r="510" ht="15.75" customHeight="1">
      <c r="E510" s="68"/>
      <c r="J510" s="68"/>
      <c r="L510" s="68"/>
      <c r="M510" s="68"/>
      <c r="O510" s="68"/>
      <c r="R510" s="68"/>
    </row>
    <row r="511" ht="15.75" customHeight="1">
      <c r="E511" s="68"/>
      <c r="J511" s="68"/>
      <c r="L511" s="68"/>
      <c r="M511" s="68"/>
      <c r="O511" s="68"/>
      <c r="R511" s="68"/>
    </row>
    <row r="512" ht="15.75" customHeight="1">
      <c r="E512" s="68"/>
      <c r="J512" s="68"/>
      <c r="L512" s="68"/>
      <c r="M512" s="68"/>
      <c r="O512" s="68"/>
      <c r="R512" s="68"/>
    </row>
    <row r="513" ht="15.75" customHeight="1">
      <c r="E513" s="68"/>
      <c r="J513" s="68"/>
      <c r="L513" s="68"/>
      <c r="M513" s="68"/>
      <c r="O513" s="68"/>
      <c r="R513" s="68"/>
    </row>
    <row r="514" ht="15.75" customHeight="1">
      <c r="E514" s="68"/>
      <c r="J514" s="68"/>
      <c r="L514" s="68"/>
      <c r="M514" s="68"/>
      <c r="O514" s="68"/>
      <c r="R514" s="68"/>
    </row>
    <row r="515" ht="15.75" customHeight="1">
      <c r="E515" s="68"/>
      <c r="J515" s="68"/>
      <c r="L515" s="68"/>
      <c r="M515" s="68"/>
      <c r="O515" s="68"/>
      <c r="R515" s="68"/>
    </row>
    <row r="516" ht="15.75" customHeight="1">
      <c r="E516" s="68"/>
      <c r="J516" s="68"/>
      <c r="L516" s="68"/>
      <c r="M516" s="68"/>
      <c r="O516" s="68"/>
      <c r="R516" s="68"/>
    </row>
    <row r="517" ht="15.75" customHeight="1">
      <c r="E517" s="68"/>
      <c r="J517" s="68"/>
      <c r="L517" s="68"/>
      <c r="M517" s="68"/>
      <c r="O517" s="68"/>
      <c r="R517" s="68"/>
    </row>
    <row r="518" ht="15.75" customHeight="1">
      <c r="E518" s="68"/>
      <c r="J518" s="68"/>
      <c r="L518" s="68"/>
      <c r="M518" s="68"/>
      <c r="O518" s="68"/>
      <c r="R518" s="68"/>
    </row>
    <row r="519" ht="15.75" customHeight="1">
      <c r="E519" s="68"/>
      <c r="J519" s="68"/>
      <c r="L519" s="68"/>
      <c r="M519" s="68"/>
      <c r="O519" s="68"/>
      <c r="R519" s="68"/>
    </row>
    <row r="520" ht="15.75" customHeight="1">
      <c r="E520" s="68"/>
      <c r="J520" s="68"/>
      <c r="L520" s="68"/>
      <c r="M520" s="68"/>
      <c r="O520" s="68"/>
      <c r="R520" s="68"/>
    </row>
    <row r="521" ht="15.75" customHeight="1">
      <c r="E521" s="68"/>
      <c r="J521" s="68"/>
      <c r="L521" s="68"/>
      <c r="M521" s="68"/>
      <c r="O521" s="68"/>
      <c r="R521" s="68"/>
    </row>
    <row r="522" ht="15.75" customHeight="1">
      <c r="E522" s="68"/>
      <c r="J522" s="68"/>
      <c r="L522" s="68"/>
      <c r="M522" s="68"/>
      <c r="O522" s="68"/>
      <c r="R522" s="68"/>
    </row>
    <row r="523" ht="15.75" customHeight="1">
      <c r="E523" s="68"/>
      <c r="J523" s="68"/>
      <c r="L523" s="68"/>
      <c r="M523" s="68"/>
      <c r="O523" s="68"/>
      <c r="R523" s="68"/>
    </row>
    <row r="524" ht="15.75" customHeight="1">
      <c r="E524" s="68"/>
      <c r="J524" s="68"/>
      <c r="L524" s="68"/>
      <c r="M524" s="68"/>
      <c r="O524" s="68"/>
      <c r="R524" s="68"/>
    </row>
    <row r="525" ht="15.75" customHeight="1">
      <c r="E525" s="68"/>
      <c r="J525" s="68"/>
      <c r="L525" s="68"/>
      <c r="M525" s="68"/>
      <c r="O525" s="68"/>
      <c r="R525" s="68"/>
    </row>
    <row r="526" ht="15.75" customHeight="1">
      <c r="E526" s="68"/>
      <c r="J526" s="68"/>
      <c r="L526" s="68"/>
      <c r="M526" s="68"/>
      <c r="O526" s="68"/>
      <c r="R526" s="68"/>
    </row>
    <row r="527" ht="15.75" customHeight="1">
      <c r="E527" s="68"/>
      <c r="J527" s="68"/>
      <c r="L527" s="68"/>
      <c r="M527" s="68"/>
      <c r="O527" s="68"/>
      <c r="R527" s="68"/>
    </row>
    <row r="528" ht="15.75" customHeight="1">
      <c r="E528" s="68"/>
      <c r="J528" s="68"/>
      <c r="L528" s="68"/>
      <c r="M528" s="68"/>
      <c r="O528" s="68"/>
      <c r="R528" s="68"/>
    </row>
    <row r="529" ht="15.75" customHeight="1">
      <c r="E529" s="68"/>
      <c r="J529" s="68"/>
      <c r="L529" s="68"/>
      <c r="M529" s="68"/>
      <c r="O529" s="68"/>
      <c r="R529" s="68"/>
    </row>
    <row r="530" ht="15.75" customHeight="1">
      <c r="E530" s="68"/>
      <c r="J530" s="68"/>
      <c r="L530" s="68"/>
      <c r="M530" s="68"/>
      <c r="O530" s="68"/>
      <c r="R530" s="68"/>
    </row>
    <row r="531" ht="15.75" customHeight="1">
      <c r="E531" s="68"/>
      <c r="J531" s="68"/>
      <c r="L531" s="68"/>
      <c r="M531" s="68"/>
      <c r="O531" s="68"/>
      <c r="R531" s="68"/>
    </row>
    <row r="532" ht="15.75" customHeight="1">
      <c r="E532" s="68"/>
      <c r="J532" s="68"/>
      <c r="L532" s="68"/>
      <c r="M532" s="68"/>
      <c r="O532" s="68"/>
      <c r="R532" s="68"/>
    </row>
    <row r="533" ht="15.75" customHeight="1">
      <c r="E533" s="68"/>
      <c r="J533" s="68"/>
      <c r="L533" s="68"/>
      <c r="M533" s="68"/>
      <c r="O533" s="68"/>
      <c r="R533" s="68"/>
    </row>
    <row r="534" ht="15.75" customHeight="1">
      <c r="E534" s="68"/>
      <c r="J534" s="68"/>
      <c r="L534" s="68"/>
      <c r="M534" s="68"/>
      <c r="O534" s="68"/>
      <c r="R534" s="68"/>
    </row>
    <row r="535" ht="15.75" customHeight="1">
      <c r="E535" s="68"/>
      <c r="J535" s="68"/>
      <c r="L535" s="68"/>
      <c r="M535" s="68"/>
      <c r="O535" s="68"/>
      <c r="R535" s="68"/>
    </row>
    <row r="536" ht="15.75" customHeight="1">
      <c r="E536" s="68"/>
      <c r="J536" s="68"/>
      <c r="L536" s="68"/>
      <c r="M536" s="68"/>
      <c r="O536" s="68"/>
      <c r="R536" s="68"/>
    </row>
    <row r="537" ht="15.75" customHeight="1">
      <c r="E537" s="68"/>
      <c r="J537" s="68"/>
      <c r="L537" s="68"/>
      <c r="M537" s="68"/>
      <c r="O537" s="68"/>
      <c r="R537" s="68"/>
    </row>
    <row r="538" ht="15.75" customHeight="1">
      <c r="E538" s="68"/>
      <c r="J538" s="68"/>
      <c r="L538" s="68"/>
      <c r="M538" s="68"/>
      <c r="O538" s="68"/>
      <c r="R538" s="68"/>
    </row>
    <row r="539" ht="15.75" customHeight="1">
      <c r="E539" s="68"/>
      <c r="J539" s="68"/>
      <c r="L539" s="68"/>
      <c r="M539" s="68"/>
      <c r="O539" s="68"/>
      <c r="R539" s="68"/>
    </row>
    <row r="540" ht="15.75" customHeight="1">
      <c r="E540" s="68"/>
      <c r="J540" s="68"/>
      <c r="L540" s="68"/>
      <c r="M540" s="68"/>
      <c r="O540" s="68"/>
      <c r="R540" s="68"/>
    </row>
    <row r="541" ht="15.75" customHeight="1">
      <c r="E541" s="68"/>
      <c r="J541" s="68"/>
      <c r="L541" s="68"/>
      <c r="M541" s="68"/>
      <c r="O541" s="68"/>
      <c r="R541" s="68"/>
    </row>
    <row r="542" ht="15.75" customHeight="1">
      <c r="E542" s="68"/>
      <c r="J542" s="68"/>
      <c r="L542" s="68"/>
      <c r="M542" s="68"/>
      <c r="O542" s="68"/>
      <c r="R542" s="68"/>
    </row>
    <row r="543" ht="15.75" customHeight="1">
      <c r="E543" s="68"/>
      <c r="J543" s="68"/>
      <c r="L543" s="68"/>
      <c r="M543" s="68"/>
      <c r="O543" s="68"/>
      <c r="R543" s="68"/>
    </row>
    <row r="544" ht="15.75" customHeight="1">
      <c r="E544" s="68"/>
      <c r="J544" s="68"/>
      <c r="L544" s="68"/>
      <c r="M544" s="68"/>
      <c r="O544" s="68"/>
      <c r="R544" s="68"/>
    </row>
    <row r="545" ht="15.75" customHeight="1">
      <c r="E545" s="68"/>
      <c r="J545" s="68"/>
      <c r="L545" s="68"/>
      <c r="M545" s="68"/>
      <c r="O545" s="68"/>
      <c r="R545" s="68"/>
    </row>
    <row r="546" ht="15.75" customHeight="1">
      <c r="E546" s="68"/>
      <c r="J546" s="68"/>
      <c r="L546" s="68"/>
      <c r="M546" s="68"/>
      <c r="O546" s="68"/>
      <c r="R546" s="68"/>
    </row>
    <row r="547" ht="15.75" customHeight="1">
      <c r="E547" s="68"/>
      <c r="J547" s="68"/>
      <c r="L547" s="68"/>
      <c r="M547" s="68"/>
      <c r="O547" s="68"/>
      <c r="R547" s="68"/>
    </row>
    <row r="548" ht="15.75" customHeight="1">
      <c r="E548" s="68"/>
      <c r="J548" s="68"/>
      <c r="L548" s="68"/>
      <c r="M548" s="68"/>
      <c r="O548" s="68"/>
      <c r="R548" s="68"/>
    </row>
    <row r="549" ht="15.75" customHeight="1">
      <c r="E549" s="68"/>
      <c r="J549" s="68"/>
      <c r="L549" s="68"/>
      <c r="M549" s="68"/>
      <c r="O549" s="68"/>
      <c r="R549" s="68"/>
    </row>
    <row r="550" ht="15.75" customHeight="1">
      <c r="E550" s="68"/>
      <c r="J550" s="68"/>
      <c r="L550" s="68"/>
      <c r="M550" s="68"/>
      <c r="O550" s="68"/>
      <c r="R550" s="68"/>
    </row>
    <row r="551" ht="15.75" customHeight="1">
      <c r="E551" s="68"/>
      <c r="J551" s="68"/>
      <c r="L551" s="68"/>
      <c r="M551" s="68"/>
      <c r="O551" s="68"/>
      <c r="R551" s="68"/>
    </row>
    <row r="552" ht="15.75" customHeight="1">
      <c r="E552" s="68"/>
      <c r="J552" s="68"/>
      <c r="L552" s="68"/>
      <c r="M552" s="68"/>
      <c r="O552" s="68"/>
      <c r="R552" s="68"/>
    </row>
    <row r="553" ht="15.75" customHeight="1">
      <c r="E553" s="68"/>
      <c r="J553" s="68"/>
      <c r="L553" s="68"/>
      <c r="M553" s="68"/>
      <c r="O553" s="68"/>
      <c r="R553" s="68"/>
    </row>
    <row r="554" ht="15.75" customHeight="1">
      <c r="E554" s="68"/>
      <c r="J554" s="68"/>
      <c r="L554" s="68"/>
      <c r="M554" s="68"/>
      <c r="O554" s="68"/>
      <c r="R554" s="68"/>
    </row>
    <row r="555" ht="15.75" customHeight="1">
      <c r="E555" s="68"/>
      <c r="J555" s="68"/>
      <c r="L555" s="68"/>
      <c r="M555" s="68"/>
      <c r="O555" s="68"/>
      <c r="R555" s="68"/>
    </row>
    <row r="556" ht="15.75" customHeight="1">
      <c r="E556" s="68"/>
      <c r="J556" s="68"/>
      <c r="L556" s="68"/>
      <c r="M556" s="68"/>
      <c r="O556" s="68"/>
      <c r="R556" s="68"/>
    </row>
    <row r="557" ht="15.75" customHeight="1">
      <c r="E557" s="68"/>
      <c r="J557" s="68"/>
      <c r="L557" s="68"/>
      <c r="M557" s="68"/>
      <c r="O557" s="68"/>
      <c r="R557" s="68"/>
    </row>
    <row r="558" ht="15.75" customHeight="1">
      <c r="E558" s="68"/>
      <c r="J558" s="68"/>
      <c r="L558" s="68"/>
      <c r="M558" s="68"/>
      <c r="O558" s="68"/>
      <c r="R558" s="68"/>
    </row>
    <row r="559" ht="15.75" customHeight="1">
      <c r="E559" s="68"/>
      <c r="J559" s="68"/>
      <c r="L559" s="68"/>
      <c r="M559" s="68"/>
      <c r="O559" s="68"/>
      <c r="R559" s="68"/>
    </row>
    <row r="560" ht="15.75" customHeight="1">
      <c r="E560" s="68"/>
      <c r="J560" s="68"/>
      <c r="L560" s="68"/>
      <c r="M560" s="68"/>
      <c r="O560" s="68"/>
      <c r="R560" s="68"/>
    </row>
    <row r="561" ht="15.75" customHeight="1">
      <c r="E561" s="68"/>
      <c r="J561" s="68"/>
      <c r="L561" s="68"/>
      <c r="M561" s="68"/>
      <c r="O561" s="68"/>
      <c r="R561" s="68"/>
    </row>
    <row r="562" ht="15.75" customHeight="1">
      <c r="E562" s="68"/>
      <c r="J562" s="68"/>
      <c r="L562" s="68"/>
      <c r="M562" s="68"/>
      <c r="O562" s="68"/>
      <c r="R562" s="68"/>
    </row>
    <row r="563" ht="15.75" customHeight="1">
      <c r="E563" s="68"/>
      <c r="J563" s="68"/>
      <c r="L563" s="68"/>
      <c r="M563" s="68"/>
      <c r="O563" s="68"/>
      <c r="R563" s="68"/>
    </row>
    <row r="564" ht="15.75" customHeight="1">
      <c r="E564" s="68"/>
      <c r="J564" s="68"/>
      <c r="L564" s="68"/>
      <c r="M564" s="68"/>
      <c r="O564" s="68"/>
      <c r="R564" s="68"/>
    </row>
    <row r="565" ht="15.75" customHeight="1">
      <c r="E565" s="68"/>
      <c r="J565" s="68"/>
      <c r="L565" s="68"/>
      <c r="M565" s="68"/>
      <c r="O565" s="68"/>
      <c r="R565" s="68"/>
    </row>
    <row r="566" ht="15.75" customHeight="1">
      <c r="E566" s="68"/>
      <c r="J566" s="68"/>
      <c r="L566" s="68"/>
      <c r="M566" s="68"/>
      <c r="O566" s="68"/>
      <c r="R566" s="68"/>
    </row>
    <row r="567" ht="15.75" customHeight="1">
      <c r="E567" s="68"/>
      <c r="J567" s="68"/>
      <c r="L567" s="68"/>
      <c r="M567" s="68"/>
      <c r="O567" s="68"/>
      <c r="R567" s="68"/>
    </row>
    <row r="568" ht="15.75" customHeight="1">
      <c r="E568" s="68"/>
      <c r="J568" s="68"/>
      <c r="L568" s="68"/>
      <c r="M568" s="68"/>
      <c r="O568" s="68"/>
      <c r="R568" s="68"/>
    </row>
    <row r="569" ht="15.75" customHeight="1">
      <c r="E569" s="68"/>
      <c r="J569" s="68"/>
      <c r="L569" s="68"/>
      <c r="M569" s="68"/>
      <c r="O569" s="68"/>
      <c r="R569" s="68"/>
    </row>
    <row r="570" ht="15.75" customHeight="1">
      <c r="E570" s="68"/>
      <c r="J570" s="68"/>
      <c r="L570" s="68"/>
      <c r="M570" s="68"/>
      <c r="O570" s="68"/>
      <c r="R570" s="68"/>
    </row>
    <row r="571" ht="15.75" customHeight="1">
      <c r="E571" s="68"/>
      <c r="J571" s="68"/>
      <c r="L571" s="68"/>
      <c r="M571" s="68"/>
      <c r="O571" s="68"/>
      <c r="R571" s="68"/>
    </row>
    <row r="572" ht="15.75" customHeight="1">
      <c r="E572" s="68"/>
      <c r="J572" s="68"/>
      <c r="L572" s="68"/>
      <c r="M572" s="68"/>
      <c r="O572" s="68"/>
      <c r="R572" s="68"/>
    </row>
    <row r="573" ht="15.75" customHeight="1">
      <c r="E573" s="68"/>
      <c r="J573" s="68"/>
      <c r="L573" s="68"/>
      <c r="M573" s="68"/>
      <c r="O573" s="68"/>
      <c r="R573" s="68"/>
    </row>
    <row r="574" ht="15.75" customHeight="1">
      <c r="E574" s="68"/>
      <c r="J574" s="68"/>
      <c r="L574" s="68"/>
      <c r="M574" s="68"/>
      <c r="O574" s="68"/>
      <c r="R574" s="68"/>
    </row>
    <row r="575" ht="15.75" customHeight="1">
      <c r="E575" s="68"/>
      <c r="J575" s="68"/>
      <c r="L575" s="68"/>
      <c r="M575" s="68"/>
      <c r="O575" s="68"/>
      <c r="R575" s="68"/>
    </row>
    <row r="576" ht="15.75" customHeight="1">
      <c r="E576" s="68"/>
      <c r="J576" s="68"/>
      <c r="L576" s="68"/>
      <c r="M576" s="68"/>
      <c r="O576" s="68"/>
      <c r="R576" s="68"/>
    </row>
    <row r="577" ht="15.75" customHeight="1">
      <c r="E577" s="68"/>
      <c r="J577" s="68"/>
      <c r="L577" s="68"/>
      <c r="M577" s="68"/>
      <c r="O577" s="68"/>
      <c r="R577" s="68"/>
    </row>
    <row r="578" ht="15.75" customHeight="1">
      <c r="E578" s="68"/>
      <c r="J578" s="68"/>
      <c r="L578" s="68"/>
      <c r="M578" s="68"/>
      <c r="O578" s="68"/>
      <c r="R578" s="68"/>
    </row>
    <row r="579" ht="15.75" customHeight="1">
      <c r="E579" s="68"/>
      <c r="J579" s="68"/>
      <c r="L579" s="68"/>
      <c r="M579" s="68"/>
      <c r="O579" s="68"/>
      <c r="R579" s="68"/>
    </row>
    <row r="580" ht="15.75" customHeight="1">
      <c r="E580" s="68"/>
      <c r="J580" s="68"/>
      <c r="L580" s="68"/>
      <c r="M580" s="68"/>
      <c r="O580" s="68"/>
      <c r="R580" s="68"/>
    </row>
    <row r="581" ht="15.75" customHeight="1">
      <c r="E581" s="68"/>
      <c r="J581" s="68"/>
      <c r="L581" s="68"/>
      <c r="M581" s="68"/>
      <c r="O581" s="68"/>
      <c r="R581" s="68"/>
    </row>
    <row r="582" ht="15.75" customHeight="1">
      <c r="E582" s="68"/>
      <c r="J582" s="68"/>
      <c r="L582" s="68"/>
      <c r="M582" s="68"/>
      <c r="O582" s="68"/>
      <c r="R582" s="68"/>
    </row>
    <row r="583" ht="15.75" customHeight="1">
      <c r="E583" s="68"/>
      <c r="J583" s="68"/>
      <c r="L583" s="68"/>
      <c r="M583" s="68"/>
      <c r="O583" s="68"/>
      <c r="R583" s="68"/>
    </row>
    <row r="584" ht="15.75" customHeight="1">
      <c r="E584" s="68"/>
      <c r="J584" s="68"/>
      <c r="L584" s="68"/>
      <c r="M584" s="68"/>
      <c r="O584" s="68"/>
      <c r="R584" s="68"/>
    </row>
    <row r="585" ht="15.75" customHeight="1">
      <c r="E585" s="68"/>
      <c r="J585" s="68"/>
      <c r="L585" s="68"/>
      <c r="M585" s="68"/>
      <c r="O585" s="68"/>
      <c r="R585" s="68"/>
    </row>
    <row r="586" ht="15.75" customHeight="1">
      <c r="E586" s="68"/>
      <c r="J586" s="68"/>
      <c r="L586" s="68"/>
      <c r="M586" s="68"/>
      <c r="O586" s="68"/>
      <c r="R586" s="68"/>
    </row>
    <row r="587" ht="15.75" customHeight="1">
      <c r="E587" s="68"/>
      <c r="J587" s="68"/>
      <c r="L587" s="68"/>
      <c r="M587" s="68"/>
      <c r="O587" s="68"/>
      <c r="R587" s="68"/>
    </row>
    <row r="588" ht="15.75" customHeight="1">
      <c r="E588" s="68"/>
      <c r="J588" s="68"/>
      <c r="L588" s="68"/>
      <c r="M588" s="68"/>
      <c r="O588" s="68"/>
      <c r="R588" s="68"/>
    </row>
    <row r="589" ht="15.75" customHeight="1">
      <c r="E589" s="68"/>
      <c r="J589" s="68"/>
      <c r="L589" s="68"/>
      <c r="M589" s="68"/>
      <c r="O589" s="68"/>
      <c r="R589" s="68"/>
    </row>
    <row r="590" ht="15.75" customHeight="1">
      <c r="E590" s="68"/>
      <c r="J590" s="68"/>
      <c r="L590" s="68"/>
      <c r="M590" s="68"/>
      <c r="O590" s="68"/>
      <c r="R590" s="68"/>
    </row>
    <row r="591" ht="15.75" customHeight="1">
      <c r="E591" s="68"/>
      <c r="J591" s="68"/>
      <c r="L591" s="68"/>
      <c r="M591" s="68"/>
      <c r="O591" s="68"/>
      <c r="R591" s="68"/>
    </row>
    <row r="592" ht="15.75" customHeight="1">
      <c r="E592" s="68"/>
      <c r="J592" s="68"/>
      <c r="L592" s="68"/>
      <c r="M592" s="68"/>
      <c r="O592" s="68"/>
      <c r="R592" s="68"/>
    </row>
    <row r="593" ht="15.75" customHeight="1">
      <c r="E593" s="68"/>
      <c r="J593" s="68"/>
      <c r="L593" s="68"/>
      <c r="M593" s="68"/>
      <c r="O593" s="68"/>
      <c r="R593" s="68"/>
    </row>
    <row r="594" ht="15.75" customHeight="1">
      <c r="E594" s="68"/>
      <c r="J594" s="68"/>
      <c r="L594" s="68"/>
      <c r="M594" s="68"/>
      <c r="O594" s="68"/>
      <c r="R594" s="68"/>
    </row>
    <row r="595" ht="15.75" customHeight="1">
      <c r="E595" s="68"/>
      <c r="J595" s="68"/>
      <c r="L595" s="68"/>
      <c r="M595" s="68"/>
      <c r="O595" s="68"/>
      <c r="R595" s="68"/>
    </row>
    <row r="596" ht="15.75" customHeight="1">
      <c r="E596" s="68"/>
      <c r="J596" s="68"/>
      <c r="L596" s="68"/>
      <c r="M596" s="68"/>
      <c r="O596" s="68"/>
      <c r="R596" s="68"/>
    </row>
    <row r="597" ht="15.75" customHeight="1">
      <c r="E597" s="68"/>
      <c r="J597" s="68"/>
      <c r="L597" s="68"/>
      <c r="M597" s="68"/>
      <c r="O597" s="68"/>
      <c r="R597" s="68"/>
    </row>
    <row r="598" ht="15.75" customHeight="1">
      <c r="E598" s="68"/>
      <c r="J598" s="68"/>
      <c r="L598" s="68"/>
      <c r="M598" s="68"/>
      <c r="O598" s="68"/>
      <c r="R598" s="68"/>
    </row>
    <row r="599" ht="15.75" customHeight="1">
      <c r="E599" s="68"/>
      <c r="J599" s="68"/>
      <c r="L599" s="68"/>
      <c r="M599" s="68"/>
      <c r="O599" s="68"/>
      <c r="R599" s="68"/>
    </row>
    <row r="600" ht="15.75" customHeight="1">
      <c r="E600" s="68"/>
      <c r="J600" s="68"/>
      <c r="L600" s="68"/>
      <c r="M600" s="68"/>
      <c r="O600" s="68"/>
      <c r="R600" s="68"/>
    </row>
    <row r="601" ht="15.75" customHeight="1">
      <c r="E601" s="68"/>
      <c r="J601" s="68"/>
      <c r="L601" s="68"/>
      <c r="M601" s="68"/>
      <c r="O601" s="68"/>
      <c r="R601" s="68"/>
    </row>
    <row r="602" ht="15.75" customHeight="1">
      <c r="E602" s="68"/>
      <c r="J602" s="68"/>
      <c r="L602" s="68"/>
      <c r="M602" s="68"/>
      <c r="O602" s="68"/>
      <c r="R602" s="68"/>
    </row>
    <row r="603" ht="15.75" customHeight="1">
      <c r="E603" s="68"/>
      <c r="J603" s="68"/>
      <c r="L603" s="68"/>
      <c r="M603" s="68"/>
      <c r="O603" s="68"/>
      <c r="R603" s="68"/>
    </row>
    <row r="604" ht="15.75" customHeight="1">
      <c r="E604" s="68"/>
      <c r="J604" s="68"/>
      <c r="L604" s="68"/>
      <c r="M604" s="68"/>
      <c r="O604" s="68"/>
      <c r="R604" s="68"/>
    </row>
    <row r="605" ht="15.75" customHeight="1">
      <c r="E605" s="68"/>
      <c r="J605" s="68"/>
      <c r="L605" s="68"/>
      <c r="M605" s="68"/>
      <c r="O605" s="68"/>
      <c r="R605" s="68"/>
    </row>
    <row r="606" ht="15.75" customHeight="1">
      <c r="E606" s="68"/>
      <c r="J606" s="68"/>
      <c r="L606" s="68"/>
      <c r="M606" s="68"/>
      <c r="O606" s="68"/>
      <c r="R606" s="68"/>
    </row>
    <row r="607" ht="15.75" customHeight="1">
      <c r="E607" s="68"/>
      <c r="J607" s="68"/>
      <c r="L607" s="68"/>
      <c r="M607" s="68"/>
      <c r="O607" s="68"/>
      <c r="R607" s="68"/>
    </row>
    <row r="608" ht="15.75" customHeight="1">
      <c r="E608" s="68"/>
      <c r="J608" s="68"/>
      <c r="L608" s="68"/>
      <c r="M608" s="68"/>
      <c r="O608" s="68"/>
      <c r="R608" s="68"/>
    </row>
    <row r="609" ht="15.75" customHeight="1">
      <c r="E609" s="68"/>
      <c r="J609" s="68"/>
      <c r="L609" s="68"/>
      <c r="M609" s="68"/>
      <c r="O609" s="68"/>
      <c r="R609" s="68"/>
    </row>
    <row r="610" ht="15.75" customHeight="1">
      <c r="E610" s="68"/>
      <c r="J610" s="68"/>
      <c r="L610" s="68"/>
      <c r="M610" s="68"/>
      <c r="O610" s="68"/>
      <c r="R610" s="68"/>
    </row>
    <row r="611" ht="15.75" customHeight="1">
      <c r="E611" s="68"/>
      <c r="J611" s="68"/>
      <c r="L611" s="68"/>
      <c r="M611" s="68"/>
      <c r="O611" s="68"/>
      <c r="R611" s="68"/>
    </row>
    <row r="612" ht="15.75" customHeight="1">
      <c r="E612" s="68"/>
      <c r="J612" s="68"/>
      <c r="L612" s="68"/>
      <c r="M612" s="68"/>
      <c r="O612" s="68"/>
      <c r="R612" s="68"/>
    </row>
    <row r="613" ht="15.75" customHeight="1">
      <c r="E613" s="68"/>
      <c r="J613" s="68"/>
      <c r="L613" s="68"/>
      <c r="M613" s="68"/>
      <c r="O613" s="68"/>
      <c r="R613" s="68"/>
    </row>
    <row r="614" ht="15.75" customHeight="1">
      <c r="E614" s="68"/>
      <c r="J614" s="68"/>
      <c r="L614" s="68"/>
      <c r="M614" s="68"/>
      <c r="O614" s="68"/>
      <c r="R614" s="68"/>
    </row>
    <row r="615" ht="15.75" customHeight="1">
      <c r="E615" s="68"/>
      <c r="J615" s="68"/>
      <c r="L615" s="68"/>
      <c r="M615" s="68"/>
      <c r="O615" s="68"/>
      <c r="R615" s="68"/>
    </row>
    <row r="616" ht="15.75" customHeight="1">
      <c r="E616" s="68"/>
      <c r="J616" s="68"/>
      <c r="L616" s="68"/>
      <c r="M616" s="68"/>
      <c r="O616" s="68"/>
      <c r="R616" s="68"/>
    </row>
    <row r="617" ht="15.75" customHeight="1">
      <c r="E617" s="68"/>
      <c r="J617" s="68"/>
      <c r="L617" s="68"/>
      <c r="M617" s="68"/>
      <c r="O617" s="68"/>
      <c r="R617" s="68"/>
    </row>
    <row r="618" ht="15.75" customHeight="1">
      <c r="E618" s="68"/>
      <c r="J618" s="68"/>
      <c r="L618" s="68"/>
      <c r="M618" s="68"/>
      <c r="O618" s="68"/>
      <c r="R618" s="68"/>
    </row>
    <row r="619" ht="15.75" customHeight="1">
      <c r="E619" s="68"/>
      <c r="J619" s="68"/>
      <c r="L619" s="68"/>
      <c r="M619" s="68"/>
      <c r="O619" s="68"/>
      <c r="R619" s="68"/>
    </row>
    <row r="620" ht="15.75" customHeight="1">
      <c r="E620" s="68"/>
      <c r="J620" s="68"/>
      <c r="L620" s="68"/>
      <c r="M620" s="68"/>
      <c r="O620" s="68"/>
      <c r="R620" s="68"/>
    </row>
    <row r="621" ht="15.75" customHeight="1">
      <c r="E621" s="68"/>
      <c r="J621" s="68"/>
      <c r="L621" s="68"/>
      <c r="M621" s="68"/>
      <c r="O621" s="68"/>
      <c r="R621" s="68"/>
    </row>
    <row r="622" ht="15.75" customHeight="1">
      <c r="E622" s="68"/>
      <c r="J622" s="68"/>
      <c r="L622" s="68"/>
      <c r="M622" s="68"/>
      <c r="O622" s="68"/>
      <c r="R622" s="68"/>
    </row>
    <row r="623" ht="15.75" customHeight="1">
      <c r="E623" s="68"/>
      <c r="J623" s="68"/>
      <c r="L623" s="68"/>
      <c r="M623" s="68"/>
      <c r="O623" s="68"/>
      <c r="R623" s="68"/>
    </row>
    <row r="624" ht="15.75" customHeight="1">
      <c r="E624" s="68"/>
      <c r="J624" s="68"/>
      <c r="L624" s="68"/>
      <c r="M624" s="68"/>
      <c r="O624" s="68"/>
      <c r="R624" s="68"/>
    </row>
    <row r="625" ht="15.75" customHeight="1">
      <c r="E625" s="68"/>
      <c r="J625" s="68"/>
      <c r="L625" s="68"/>
      <c r="M625" s="68"/>
      <c r="O625" s="68"/>
      <c r="R625" s="68"/>
    </row>
    <row r="626" ht="15.75" customHeight="1">
      <c r="E626" s="68"/>
      <c r="J626" s="68"/>
      <c r="L626" s="68"/>
      <c r="M626" s="68"/>
      <c r="O626" s="68"/>
      <c r="R626" s="68"/>
    </row>
    <row r="627" ht="15.75" customHeight="1">
      <c r="E627" s="68"/>
      <c r="J627" s="68"/>
      <c r="L627" s="68"/>
      <c r="M627" s="68"/>
      <c r="O627" s="68"/>
      <c r="R627" s="68"/>
    </row>
    <row r="628" ht="15.75" customHeight="1">
      <c r="E628" s="68"/>
      <c r="J628" s="68"/>
      <c r="L628" s="68"/>
      <c r="M628" s="68"/>
      <c r="O628" s="68"/>
      <c r="R628" s="68"/>
    </row>
    <row r="629" ht="15.75" customHeight="1">
      <c r="E629" s="68"/>
      <c r="J629" s="68"/>
      <c r="L629" s="68"/>
      <c r="M629" s="68"/>
      <c r="O629" s="68"/>
      <c r="R629" s="68"/>
    </row>
    <row r="630" ht="15.75" customHeight="1">
      <c r="E630" s="68"/>
      <c r="J630" s="68"/>
      <c r="L630" s="68"/>
      <c r="M630" s="68"/>
      <c r="O630" s="68"/>
      <c r="R630" s="68"/>
    </row>
    <row r="631" ht="15.75" customHeight="1">
      <c r="E631" s="68"/>
      <c r="J631" s="68"/>
      <c r="L631" s="68"/>
      <c r="M631" s="68"/>
      <c r="O631" s="68"/>
      <c r="R631" s="68"/>
    </row>
    <row r="632" ht="15.75" customHeight="1">
      <c r="E632" s="68"/>
      <c r="J632" s="68"/>
      <c r="L632" s="68"/>
      <c r="M632" s="68"/>
      <c r="O632" s="68"/>
      <c r="R632" s="68"/>
    </row>
    <row r="633" ht="15.75" customHeight="1">
      <c r="E633" s="68"/>
      <c r="J633" s="68"/>
      <c r="L633" s="68"/>
      <c r="M633" s="68"/>
      <c r="O633" s="68"/>
      <c r="R633" s="68"/>
    </row>
    <row r="634" ht="15.75" customHeight="1">
      <c r="E634" s="68"/>
      <c r="J634" s="68"/>
      <c r="L634" s="68"/>
      <c r="M634" s="68"/>
      <c r="O634" s="68"/>
      <c r="R634" s="68"/>
    </row>
    <row r="635" ht="15.75" customHeight="1">
      <c r="E635" s="68"/>
      <c r="J635" s="68"/>
      <c r="L635" s="68"/>
      <c r="M635" s="68"/>
      <c r="O635" s="68"/>
      <c r="R635" s="68"/>
    </row>
    <row r="636" ht="15.75" customHeight="1">
      <c r="E636" s="68"/>
      <c r="J636" s="68"/>
      <c r="L636" s="68"/>
      <c r="M636" s="68"/>
      <c r="O636" s="68"/>
      <c r="R636" s="68"/>
    </row>
    <row r="637" ht="15.75" customHeight="1">
      <c r="E637" s="68"/>
      <c r="J637" s="68"/>
      <c r="L637" s="68"/>
      <c r="M637" s="68"/>
      <c r="O637" s="68"/>
      <c r="R637" s="68"/>
    </row>
    <row r="638" ht="15.75" customHeight="1">
      <c r="E638" s="68"/>
      <c r="J638" s="68"/>
      <c r="L638" s="68"/>
      <c r="M638" s="68"/>
      <c r="O638" s="68"/>
      <c r="R638" s="68"/>
    </row>
    <row r="639" ht="15.75" customHeight="1">
      <c r="E639" s="68"/>
      <c r="J639" s="68"/>
      <c r="L639" s="68"/>
      <c r="M639" s="68"/>
      <c r="O639" s="68"/>
      <c r="R639" s="68"/>
    </row>
    <row r="640" ht="15.75" customHeight="1">
      <c r="E640" s="68"/>
      <c r="J640" s="68"/>
      <c r="L640" s="68"/>
      <c r="M640" s="68"/>
      <c r="O640" s="68"/>
      <c r="R640" s="68"/>
    </row>
    <row r="641" ht="15.75" customHeight="1">
      <c r="E641" s="68"/>
      <c r="J641" s="68"/>
      <c r="L641" s="68"/>
      <c r="M641" s="68"/>
      <c r="O641" s="68"/>
      <c r="R641" s="68"/>
    </row>
    <row r="642" ht="15.75" customHeight="1">
      <c r="E642" s="68"/>
      <c r="J642" s="68"/>
      <c r="L642" s="68"/>
      <c r="M642" s="68"/>
      <c r="O642" s="68"/>
      <c r="R642" s="68"/>
    </row>
    <row r="643" ht="15.75" customHeight="1">
      <c r="E643" s="68"/>
      <c r="J643" s="68"/>
      <c r="L643" s="68"/>
      <c r="M643" s="68"/>
      <c r="O643" s="68"/>
      <c r="R643" s="68"/>
    </row>
    <row r="644" ht="15.75" customHeight="1">
      <c r="E644" s="68"/>
      <c r="J644" s="68"/>
      <c r="L644" s="68"/>
      <c r="M644" s="68"/>
      <c r="O644" s="68"/>
      <c r="R644" s="68"/>
    </row>
    <row r="645" ht="15.75" customHeight="1">
      <c r="E645" s="68"/>
      <c r="J645" s="68"/>
      <c r="L645" s="68"/>
      <c r="M645" s="68"/>
      <c r="O645" s="68"/>
      <c r="R645" s="68"/>
    </row>
    <row r="646" ht="15.75" customHeight="1">
      <c r="E646" s="68"/>
      <c r="J646" s="68"/>
      <c r="L646" s="68"/>
      <c r="M646" s="68"/>
      <c r="O646" s="68"/>
      <c r="R646" s="68"/>
    </row>
    <row r="647" ht="15.75" customHeight="1">
      <c r="E647" s="68"/>
      <c r="J647" s="68"/>
      <c r="L647" s="68"/>
      <c r="M647" s="68"/>
      <c r="O647" s="68"/>
      <c r="R647" s="68"/>
    </row>
    <row r="648" ht="15.75" customHeight="1">
      <c r="E648" s="68"/>
      <c r="J648" s="68"/>
      <c r="L648" s="68"/>
      <c r="M648" s="68"/>
      <c r="O648" s="68"/>
      <c r="R648" s="68"/>
    </row>
    <row r="649" ht="15.75" customHeight="1">
      <c r="E649" s="68"/>
      <c r="J649" s="68"/>
      <c r="L649" s="68"/>
      <c r="M649" s="68"/>
      <c r="O649" s="68"/>
      <c r="R649" s="68"/>
    </row>
    <row r="650" ht="15.75" customHeight="1">
      <c r="E650" s="68"/>
      <c r="J650" s="68"/>
      <c r="L650" s="68"/>
      <c r="M650" s="68"/>
      <c r="O650" s="68"/>
      <c r="R650" s="68"/>
    </row>
    <row r="651" ht="15.75" customHeight="1">
      <c r="E651" s="68"/>
      <c r="J651" s="68"/>
      <c r="L651" s="68"/>
      <c r="M651" s="68"/>
      <c r="O651" s="68"/>
      <c r="R651" s="68"/>
    </row>
    <row r="652" ht="15.75" customHeight="1">
      <c r="E652" s="68"/>
      <c r="J652" s="68"/>
      <c r="L652" s="68"/>
      <c r="M652" s="68"/>
      <c r="O652" s="68"/>
      <c r="R652" s="68"/>
    </row>
    <row r="653" ht="15.75" customHeight="1">
      <c r="E653" s="68"/>
      <c r="J653" s="68"/>
      <c r="L653" s="68"/>
      <c r="M653" s="68"/>
      <c r="O653" s="68"/>
      <c r="R653" s="68"/>
    </row>
    <row r="654" ht="15.75" customHeight="1">
      <c r="E654" s="68"/>
      <c r="J654" s="68"/>
      <c r="L654" s="68"/>
      <c r="M654" s="68"/>
      <c r="O654" s="68"/>
      <c r="R654" s="68"/>
    </row>
    <row r="655" ht="15.75" customHeight="1">
      <c r="E655" s="68"/>
      <c r="J655" s="68"/>
      <c r="L655" s="68"/>
      <c r="M655" s="68"/>
      <c r="O655" s="68"/>
      <c r="R655" s="68"/>
    </row>
    <row r="656" ht="15.75" customHeight="1">
      <c r="E656" s="68"/>
      <c r="J656" s="68"/>
      <c r="L656" s="68"/>
      <c r="M656" s="68"/>
      <c r="O656" s="68"/>
      <c r="R656" s="68"/>
    </row>
    <row r="657" ht="15.75" customHeight="1">
      <c r="E657" s="68"/>
      <c r="J657" s="68"/>
      <c r="L657" s="68"/>
      <c r="M657" s="68"/>
      <c r="O657" s="68"/>
      <c r="R657" s="68"/>
    </row>
    <row r="658" ht="15.75" customHeight="1">
      <c r="E658" s="68"/>
      <c r="J658" s="68"/>
      <c r="L658" s="68"/>
      <c r="M658" s="68"/>
      <c r="O658" s="68"/>
      <c r="R658" s="68"/>
    </row>
    <row r="659" ht="15.75" customHeight="1">
      <c r="E659" s="68"/>
      <c r="J659" s="68"/>
      <c r="L659" s="68"/>
      <c r="M659" s="68"/>
      <c r="O659" s="68"/>
      <c r="R659" s="68"/>
    </row>
    <row r="660" ht="15.75" customHeight="1">
      <c r="E660" s="68"/>
      <c r="J660" s="68"/>
      <c r="L660" s="68"/>
      <c r="M660" s="68"/>
      <c r="O660" s="68"/>
      <c r="R660" s="68"/>
    </row>
    <row r="661" ht="15.75" customHeight="1">
      <c r="E661" s="68"/>
      <c r="J661" s="68"/>
      <c r="L661" s="68"/>
      <c r="M661" s="68"/>
      <c r="O661" s="68"/>
      <c r="R661" s="68"/>
    </row>
    <row r="662" ht="15.75" customHeight="1">
      <c r="E662" s="68"/>
      <c r="J662" s="68"/>
      <c r="L662" s="68"/>
      <c r="M662" s="68"/>
      <c r="O662" s="68"/>
      <c r="R662" s="68"/>
    </row>
    <row r="663" ht="15.75" customHeight="1">
      <c r="E663" s="68"/>
      <c r="J663" s="68"/>
      <c r="L663" s="68"/>
      <c r="M663" s="68"/>
      <c r="O663" s="68"/>
      <c r="R663" s="68"/>
    </row>
    <row r="664" ht="15.75" customHeight="1">
      <c r="E664" s="68"/>
      <c r="J664" s="68"/>
      <c r="L664" s="68"/>
      <c r="M664" s="68"/>
      <c r="O664" s="68"/>
      <c r="R664" s="68"/>
    </row>
    <row r="665" ht="15.75" customHeight="1">
      <c r="E665" s="68"/>
      <c r="J665" s="68"/>
      <c r="L665" s="68"/>
      <c r="M665" s="68"/>
      <c r="O665" s="68"/>
      <c r="R665" s="68"/>
    </row>
    <row r="666" ht="15.75" customHeight="1">
      <c r="E666" s="68"/>
      <c r="J666" s="68"/>
      <c r="L666" s="68"/>
      <c r="M666" s="68"/>
      <c r="O666" s="68"/>
      <c r="R666" s="68"/>
    </row>
    <row r="667" ht="15.75" customHeight="1">
      <c r="E667" s="68"/>
      <c r="J667" s="68"/>
      <c r="L667" s="68"/>
      <c r="M667" s="68"/>
      <c r="O667" s="68"/>
      <c r="R667" s="68"/>
    </row>
    <row r="668" ht="15.75" customHeight="1">
      <c r="E668" s="68"/>
      <c r="J668" s="68"/>
      <c r="L668" s="68"/>
      <c r="M668" s="68"/>
      <c r="O668" s="68"/>
      <c r="R668" s="68"/>
    </row>
    <row r="669" ht="15.75" customHeight="1">
      <c r="E669" s="68"/>
      <c r="J669" s="68"/>
      <c r="L669" s="68"/>
      <c r="M669" s="68"/>
      <c r="O669" s="68"/>
      <c r="R669" s="68"/>
    </row>
    <row r="670" ht="15.75" customHeight="1">
      <c r="E670" s="68"/>
      <c r="J670" s="68"/>
      <c r="L670" s="68"/>
      <c r="M670" s="68"/>
      <c r="O670" s="68"/>
      <c r="R670" s="68"/>
    </row>
    <row r="671" ht="15.75" customHeight="1">
      <c r="E671" s="68"/>
      <c r="J671" s="68"/>
      <c r="L671" s="68"/>
      <c r="M671" s="68"/>
      <c r="O671" s="68"/>
      <c r="R671" s="68"/>
    </row>
    <row r="672" ht="15.75" customHeight="1">
      <c r="E672" s="68"/>
      <c r="J672" s="68"/>
      <c r="L672" s="68"/>
      <c r="M672" s="68"/>
      <c r="O672" s="68"/>
      <c r="R672" s="68"/>
    </row>
    <row r="673" ht="15.75" customHeight="1">
      <c r="E673" s="68"/>
      <c r="J673" s="68"/>
      <c r="L673" s="68"/>
      <c r="M673" s="68"/>
      <c r="O673" s="68"/>
      <c r="R673" s="68"/>
    </row>
    <row r="674" ht="15.75" customHeight="1">
      <c r="E674" s="68"/>
      <c r="J674" s="68"/>
      <c r="L674" s="68"/>
      <c r="M674" s="68"/>
      <c r="O674" s="68"/>
      <c r="R674" s="68"/>
    </row>
    <row r="675" ht="15.75" customHeight="1">
      <c r="E675" s="68"/>
      <c r="J675" s="68"/>
      <c r="L675" s="68"/>
      <c r="M675" s="68"/>
      <c r="O675" s="68"/>
      <c r="R675" s="68"/>
    </row>
    <row r="676" ht="15.75" customHeight="1">
      <c r="E676" s="68"/>
      <c r="J676" s="68"/>
      <c r="L676" s="68"/>
      <c r="M676" s="68"/>
      <c r="O676" s="68"/>
      <c r="R676" s="68"/>
    </row>
    <row r="677" ht="15.75" customHeight="1">
      <c r="E677" s="68"/>
      <c r="J677" s="68"/>
      <c r="L677" s="68"/>
      <c r="M677" s="68"/>
      <c r="O677" s="68"/>
      <c r="R677" s="68"/>
    </row>
    <row r="678" ht="15.75" customHeight="1">
      <c r="E678" s="68"/>
      <c r="J678" s="68"/>
      <c r="L678" s="68"/>
      <c r="M678" s="68"/>
      <c r="O678" s="68"/>
      <c r="R678" s="68"/>
    </row>
    <row r="679" ht="15.75" customHeight="1">
      <c r="E679" s="68"/>
      <c r="J679" s="68"/>
      <c r="L679" s="68"/>
      <c r="M679" s="68"/>
      <c r="O679" s="68"/>
      <c r="R679" s="68"/>
    </row>
    <row r="680" ht="15.75" customHeight="1">
      <c r="E680" s="68"/>
      <c r="J680" s="68"/>
      <c r="L680" s="68"/>
      <c r="M680" s="68"/>
      <c r="O680" s="68"/>
      <c r="R680" s="68"/>
    </row>
    <row r="681" ht="15.75" customHeight="1">
      <c r="E681" s="68"/>
      <c r="J681" s="68"/>
      <c r="L681" s="68"/>
      <c r="M681" s="68"/>
      <c r="O681" s="68"/>
      <c r="R681" s="68"/>
    </row>
    <row r="682" ht="15.75" customHeight="1">
      <c r="E682" s="68"/>
      <c r="J682" s="68"/>
      <c r="L682" s="68"/>
      <c r="M682" s="68"/>
      <c r="O682" s="68"/>
      <c r="R682" s="68"/>
    </row>
    <row r="683" ht="15.75" customHeight="1">
      <c r="E683" s="68"/>
      <c r="J683" s="68"/>
      <c r="L683" s="68"/>
      <c r="M683" s="68"/>
      <c r="O683" s="68"/>
      <c r="R683" s="68"/>
    </row>
    <row r="684" ht="15.75" customHeight="1">
      <c r="E684" s="68"/>
      <c r="J684" s="68"/>
      <c r="L684" s="68"/>
      <c r="M684" s="68"/>
      <c r="O684" s="68"/>
      <c r="R684" s="68"/>
    </row>
    <row r="685" ht="15.75" customHeight="1">
      <c r="E685" s="68"/>
      <c r="J685" s="68"/>
      <c r="L685" s="68"/>
      <c r="M685" s="68"/>
      <c r="O685" s="68"/>
      <c r="R685" s="68"/>
    </row>
    <row r="686" ht="15.75" customHeight="1">
      <c r="E686" s="68"/>
      <c r="J686" s="68"/>
      <c r="L686" s="68"/>
      <c r="M686" s="68"/>
      <c r="O686" s="68"/>
      <c r="R686" s="68"/>
    </row>
    <row r="687" ht="15.75" customHeight="1">
      <c r="E687" s="68"/>
      <c r="J687" s="68"/>
      <c r="L687" s="68"/>
      <c r="M687" s="68"/>
      <c r="O687" s="68"/>
      <c r="R687" s="68"/>
    </row>
    <row r="688" ht="15.75" customHeight="1">
      <c r="E688" s="68"/>
      <c r="J688" s="68"/>
      <c r="L688" s="68"/>
      <c r="M688" s="68"/>
      <c r="O688" s="68"/>
      <c r="R688" s="68"/>
    </row>
    <row r="689" ht="15.75" customHeight="1">
      <c r="E689" s="68"/>
      <c r="J689" s="68"/>
      <c r="L689" s="68"/>
      <c r="M689" s="68"/>
      <c r="O689" s="68"/>
      <c r="R689" s="68"/>
    </row>
    <row r="690" ht="15.75" customHeight="1">
      <c r="E690" s="68"/>
      <c r="J690" s="68"/>
      <c r="L690" s="68"/>
      <c r="M690" s="68"/>
      <c r="O690" s="68"/>
      <c r="R690" s="68"/>
    </row>
    <row r="691" ht="15.75" customHeight="1">
      <c r="E691" s="68"/>
      <c r="J691" s="68"/>
      <c r="L691" s="68"/>
      <c r="M691" s="68"/>
      <c r="O691" s="68"/>
      <c r="R691" s="68"/>
    </row>
    <row r="692" ht="15.75" customHeight="1">
      <c r="E692" s="68"/>
      <c r="J692" s="68"/>
      <c r="L692" s="68"/>
      <c r="M692" s="68"/>
      <c r="O692" s="68"/>
      <c r="R692" s="68"/>
    </row>
    <row r="693" ht="15.75" customHeight="1">
      <c r="E693" s="68"/>
      <c r="J693" s="68"/>
      <c r="L693" s="68"/>
      <c r="M693" s="68"/>
      <c r="O693" s="68"/>
      <c r="R693" s="68"/>
    </row>
    <row r="694" ht="15.75" customHeight="1">
      <c r="E694" s="68"/>
      <c r="J694" s="68"/>
      <c r="L694" s="68"/>
      <c r="M694" s="68"/>
      <c r="O694" s="68"/>
      <c r="R694" s="68"/>
    </row>
    <row r="695" ht="15.75" customHeight="1">
      <c r="E695" s="68"/>
      <c r="J695" s="68"/>
      <c r="L695" s="68"/>
      <c r="M695" s="68"/>
      <c r="O695" s="68"/>
      <c r="R695" s="68"/>
    </row>
    <row r="696" ht="15.75" customHeight="1">
      <c r="E696" s="68"/>
      <c r="J696" s="68"/>
      <c r="L696" s="68"/>
      <c r="M696" s="68"/>
      <c r="O696" s="68"/>
      <c r="R696" s="68"/>
    </row>
    <row r="697" ht="15.75" customHeight="1">
      <c r="E697" s="68"/>
      <c r="J697" s="68"/>
      <c r="L697" s="68"/>
      <c r="M697" s="68"/>
      <c r="O697" s="68"/>
      <c r="R697" s="68"/>
    </row>
    <row r="698" ht="15.75" customHeight="1">
      <c r="E698" s="68"/>
      <c r="J698" s="68"/>
      <c r="L698" s="68"/>
      <c r="M698" s="68"/>
      <c r="O698" s="68"/>
      <c r="R698" s="68"/>
    </row>
    <row r="699" ht="15.75" customHeight="1">
      <c r="E699" s="68"/>
      <c r="J699" s="68"/>
      <c r="L699" s="68"/>
      <c r="M699" s="68"/>
      <c r="O699" s="68"/>
      <c r="R699" s="68"/>
    </row>
    <row r="700" ht="15.75" customHeight="1">
      <c r="E700" s="68"/>
      <c r="J700" s="68"/>
      <c r="L700" s="68"/>
      <c r="M700" s="68"/>
      <c r="O700" s="68"/>
      <c r="R700" s="68"/>
    </row>
    <row r="701" ht="15.75" customHeight="1">
      <c r="E701" s="68"/>
      <c r="J701" s="68"/>
      <c r="L701" s="68"/>
      <c r="M701" s="68"/>
      <c r="O701" s="68"/>
      <c r="R701" s="68"/>
    </row>
    <row r="702" ht="15.75" customHeight="1">
      <c r="E702" s="68"/>
      <c r="J702" s="68"/>
      <c r="L702" s="68"/>
      <c r="M702" s="68"/>
      <c r="O702" s="68"/>
      <c r="R702" s="68"/>
    </row>
    <row r="703" ht="15.75" customHeight="1">
      <c r="E703" s="68"/>
      <c r="J703" s="68"/>
      <c r="L703" s="68"/>
      <c r="M703" s="68"/>
      <c r="O703" s="68"/>
      <c r="R703" s="68"/>
    </row>
    <row r="704" ht="15.75" customHeight="1">
      <c r="E704" s="68"/>
      <c r="J704" s="68"/>
      <c r="L704" s="68"/>
      <c r="M704" s="68"/>
      <c r="O704" s="68"/>
      <c r="R704" s="68"/>
    </row>
    <row r="705" ht="15.75" customHeight="1">
      <c r="E705" s="68"/>
      <c r="J705" s="68"/>
      <c r="L705" s="68"/>
      <c r="M705" s="68"/>
      <c r="O705" s="68"/>
      <c r="R705" s="68"/>
    </row>
    <row r="706" ht="15.75" customHeight="1">
      <c r="E706" s="68"/>
      <c r="J706" s="68"/>
      <c r="L706" s="68"/>
      <c r="M706" s="68"/>
      <c r="O706" s="68"/>
      <c r="R706" s="68"/>
    </row>
    <row r="707" ht="15.75" customHeight="1">
      <c r="E707" s="68"/>
      <c r="J707" s="68"/>
      <c r="L707" s="68"/>
      <c r="M707" s="68"/>
      <c r="O707" s="68"/>
      <c r="R707" s="68"/>
    </row>
    <row r="708" ht="15.75" customHeight="1">
      <c r="E708" s="68"/>
      <c r="J708" s="68"/>
      <c r="L708" s="68"/>
      <c r="M708" s="68"/>
      <c r="O708" s="68"/>
      <c r="R708" s="68"/>
    </row>
    <row r="709" ht="15.75" customHeight="1">
      <c r="E709" s="68"/>
      <c r="J709" s="68"/>
      <c r="L709" s="68"/>
      <c r="M709" s="68"/>
      <c r="O709" s="68"/>
      <c r="R709" s="68"/>
    </row>
    <row r="710" ht="15.75" customHeight="1">
      <c r="E710" s="68"/>
      <c r="J710" s="68"/>
      <c r="L710" s="68"/>
      <c r="M710" s="68"/>
      <c r="O710" s="68"/>
      <c r="R710" s="68"/>
    </row>
    <row r="711" ht="15.75" customHeight="1">
      <c r="E711" s="68"/>
      <c r="J711" s="68"/>
      <c r="L711" s="68"/>
      <c r="M711" s="68"/>
      <c r="O711" s="68"/>
      <c r="R711" s="68"/>
    </row>
    <row r="712" ht="15.75" customHeight="1">
      <c r="E712" s="68"/>
      <c r="J712" s="68"/>
      <c r="L712" s="68"/>
      <c r="M712" s="68"/>
      <c r="O712" s="68"/>
      <c r="R712" s="68"/>
    </row>
    <row r="713" ht="15.75" customHeight="1">
      <c r="E713" s="68"/>
      <c r="J713" s="68"/>
      <c r="L713" s="68"/>
      <c r="M713" s="68"/>
      <c r="O713" s="68"/>
      <c r="R713" s="68"/>
    </row>
    <row r="714" ht="15.75" customHeight="1">
      <c r="E714" s="68"/>
      <c r="J714" s="68"/>
      <c r="L714" s="68"/>
      <c r="M714" s="68"/>
      <c r="O714" s="68"/>
      <c r="R714" s="68"/>
    </row>
    <row r="715" ht="15.75" customHeight="1">
      <c r="E715" s="68"/>
      <c r="J715" s="68"/>
      <c r="L715" s="68"/>
      <c r="M715" s="68"/>
      <c r="O715" s="68"/>
      <c r="R715" s="68"/>
    </row>
    <row r="716" ht="15.75" customHeight="1">
      <c r="E716" s="68"/>
      <c r="J716" s="68"/>
      <c r="L716" s="68"/>
      <c r="M716" s="68"/>
      <c r="O716" s="68"/>
      <c r="R716" s="68"/>
    </row>
    <row r="717" ht="15.75" customHeight="1">
      <c r="E717" s="68"/>
      <c r="J717" s="68"/>
      <c r="L717" s="68"/>
      <c r="M717" s="68"/>
      <c r="O717" s="68"/>
      <c r="R717" s="68"/>
    </row>
    <row r="718" ht="15.75" customHeight="1">
      <c r="E718" s="68"/>
      <c r="J718" s="68"/>
      <c r="L718" s="68"/>
      <c r="M718" s="68"/>
      <c r="O718" s="68"/>
      <c r="R718" s="68"/>
    </row>
    <row r="719" ht="15.75" customHeight="1">
      <c r="E719" s="68"/>
      <c r="J719" s="68"/>
      <c r="L719" s="68"/>
      <c r="M719" s="68"/>
      <c r="O719" s="68"/>
      <c r="R719" s="68"/>
    </row>
    <row r="720" ht="15.75" customHeight="1">
      <c r="E720" s="68"/>
      <c r="J720" s="68"/>
      <c r="L720" s="68"/>
      <c r="M720" s="68"/>
      <c r="O720" s="68"/>
      <c r="R720" s="68"/>
    </row>
    <row r="721" ht="15.75" customHeight="1">
      <c r="E721" s="68"/>
      <c r="J721" s="68"/>
      <c r="L721" s="68"/>
      <c r="M721" s="68"/>
      <c r="O721" s="68"/>
      <c r="R721" s="68"/>
    </row>
    <row r="722" ht="15.75" customHeight="1">
      <c r="E722" s="68"/>
      <c r="J722" s="68"/>
      <c r="L722" s="68"/>
      <c r="M722" s="68"/>
      <c r="O722" s="68"/>
      <c r="R722" s="68"/>
    </row>
    <row r="723" ht="15.75" customHeight="1">
      <c r="E723" s="68"/>
      <c r="J723" s="68"/>
      <c r="L723" s="68"/>
      <c r="M723" s="68"/>
      <c r="O723" s="68"/>
      <c r="R723" s="68"/>
    </row>
    <row r="724" ht="15.75" customHeight="1">
      <c r="E724" s="68"/>
      <c r="J724" s="68"/>
      <c r="L724" s="68"/>
      <c r="M724" s="68"/>
      <c r="O724" s="68"/>
      <c r="R724" s="68"/>
    </row>
    <row r="725" ht="15.75" customHeight="1">
      <c r="E725" s="68"/>
      <c r="J725" s="68"/>
      <c r="L725" s="68"/>
      <c r="M725" s="68"/>
      <c r="O725" s="68"/>
      <c r="R725" s="68"/>
    </row>
    <row r="726" ht="15.75" customHeight="1">
      <c r="E726" s="68"/>
      <c r="J726" s="68"/>
      <c r="L726" s="68"/>
      <c r="M726" s="68"/>
      <c r="O726" s="68"/>
      <c r="R726" s="68"/>
    </row>
    <row r="727" ht="15.75" customHeight="1">
      <c r="E727" s="68"/>
      <c r="J727" s="68"/>
      <c r="L727" s="68"/>
      <c r="M727" s="68"/>
      <c r="O727" s="68"/>
      <c r="R727" s="68"/>
    </row>
    <row r="728" ht="15.75" customHeight="1">
      <c r="E728" s="68"/>
      <c r="J728" s="68"/>
      <c r="L728" s="68"/>
      <c r="M728" s="68"/>
      <c r="O728" s="68"/>
      <c r="R728" s="68"/>
    </row>
    <row r="729" ht="15.75" customHeight="1">
      <c r="E729" s="68"/>
      <c r="J729" s="68"/>
      <c r="L729" s="68"/>
      <c r="M729" s="68"/>
      <c r="O729" s="68"/>
      <c r="R729" s="68"/>
    </row>
    <row r="730" ht="15.75" customHeight="1">
      <c r="E730" s="68"/>
      <c r="J730" s="68"/>
      <c r="L730" s="68"/>
      <c r="M730" s="68"/>
      <c r="O730" s="68"/>
      <c r="R730" s="68"/>
    </row>
    <row r="731" ht="15.75" customHeight="1">
      <c r="E731" s="68"/>
      <c r="J731" s="68"/>
      <c r="L731" s="68"/>
      <c r="M731" s="68"/>
      <c r="O731" s="68"/>
      <c r="R731" s="68"/>
    </row>
    <row r="732" ht="15.75" customHeight="1">
      <c r="E732" s="68"/>
      <c r="J732" s="68"/>
      <c r="L732" s="68"/>
      <c r="M732" s="68"/>
      <c r="O732" s="68"/>
      <c r="R732" s="68"/>
    </row>
    <row r="733" ht="15.75" customHeight="1">
      <c r="E733" s="68"/>
      <c r="J733" s="68"/>
      <c r="L733" s="68"/>
      <c r="M733" s="68"/>
      <c r="O733" s="68"/>
      <c r="R733" s="68"/>
    </row>
    <row r="734" ht="15.75" customHeight="1">
      <c r="E734" s="68"/>
      <c r="J734" s="68"/>
      <c r="L734" s="68"/>
      <c r="M734" s="68"/>
      <c r="O734" s="68"/>
      <c r="R734" s="68"/>
    </row>
    <row r="735" ht="15.75" customHeight="1">
      <c r="E735" s="68"/>
      <c r="J735" s="68"/>
      <c r="L735" s="68"/>
      <c r="M735" s="68"/>
      <c r="O735" s="68"/>
      <c r="R735" s="68"/>
    </row>
    <row r="736" ht="15.75" customHeight="1">
      <c r="E736" s="68"/>
      <c r="J736" s="68"/>
      <c r="L736" s="68"/>
      <c r="M736" s="68"/>
      <c r="O736" s="68"/>
      <c r="R736" s="68"/>
    </row>
    <row r="737" ht="15.75" customHeight="1">
      <c r="E737" s="68"/>
      <c r="J737" s="68"/>
      <c r="L737" s="68"/>
      <c r="M737" s="68"/>
      <c r="O737" s="68"/>
      <c r="R737" s="68"/>
    </row>
    <row r="738" ht="15.75" customHeight="1">
      <c r="E738" s="68"/>
      <c r="J738" s="68"/>
      <c r="L738" s="68"/>
      <c r="M738" s="68"/>
      <c r="O738" s="68"/>
      <c r="R738" s="68"/>
    </row>
    <row r="739" ht="15.75" customHeight="1">
      <c r="E739" s="68"/>
      <c r="J739" s="68"/>
      <c r="L739" s="68"/>
      <c r="M739" s="68"/>
      <c r="O739" s="68"/>
      <c r="R739" s="68"/>
    </row>
    <row r="740" ht="15.75" customHeight="1">
      <c r="E740" s="68"/>
      <c r="J740" s="68"/>
      <c r="L740" s="68"/>
      <c r="M740" s="68"/>
      <c r="O740" s="68"/>
      <c r="R740" s="68"/>
    </row>
    <row r="741" ht="15.75" customHeight="1">
      <c r="E741" s="68"/>
      <c r="J741" s="68"/>
      <c r="L741" s="68"/>
      <c r="M741" s="68"/>
      <c r="O741" s="68"/>
      <c r="R741" s="68"/>
    </row>
    <row r="742" ht="15.75" customHeight="1">
      <c r="E742" s="68"/>
      <c r="J742" s="68"/>
      <c r="L742" s="68"/>
      <c r="M742" s="68"/>
      <c r="O742" s="68"/>
      <c r="R742" s="68"/>
    </row>
    <row r="743" ht="15.75" customHeight="1">
      <c r="E743" s="68"/>
      <c r="J743" s="68"/>
      <c r="L743" s="68"/>
      <c r="M743" s="68"/>
      <c r="O743" s="68"/>
      <c r="R743" s="68"/>
    </row>
    <row r="744" ht="15.75" customHeight="1">
      <c r="E744" s="68"/>
      <c r="J744" s="68"/>
      <c r="L744" s="68"/>
      <c r="M744" s="68"/>
      <c r="O744" s="68"/>
      <c r="R744" s="68"/>
    </row>
    <row r="745" ht="15.75" customHeight="1">
      <c r="E745" s="68"/>
      <c r="J745" s="68"/>
      <c r="L745" s="68"/>
      <c r="M745" s="68"/>
      <c r="O745" s="68"/>
      <c r="R745" s="68"/>
    </row>
    <row r="746" ht="15.75" customHeight="1">
      <c r="E746" s="68"/>
      <c r="J746" s="68"/>
      <c r="L746" s="68"/>
      <c r="M746" s="68"/>
      <c r="O746" s="68"/>
      <c r="R746" s="68"/>
    </row>
    <row r="747" ht="15.75" customHeight="1">
      <c r="E747" s="68"/>
      <c r="J747" s="68"/>
      <c r="L747" s="68"/>
      <c r="M747" s="68"/>
      <c r="O747" s="68"/>
      <c r="R747" s="68"/>
    </row>
    <row r="748" ht="15.75" customHeight="1">
      <c r="E748" s="68"/>
      <c r="J748" s="68"/>
      <c r="L748" s="68"/>
      <c r="M748" s="68"/>
      <c r="O748" s="68"/>
      <c r="R748" s="68"/>
    </row>
    <row r="749" ht="15.75" customHeight="1">
      <c r="E749" s="68"/>
      <c r="J749" s="68"/>
      <c r="L749" s="68"/>
      <c r="M749" s="68"/>
      <c r="O749" s="68"/>
      <c r="R749" s="68"/>
    </row>
    <row r="750" ht="15.75" customHeight="1">
      <c r="E750" s="68"/>
      <c r="J750" s="68"/>
      <c r="L750" s="68"/>
      <c r="M750" s="68"/>
      <c r="O750" s="68"/>
      <c r="R750" s="68"/>
    </row>
    <row r="751" ht="15.75" customHeight="1">
      <c r="E751" s="68"/>
      <c r="J751" s="68"/>
      <c r="L751" s="68"/>
      <c r="M751" s="68"/>
      <c r="O751" s="68"/>
      <c r="R751" s="68"/>
    </row>
    <row r="752" ht="15.75" customHeight="1">
      <c r="E752" s="68"/>
      <c r="J752" s="68"/>
      <c r="L752" s="68"/>
      <c r="M752" s="68"/>
      <c r="O752" s="68"/>
      <c r="R752" s="68"/>
    </row>
    <row r="753" ht="15.75" customHeight="1">
      <c r="E753" s="68"/>
      <c r="J753" s="68"/>
      <c r="L753" s="68"/>
      <c r="M753" s="68"/>
      <c r="O753" s="68"/>
      <c r="R753" s="68"/>
    </row>
    <row r="754" ht="15.75" customHeight="1">
      <c r="E754" s="68"/>
      <c r="J754" s="68"/>
      <c r="L754" s="68"/>
      <c r="M754" s="68"/>
      <c r="O754" s="68"/>
      <c r="R754" s="68"/>
    </row>
    <row r="755" ht="15.75" customHeight="1">
      <c r="E755" s="68"/>
      <c r="J755" s="68"/>
      <c r="L755" s="68"/>
      <c r="M755" s="68"/>
      <c r="O755" s="68"/>
      <c r="R755" s="68"/>
    </row>
    <row r="756" ht="15.75" customHeight="1">
      <c r="E756" s="68"/>
      <c r="J756" s="68"/>
      <c r="L756" s="68"/>
      <c r="M756" s="68"/>
      <c r="O756" s="68"/>
      <c r="R756" s="68"/>
    </row>
    <row r="757" ht="15.75" customHeight="1">
      <c r="E757" s="68"/>
      <c r="J757" s="68"/>
      <c r="L757" s="68"/>
      <c r="M757" s="68"/>
      <c r="O757" s="68"/>
      <c r="R757" s="68"/>
    </row>
    <row r="758" ht="15.75" customHeight="1">
      <c r="E758" s="68"/>
      <c r="J758" s="68"/>
      <c r="L758" s="68"/>
      <c r="M758" s="68"/>
      <c r="O758" s="68"/>
      <c r="R758" s="68"/>
    </row>
    <row r="759" ht="15.75" customHeight="1">
      <c r="E759" s="68"/>
      <c r="J759" s="68"/>
      <c r="L759" s="68"/>
      <c r="M759" s="68"/>
      <c r="O759" s="68"/>
      <c r="R759" s="68"/>
    </row>
    <row r="760" ht="15.75" customHeight="1">
      <c r="E760" s="68"/>
      <c r="J760" s="68"/>
      <c r="L760" s="68"/>
      <c r="M760" s="68"/>
      <c r="O760" s="68"/>
      <c r="R760" s="68"/>
    </row>
    <row r="761" ht="15.75" customHeight="1">
      <c r="E761" s="68"/>
      <c r="J761" s="68"/>
      <c r="L761" s="68"/>
      <c r="M761" s="68"/>
      <c r="O761" s="68"/>
      <c r="R761" s="68"/>
    </row>
    <row r="762" ht="15.75" customHeight="1">
      <c r="E762" s="68"/>
      <c r="J762" s="68"/>
      <c r="L762" s="68"/>
      <c r="M762" s="68"/>
      <c r="O762" s="68"/>
      <c r="R762" s="68"/>
    </row>
    <row r="763" ht="15.75" customHeight="1">
      <c r="E763" s="68"/>
      <c r="J763" s="68"/>
      <c r="L763" s="68"/>
      <c r="M763" s="68"/>
      <c r="O763" s="68"/>
      <c r="R763" s="68"/>
    </row>
    <row r="764" ht="15.75" customHeight="1">
      <c r="E764" s="68"/>
      <c r="J764" s="68"/>
      <c r="L764" s="68"/>
      <c r="M764" s="68"/>
      <c r="O764" s="68"/>
      <c r="R764" s="68"/>
    </row>
    <row r="765" ht="15.75" customHeight="1">
      <c r="E765" s="68"/>
      <c r="J765" s="68"/>
      <c r="L765" s="68"/>
      <c r="M765" s="68"/>
      <c r="O765" s="68"/>
      <c r="R765" s="68"/>
    </row>
    <row r="766" ht="15.75" customHeight="1">
      <c r="E766" s="68"/>
      <c r="J766" s="68"/>
      <c r="L766" s="68"/>
      <c r="M766" s="68"/>
      <c r="O766" s="68"/>
      <c r="R766" s="68"/>
    </row>
    <row r="767" ht="15.75" customHeight="1">
      <c r="E767" s="68"/>
      <c r="J767" s="68"/>
      <c r="L767" s="68"/>
      <c r="M767" s="68"/>
      <c r="O767" s="68"/>
      <c r="R767" s="68"/>
    </row>
    <row r="768" ht="15.75" customHeight="1">
      <c r="E768" s="68"/>
      <c r="J768" s="68"/>
      <c r="L768" s="68"/>
      <c r="M768" s="68"/>
      <c r="O768" s="68"/>
      <c r="R768" s="68"/>
    </row>
    <row r="769" ht="15.75" customHeight="1">
      <c r="E769" s="68"/>
      <c r="J769" s="68"/>
      <c r="L769" s="68"/>
      <c r="M769" s="68"/>
      <c r="O769" s="68"/>
      <c r="R769" s="68"/>
    </row>
    <row r="770" ht="15.75" customHeight="1">
      <c r="E770" s="68"/>
      <c r="J770" s="68"/>
      <c r="L770" s="68"/>
      <c r="M770" s="68"/>
      <c r="O770" s="68"/>
      <c r="R770" s="68"/>
    </row>
    <row r="771" ht="15.75" customHeight="1">
      <c r="E771" s="68"/>
      <c r="J771" s="68"/>
      <c r="L771" s="68"/>
      <c r="M771" s="68"/>
      <c r="O771" s="68"/>
      <c r="R771" s="68"/>
    </row>
    <row r="772" ht="15.75" customHeight="1">
      <c r="E772" s="68"/>
      <c r="J772" s="68"/>
      <c r="L772" s="68"/>
      <c r="M772" s="68"/>
      <c r="O772" s="68"/>
      <c r="R772" s="68"/>
    </row>
    <row r="773" ht="15.75" customHeight="1">
      <c r="E773" s="68"/>
      <c r="J773" s="68"/>
      <c r="L773" s="68"/>
      <c r="M773" s="68"/>
      <c r="O773" s="68"/>
      <c r="R773" s="68"/>
    </row>
    <row r="774" ht="15.75" customHeight="1">
      <c r="E774" s="68"/>
      <c r="J774" s="68"/>
      <c r="L774" s="68"/>
      <c r="M774" s="68"/>
      <c r="O774" s="68"/>
      <c r="R774" s="68"/>
    </row>
    <row r="775" ht="15.75" customHeight="1">
      <c r="E775" s="68"/>
      <c r="J775" s="68"/>
      <c r="L775" s="68"/>
      <c r="M775" s="68"/>
      <c r="O775" s="68"/>
      <c r="R775" s="68"/>
    </row>
    <row r="776" ht="15.75" customHeight="1">
      <c r="E776" s="68"/>
      <c r="J776" s="68"/>
      <c r="L776" s="68"/>
      <c r="M776" s="68"/>
      <c r="O776" s="68"/>
      <c r="R776" s="68"/>
    </row>
    <row r="777" ht="15.75" customHeight="1">
      <c r="E777" s="68"/>
      <c r="J777" s="68"/>
      <c r="L777" s="68"/>
      <c r="M777" s="68"/>
      <c r="O777" s="68"/>
      <c r="R777" s="68"/>
    </row>
    <row r="778" ht="15.75" customHeight="1">
      <c r="E778" s="68"/>
      <c r="J778" s="68"/>
      <c r="L778" s="68"/>
      <c r="M778" s="68"/>
      <c r="O778" s="68"/>
      <c r="R778" s="68"/>
    </row>
    <row r="779" ht="15.75" customHeight="1">
      <c r="E779" s="68"/>
      <c r="J779" s="68"/>
      <c r="L779" s="68"/>
      <c r="M779" s="68"/>
      <c r="O779" s="68"/>
      <c r="R779" s="68"/>
    </row>
    <row r="780" ht="15.75" customHeight="1">
      <c r="E780" s="68"/>
      <c r="J780" s="68"/>
      <c r="L780" s="68"/>
      <c r="M780" s="68"/>
      <c r="O780" s="68"/>
      <c r="R780" s="68"/>
    </row>
    <row r="781" ht="15.75" customHeight="1">
      <c r="E781" s="68"/>
      <c r="J781" s="68"/>
      <c r="L781" s="68"/>
      <c r="M781" s="68"/>
      <c r="O781" s="68"/>
      <c r="R781" s="68"/>
    </row>
    <row r="782" ht="15.75" customHeight="1">
      <c r="E782" s="68"/>
      <c r="J782" s="68"/>
      <c r="L782" s="68"/>
      <c r="M782" s="68"/>
      <c r="O782" s="68"/>
      <c r="R782" s="68"/>
    </row>
    <row r="783" ht="15.75" customHeight="1">
      <c r="E783" s="68"/>
      <c r="J783" s="68"/>
      <c r="L783" s="68"/>
      <c r="M783" s="68"/>
      <c r="O783" s="68"/>
      <c r="R783" s="68"/>
    </row>
    <row r="784" ht="15.75" customHeight="1">
      <c r="E784" s="68"/>
      <c r="J784" s="68"/>
      <c r="L784" s="68"/>
      <c r="M784" s="68"/>
      <c r="O784" s="68"/>
      <c r="R784" s="68"/>
    </row>
    <row r="785" ht="15.75" customHeight="1">
      <c r="E785" s="68"/>
      <c r="J785" s="68"/>
      <c r="L785" s="68"/>
      <c r="M785" s="68"/>
      <c r="O785" s="68"/>
      <c r="R785" s="68"/>
    </row>
    <row r="786" ht="15.75" customHeight="1">
      <c r="E786" s="68"/>
      <c r="J786" s="68"/>
      <c r="L786" s="68"/>
      <c r="M786" s="68"/>
      <c r="O786" s="68"/>
      <c r="R786" s="68"/>
    </row>
    <row r="787" ht="15.75" customHeight="1">
      <c r="E787" s="68"/>
      <c r="J787" s="68"/>
      <c r="L787" s="68"/>
      <c r="M787" s="68"/>
      <c r="O787" s="68"/>
      <c r="R787" s="68"/>
    </row>
    <row r="788" ht="15.75" customHeight="1">
      <c r="E788" s="68"/>
      <c r="J788" s="68"/>
      <c r="L788" s="68"/>
      <c r="M788" s="68"/>
      <c r="O788" s="68"/>
      <c r="R788" s="68"/>
    </row>
    <row r="789" ht="15.75" customHeight="1">
      <c r="E789" s="68"/>
      <c r="J789" s="68"/>
      <c r="L789" s="68"/>
      <c r="M789" s="68"/>
      <c r="O789" s="68"/>
      <c r="R789" s="68"/>
    </row>
    <row r="790" ht="15.75" customHeight="1">
      <c r="E790" s="68"/>
      <c r="J790" s="68"/>
      <c r="L790" s="68"/>
      <c r="M790" s="68"/>
      <c r="O790" s="68"/>
      <c r="R790" s="68"/>
    </row>
    <row r="791" ht="15.75" customHeight="1">
      <c r="E791" s="68"/>
      <c r="J791" s="68"/>
      <c r="L791" s="68"/>
      <c r="M791" s="68"/>
      <c r="O791" s="68"/>
      <c r="R791" s="68"/>
    </row>
    <row r="792" ht="15.75" customHeight="1">
      <c r="E792" s="68"/>
      <c r="J792" s="68"/>
      <c r="L792" s="68"/>
      <c r="M792" s="68"/>
      <c r="O792" s="68"/>
      <c r="R792" s="68"/>
    </row>
    <row r="793" ht="15.75" customHeight="1">
      <c r="E793" s="68"/>
      <c r="J793" s="68"/>
      <c r="L793" s="68"/>
      <c r="M793" s="68"/>
      <c r="O793" s="68"/>
      <c r="R793" s="68"/>
    </row>
    <row r="794" ht="15.75" customHeight="1">
      <c r="E794" s="68"/>
      <c r="J794" s="68"/>
      <c r="L794" s="68"/>
      <c r="M794" s="68"/>
      <c r="O794" s="68"/>
      <c r="R794" s="68"/>
    </row>
    <row r="795" ht="15.75" customHeight="1">
      <c r="E795" s="68"/>
      <c r="J795" s="68"/>
      <c r="L795" s="68"/>
      <c r="M795" s="68"/>
      <c r="O795" s="68"/>
      <c r="R795" s="68"/>
    </row>
    <row r="796" ht="15.75" customHeight="1">
      <c r="E796" s="68"/>
      <c r="J796" s="68"/>
      <c r="L796" s="68"/>
      <c r="M796" s="68"/>
      <c r="O796" s="68"/>
      <c r="R796" s="68"/>
    </row>
    <row r="797" ht="15.75" customHeight="1">
      <c r="E797" s="68"/>
      <c r="J797" s="68"/>
      <c r="L797" s="68"/>
      <c r="M797" s="68"/>
      <c r="O797" s="68"/>
      <c r="R797" s="68"/>
    </row>
    <row r="798" ht="15.75" customHeight="1">
      <c r="E798" s="68"/>
      <c r="J798" s="68"/>
      <c r="L798" s="68"/>
      <c r="M798" s="68"/>
      <c r="O798" s="68"/>
      <c r="R798" s="68"/>
    </row>
    <row r="799" ht="15.75" customHeight="1">
      <c r="E799" s="68"/>
      <c r="J799" s="68"/>
      <c r="L799" s="68"/>
      <c r="M799" s="68"/>
      <c r="O799" s="68"/>
      <c r="R799" s="68"/>
    </row>
    <row r="800" ht="15.75" customHeight="1">
      <c r="E800" s="68"/>
      <c r="J800" s="68"/>
      <c r="L800" s="68"/>
      <c r="M800" s="68"/>
      <c r="O800" s="68"/>
      <c r="R800" s="68"/>
    </row>
    <row r="801" ht="15.75" customHeight="1">
      <c r="E801" s="68"/>
      <c r="J801" s="68"/>
      <c r="L801" s="68"/>
      <c r="M801" s="68"/>
      <c r="O801" s="68"/>
      <c r="R801" s="68"/>
    </row>
    <row r="802" ht="15.75" customHeight="1">
      <c r="E802" s="68"/>
      <c r="J802" s="68"/>
      <c r="L802" s="68"/>
      <c r="M802" s="68"/>
      <c r="O802" s="68"/>
      <c r="R802" s="68"/>
    </row>
    <row r="803" ht="15.75" customHeight="1">
      <c r="E803" s="68"/>
      <c r="J803" s="68"/>
      <c r="L803" s="68"/>
      <c r="M803" s="68"/>
      <c r="O803" s="68"/>
      <c r="R803" s="68"/>
    </row>
    <row r="804" ht="15.75" customHeight="1">
      <c r="E804" s="68"/>
      <c r="J804" s="68"/>
      <c r="L804" s="68"/>
      <c r="M804" s="68"/>
      <c r="O804" s="68"/>
      <c r="R804" s="68"/>
    </row>
    <row r="805" ht="15.75" customHeight="1">
      <c r="E805" s="68"/>
      <c r="J805" s="68"/>
      <c r="L805" s="68"/>
      <c r="M805" s="68"/>
      <c r="O805" s="68"/>
      <c r="R805" s="68"/>
    </row>
    <row r="806" ht="15.75" customHeight="1">
      <c r="E806" s="68"/>
      <c r="J806" s="68"/>
      <c r="L806" s="68"/>
      <c r="M806" s="68"/>
      <c r="O806" s="68"/>
      <c r="R806" s="68"/>
    </row>
    <row r="807" ht="15.75" customHeight="1">
      <c r="E807" s="68"/>
      <c r="J807" s="68"/>
      <c r="L807" s="68"/>
      <c r="M807" s="68"/>
      <c r="O807" s="68"/>
      <c r="R807" s="68"/>
    </row>
    <row r="808" ht="15.75" customHeight="1">
      <c r="E808" s="68"/>
      <c r="J808" s="68"/>
      <c r="L808" s="68"/>
      <c r="M808" s="68"/>
      <c r="O808" s="68"/>
      <c r="R808" s="68"/>
    </row>
    <row r="809" ht="15.75" customHeight="1">
      <c r="E809" s="68"/>
      <c r="J809" s="68"/>
      <c r="L809" s="68"/>
      <c r="M809" s="68"/>
      <c r="O809" s="68"/>
      <c r="R809" s="68"/>
    </row>
    <row r="810" ht="15.75" customHeight="1">
      <c r="E810" s="68"/>
      <c r="J810" s="68"/>
      <c r="L810" s="68"/>
      <c r="M810" s="68"/>
      <c r="O810" s="68"/>
      <c r="R810" s="68"/>
    </row>
    <row r="811" ht="15.75" customHeight="1">
      <c r="E811" s="68"/>
      <c r="J811" s="68"/>
      <c r="L811" s="68"/>
      <c r="M811" s="68"/>
      <c r="O811" s="68"/>
      <c r="R811" s="68"/>
    </row>
    <row r="812" ht="15.75" customHeight="1">
      <c r="E812" s="68"/>
      <c r="J812" s="68"/>
      <c r="L812" s="68"/>
      <c r="M812" s="68"/>
      <c r="O812" s="68"/>
      <c r="R812" s="68"/>
    </row>
    <row r="813" ht="15.75" customHeight="1">
      <c r="E813" s="68"/>
      <c r="J813" s="68"/>
      <c r="L813" s="68"/>
      <c r="M813" s="68"/>
      <c r="O813" s="68"/>
      <c r="R813" s="68"/>
    </row>
    <row r="814" ht="15.75" customHeight="1">
      <c r="E814" s="68"/>
      <c r="J814" s="68"/>
      <c r="L814" s="68"/>
      <c r="M814" s="68"/>
      <c r="O814" s="68"/>
      <c r="R814" s="68"/>
    </row>
    <row r="815" ht="15.75" customHeight="1">
      <c r="E815" s="68"/>
      <c r="J815" s="68"/>
      <c r="L815" s="68"/>
      <c r="M815" s="68"/>
      <c r="O815" s="68"/>
      <c r="R815" s="68"/>
    </row>
    <row r="816" ht="15.75" customHeight="1">
      <c r="E816" s="68"/>
      <c r="J816" s="68"/>
      <c r="L816" s="68"/>
      <c r="M816" s="68"/>
      <c r="O816" s="68"/>
      <c r="R816" s="68"/>
    </row>
    <row r="817" ht="15.75" customHeight="1">
      <c r="E817" s="68"/>
      <c r="J817" s="68"/>
      <c r="L817" s="68"/>
      <c r="M817" s="68"/>
      <c r="O817" s="68"/>
      <c r="R817" s="68"/>
    </row>
    <row r="818" ht="15.75" customHeight="1">
      <c r="E818" s="68"/>
      <c r="J818" s="68"/>
      <c r="L818" s="68"/>
      <c r="M818" s="68"/>
      <c r="O818" s="68"/>
      <c r="R818" s="68"/>
    </row>
    <row r="819" ht="15.75" customHeight="1">
      <c r="E819" s="68"/>
      <c r="J819" s="68"/>
      <c r="L819" s="68"/>
      <c r="M819" s="68"/>
      <c r="O819" s="68"/>
      <c r="R819" s="68"/>
    </row>
    <row r="820" ht="15.75" customHeight="1">
      <c r="E820" s="68"/>
      <c r="J820" s="68"/>
      <c r="L820" s="68"/>
      <c r="M820" s="68"/>
      <c r="O820" s="68"/>
      <c r="R820" s="68"/>
    </row>
    <row r="821" ht="15.75" customHeight="1">
      <c r="E821" s="68"/>
      <c r="J821" s="68"/>
      <c r="L821" s="68"/>
      <c r="M821" s="68"/>
      <c r="O821" s="68"/>
      <c r="R821" s="68"/>
    </row>
    <row r="822" ht="15.75" customHeight="1">
      <c r="E822" s="68"/>
      <c r="J822" s="68"/>
      <c r="L822" s="68"/>
      <c r="M822" s="68"/>
      <c r="O822" s="68"/>
      <c r="R822" s="68"/>
    </row>
    <row r="823" ht="15.75" customHeight="1">
      <c r="E823" s="68"/>
      <c r="J823" s="68"/>
      <c r="L823" s="68"/>
      <c r="M823" s="68"/>
      <c r="O823" s="68"/>
      <c r="R823" s="68"/>
    </row>
    <row r="824" ht="15.75" customHeight="1">
      <c r="E824" s="68"/>
      <c r="J824" s="68"/>
      <c r="L824" s="68"/>
      <c r="M824" s="68"/>
      <c r="O824" s="68"/>
      <c r="R824" s="68"/>
    </row>
    <row r="825" ht="15.75" customHeight="1">
      <c r="E825" s="68"/>
      <c r="J825" s="68"/>
      <c r="L825" s="68"/>
      <c r="M825" s="68"/>
      <c r="O825" s="68"/>
      <c r="R825" s="68"/>
    </row>
    <row r="826" ht="15.75" customHeight="1">
      <c r="E826" s="68"/>
      <c r="J826" s="68"/>
      <c r="L826" s="68"/>
      <c r="M826" s="68"/>
      <c r="O826" s="68"/>
      <c r="R826" s="68"/>
    </row>
    <row r="827" ht="15.75" customHeight="1">
      <c r="E827" s="68"/>
      <c r="J827" s="68"/>
      <c r="L827" s="68"/>
      <c r="M827" s="68"/>
      <c r="O827" s="68"/>
      <c r="R827" s="68"/>
    </row>
    <row r="828" ht="15.75" customHeight="1">
      <c r="E828" s="68"/>
      <c r="J828" s="68"/>
      <c r="L828" s="68"/>
      <c r="M828" s="68"/>
      <c r="O828" s="68"/>
      <c r="R828" s="68"/>
    </row>
    <row r="829" ht="15.75" customHeight="1">
      <c r="E829" s="68"/>
      <c r="J829" s="68"/>
      <c r="L829" s="68"/>
      <c r="M829" s="68"/>
      <c r="O829" s="68"/>
      <c r="R829" s="68"/>
    </row>
    <row r="830" ht="15.75" customHeight="1">
      <c r="E830" s="68"/>
      <c r="J830" s="68"/>
      <c r="L830" s="68"/>
      <c r="M830" s="68"/>
      <c r="O830" s="68"/>
      <c r="R830" s="68"/>
    </row>
    <row r="831" ht="15.75" customHeight="1">
      <c r="E831" s="68"/>
      <c r="J831" s="68"/>
      <c r="L831" s="68"/>
      <c r="M831" s="68"/>
      <c r="O831" s="68"/>
      <c r="R831" s="68"/>
    </row>
    <row r="832" ht="15.75" customHeight="1">
      <c r="E832" s="68"/>
      <c r="J832" s="68"/>
      <c r="L832" s="68"/>
      <c r="M832" s="68"/>
      <c r="O832" s="68"/>
      <c r="R832" s="68"/>
    </row>
    <row r="833" ht="15.75" customHeight="1">
      <c r="E833" s="68"/>
      <c r="J833" s="68"/>
      <c r="L833" s="68"/>
      <c r="M833" s="68"/>
      <c r="O833" s="68"/>
      <c r="R833" s="68"/>
    </row>
    <row r="834" ht="15.75" customHeight="1">
      <c r="E834" s="68"/>
      <c r="J834" s="68"/>
      <c r="L834" s="68"/>
      <c r="M834" s="68"/>
      <c r="O834" s="68"/>
      <c r="R834" s="68"/>
    </row>
    <row r="835" ht="15.75" customHeight="1">
      <c r="E835" s="68"/>
      <c r="J835" s="68"/>
      <c r="L835" s="68"/>
      <c r="M835" s="68"/>
      <c r="O835" s="68"/>
      <c r="R835" s="68"/>
    </row>
    <row r="836" ht="15.75" customHeight="1">
      <c r="E836" s="68"/>
      <c r="J836" s="68"/>
      <c r="L836" s="68"/>
      <c r="M836" s="68"/>
      <c r="O836" s="68"/>
      <c r="R836" s="68"/>
    </row>
    <row r="837" ht="15.75" customHeight="1">
      <c r="E837" s="68"/>
      <c r="J837" s="68"/>
      <c r="L837" s="68"/>
      <c r="M837" s="68"/>
      <c r="O837" s="68"/>
      <c r="R837" s="68"/>
    </row>
    <row r="838" ht="15.75" customHeight="1">
      <c r="E838" s="68"/>
      <c r="J838" s="68"/>
      <c r="L838" s="68"/>
      <c r="M838" s="68"/>
      <c r="O838" s="68"/>
      <c r="R838" s="68"/>
    </row>
    <row r="839" ht="15.75" customHeight="1">
      <c r="E839" s="68"/>
      <c r="J839" s="68"/>
      <c r="L839" s="68"/>
      <c r="M839" s="68"/>
      <c r="O839" s="68"/>
      <c r="R839" s="68"/>
    </row>
    <row r="840" ht="15.75" customHeight="1">
      <c r="E840" s="68"/>
      <c r="J840" s="68"/>
      <c r="L840" s="68"/>
      <c r="M840" s="68"/>
      <c r="O840" s="68"/>
      <c r="R840" s="68"/>
    </row>
    <row r="841" ht="15.75" customHeight="1">
      <c r="E841" s="68"/>
      <c r="J841" s="68"/>
      <c r="L841" s="68"/>
      <c r="M841" s="68"/>
      <c r="O841" s="68"/>
      <c r="R841" s="68"/>
    </row>
    <row r="842" ht="15.75" customHeight="1">
      <c r="E842" s="68"/>
      <c r="J842" s="68"/>
      <c r="L842" s="68"/>
      <c r="M842" s="68"/>
      <c r="O842" s="68"/>
      <c r="R842" s="68"/>
    </row>
    <row r="843" ht="15.75" customHeight="1">
      <c r="E843" s="68"/>
      <c r="J843" s="68"/>
      <c r="L843" s="68"/>
      <c r="M843" s="68"/>
      <c r="O843" s="68"/>
      <c r="R843" s="68"/>
    </row>
    <row r="844" ht="15.75" customHeight="1">
      <c r="E844" s="68"/>
      <c r="J844" s="68"/>
      <c r="L844" s="68"/>
      <c r="M844" s="68"/>
      <c r="O844" s="68"/>
      <c r="R844" s="68"/>
    </row>
    <row r="845" ht="15.75" customHeight="1">
      <c r="E845" s="68"/>
      <c r="J845" s="68"/>
      <c r="L845" s="68"/>
      <c r="M845" s="68"/>
      <c r="O845" s="68"/>
      <c r="R845" s="68"/>
    </row>
    <row r="846" ht="15.75" customHeight="1">
      <c r="E846" s="68"/>
      <c r="J846" s="68"/>
      <c r="L846" s="68"/>
      <c r="M846" s="68"/>
      <c r="O846" s="68"/>
      <c r="R846" s="68"/>
    </row>
    <row r="847" ht="15.75" customHeight="1">
      <c r="E847" s="68"/>
      <c r="J847" s="68"/>
      <c r="L847" s="68"/>
      <c r="M847" s="68"/>
      <c r="O847" s="68"/>
      <c r="R847" s="68"/>
    </row>
    <row r="848" ht="15.75" customHeight="1">
      <c r="E848" s="68"/>
      <c r="J848" s="68"/>
      <c r="L848" s="68"/>
      <c r="M848" s="68"/>
      <c r="O848" s="68"/>
      <c r="R848" s="68"/>
    </row>
    <row r="849" ht="15.75" customHeight="1">
      <c r="E849" s="68"/>
      <c r="J849" s="68"/>
      <c r="L849" s="68"/>
      <c r="M849" s="68"/>
      <c r="O849" s="68"/>
      <c r="R849" s="68"/>
    </row>
    <row r="850" ht="15.75" customHeight="1">
      <c r="E850" s="68"/>
      <c r="J850" s="68"/>
      <c r="L850" s="68"/>
      <c r="M850" s="68"/>
      <c r="O850" s="68"/>
      <c r="R850" s="68"/>
    </row>
    <row r="851" ht="15.75" customHeight="1">
      <c r="E851" s="68"/>
      <c r="J851" s="68"/>
      <c r="L851" s="68"/>
      <c r="M851" s="68"/>
      <c r="O851" s="68"/>
      <c r="R851" s="68"/>
    </row>
    <row r="852" ht="15.75" customHeight="1">
      <c r="E852" s="68"/>
      <c r="J852" s="68"/>
      <c r="L852" s="68"/>
      <c r="M852" s="68"/>
      <c r="O852" s="68"/>
      <c r="R852" s="68"/>
    </row>
    <row r="853" ht="15.75" customHeight="1">
      <c r="E853" s="68"/>
      <c r="J853" s="68"/>
      <c r="L853" s="68"/>
      <c r="M853" s="68"/>
      <c r="O853" s="68"/>
      <c r="R853" s="68"/>
    </row>
    <row r="854" ht="15.75" customHeight="1">
      <c r="E854" s="68"/>
      <c r="J854" s="68"/>
      <c r="L854" s="68"/>
      <c r="M854" s="68"/>
      <c r="O854" s="68"/>
      <c r="R854" s="68"/>
    </row>
    <row r="855" ht="15.75" customHeight="1">
      <c r="E855" s="68"/>
      <c r="J855" s="68"/>
      <c r="L855" s="68"/>
      <c r="M855" s="68"/>
      <c r="O855" s="68"/>
      <c r="R855" s="68"/>
    </row>
    <row r="856" ht="15.75" customHeight="1">
      <c r="E856" s="68"/>
      <c r="J856" s="68"/>
      <c r="L856" s="68"/>
      <c r="M856" s="68"/>
      <c r="O856" s="68"/>
      <c r="R856" s="68"/>
    </row>
    <row r="857" ht="15.75" customHeight="1">
      <c r="E857" s="68"/>
      <c r="J857" s="68"/>
      <c r="L857" s="68"/>
      <c r="M857" s="68"/>
      <c r="O857" s="68"/>
      <c r="R857" s="68"/>
    </row>
    <row r="858" ht="15.75" customHeight="1">
      <c r="E858" s="68"/>
      <c r="J858" s="68"/>
      <c r="L858" s="68"/>
      <c r="M858" s="68"/>
      <c r="O858" s="68"/>
      <c r="R858" s="68"/>
    </row>
    <row r="859" ht="15.75" customHeight="1">
      <c r="E859" s="68"/>
      <c r="J859" s="68"/>
      <c r="L859" s="68"/>
      <c r="M859" s="68"/>
      <c r="O859" s="68"/>
      <c r="R859" s="68"/>
    </row>
    <row r="860" ht="15.75" customHeight="1">
      <c r="E860" s="68"/>
      <c r="J860" s="68"/>
      <c r="L860" s="68"/>
      <c r="M860" s="68"/>
      <c r="O860" s="68"/>
      <c r="R860" s="68"/>
    </row>
    <row r="861" ht="15.75" customHeight="1">
      <c r="E861" s="68"/>
      <c r="J861" s="68"/>
      <c r="L861" s="68"/>
      <c r="M861" s="68"/>
      <c r="O861" s="68"/>
      <c r="R861" s="68"/>
    </row>
    <row r="862" ht="15.75" customHeight="1">
      <c r="E862" s="68"/>
      <c r="J862" s="68"/>
      <c r="L862" s="68"/>
      <c r="M862" s="68"/>
      <c r="O862" s="68"/>
      <c r="R862" s="68"/>
    </row>
    <row r="863" ht="15.75" customHeight="1">
      <c r="E863" s="68"/>
      <c r="J863" s="68"/>
      <c r="L863" s="68"/>
      <c r="M863" s="68"/>
      <c r="O863" s="68"/>
      <c r="R863" s="68"/>
    </row>
    <row r="864" ht="15.75" customHeight="1">
      <c r="E864" s="68"/>
      <c r="J864" s="68"/>
      <c r="L864" s="68"/>
      <c r="M864" s="68"/>
      <c r="O864" s="68"/>
      <c r="R864" s="68"/>
    </row>
    <row r="865" ht="15.75" customHeight="1">
      <c r="E865" s="68"/>
      <c r="J865" s="68"/>
      <c r="L865" s="68"/>
      <c r="M865" s="68"/>
      <c r="O865" s="68"/>
      <c r="R865" s="68"/>
    </row>
    <row r="866" ht="15.75" customHeight="1">
      <c r="E866" s="68"/>
      <c r="J866" s="68"/>
      <c r="L866" s="68"/>
      <c r="M866" s="68"/>
      <c r="O866" s="68"/>
      <c r="R866" s="68"/>
    </row>
    <row r="867" ht="15.75" customHeight="1">
      <c r="E867" s="68"/>
      <c r="J867" s="68"/>
      <c r="L867" s="68"/>
      <c r="M867" s="68"/>
      <c r="O867" s="68"/>
      <c r="R867" s="68"/>
    </row>
    <row r="868" ht="15.75" customHeight="1">
      <c r="E868" s="68"/>
      <c r="J868" s="68"/>
      <c r="L868" s="68"/>
      <c r="M868" s="68"/>
      <c r="O868" s="68"/>
      <c r="R868" s="68"/>
    </row>
    <row r="869" ht="15.75" customHeight="1">
      <c r="E869" s="68"/>
      <c r="J869" s="68"/>
      <c r="L869" s="68"/>
      <c r="M869" s="68"/>
      <c r="O869" s="68"/>
      <c r="R869" s="68"/>
    </row>
    <row r="870" ht="15.75" customHeight="1">
      <c r="E870" s="68"/>
      <c r="J870" s="68"/>
      <c r="L870" s="68"/>
      <c r="M870" s="68"/>
      <c r="O870" s="68"/>
      <c r="R870" s="68"/>
    </row>
    <row r="871" ht="15.75" customHeight="1">
      <c r="E871" s="68"/>
      <c r="J871" s="68"/>
      <c r="L871" s="68"/>
      <c r="M871" s="68"/>
      <c r="O871" s="68"/>
      <c r="R871" s="68"/>
    </row>
    <row r="872" ht="15.75" customHeight="1">
      <c r="E872" s="68"/>
      <c r="J872" s="68"/>
      <c r="L872" s="68"/>
      <c r="M872" s="68"/>
      <c r="O872" s="68"/>
      <c r="R872" s="68"/>
    </row>
    <row r="873" ht="15.75" customHeight="1">
      <c r="E873" s="68"/>
      <c r="J873" s="68"/>
      <c r="L873" s="68"/>
      <c r="M873" s="68"/>
      <c r="O873" s="68"/>
      <c r="R873" s="68"/>
    </row>
    <row r="874" ht="15.75" customHeight="1">
      <c r="E874" s="68"/>
      <c r="J874" s="68"/>
      <c r="L874" s="68"/>
      <c r="M874" s="68"/>
      <c r="O874" s="68"/>
      <c r="R874" s="68"/>
    </row>
    <row r="875" ht="15.75" customHeight="1">
      <c r="E875" s="68"/>
      <c r="J875" s="68"/>
      <c r="L875" s="68"/>
      <c r="M875" s="68"/>
      <c r="O875" s="68"/>
      <c r="R875" s="68"/>
    </row>
    <row r="876" ht="15.75" customHeight="1">
      <c r="E876" s="68"/>
      <c r="J876" s="68"/>
      <c r="L876" s="68"/>
      <c r="M876" s="68"/>
      <c r="O876" s="68"/>
      <c r="R876" s="68"/>
    </row>
    <row r="877" ht="15.75" customHeight="1">
      <c r="E877" s="68"/>
      <c r="J877" s="68"/>
      <c r="L877" s="68"/>
      <c r="M877" s="68"/>
      <c r="O877" s="68"/>
      <c r="R877" s="68"/>
    </row>
    <row r="878" ht="15.75" customHeight="1">
      <c r="E878" s="68"/>
      <c r="J878" s="68"/>
      <c r="L878" s="68"/>
      <c r="M878" s="68"/>
      <c r="O878" s="68"/>
      <c r="R878" s="68"/>
    </row>
    <row r="879" ht="15.75" customHeight="1">
      <c r="E879" s="68"/>
      <c r="J879" s="68"/>
      <c r="L879" s="68"/>
      <c r="M879" s="68"/>
      <c r="O879" s="68"/>
      <c r="R879" s="68"/>
    </row>
    <row r="880" ht="15.75" customHeight="1">
      <c r="E880" s="68"/>
      <c r="J880" s="68"/>
      <c r="L880" s="68"/>
      <c r="M880" s="68"/>
      <c r="O880" s="68"/>
      <c r="R880" s="68"/>
    </row>
    <row r="881" ht="15.75" customHeight="1">
      <c r="E881" s="68"/>
      <c r="J881" s="68"/>
      <c r="L881" s="68"/>
      <c r="M881" s="68"/>
      <c r="O881" s="68"/>
      <c r="R881" s="68"/>
    </row>
    <row r="882" ht="15.75" customHeight="1">
      <c r="E882" s="68"/>
      <c r="J882" s="68"/>
      <c r="L882" s="68"/>
      <c r="M882" s="68"/>
      <c r="O882" s="68"/>
      <c r="R882" s="68"/>
    </row>
    <row r="883" ht="15.75" customHeight="1">
      <c r="E883" s="68"/>
      <c r="J883" s="68"/>
      <c r="L883" s="68"/>
      <c r="M883" s="68"/>
      <c r="O883" s="68"/>
      <c r="R883" s="68"/>
    </row>
    <row r="884" ht="15.75" customHeight="1">
      <c r="E884" s="68"/>
      <c r="J884" s="68"/>
      <c r="L884" s="68"/>
      <c r="M884" s="68"/>
      <c r="O884" s="68"/>
      <c r="R884" s="68"/>
    </row>
    <row r="885" ht="15.75" customHeight="1">
      <c r="E885" s="68"/>
      <c r="J885" s="68"/>
      <c r="L885" s="68"/>
      <c r="M885" s="68"/>
      <c r="O885" s="68"/>
      <c r="R885" s="68"/>
    </row>
    <row r="886" ht="15.75" customHeight="1">
      <c r="E886" s="68"/>
      <c r="J886" s="68"/>
      <c r="L886" s="68"/>
      <c r="M886" s="68"/>
      <c r="O886" s="68"/>
      <c r="R886" s="68"/>
    </row>
    <row r="887" ht="15.75" customHeight="1">
      <c r="E887" s="68"/>
      <c r="J887" s="68"/>
      <c r="L887" s="68"/>
      <c r="M887" s="68"/>
      <c r="O887" s="68"/>
      <c r="R887" s="68"/>
    </row>
    <row r="888" ht="15.75" customHeight="1">
      <c r="E888" s="68"/>
      <c r="J888" s="68"/>
      <c r="L888" s="68"/>
      <c r="M888" s="68"/>
      <c r="O888" s="68"/>
      <c r="R888" s="68"/>
    </row>
    <row r="889" ht="15.75" customHeight="1">
      <c r="E889" s="68"/>
      <c r="J889" s="68"/>
      <c r="L889" s="68"/>
      <c r="M889" s="68"/>
      <c r="O889" s="68"/>
      <c r="R889" s="68"/>
    </row>
    <row r="890" ht="15.75" customHeight="1">
      <c r="E890" s="68"/>
      <c r="J890" s="68"/>
      <c r="L890" s="68"/>
      <c r="M890" s="68"/>
      <c r="O890" s="68"/>
      <c r="R890" s="68"/>
    </row>
    <row r="891" ht="15.75" customHeight="1">
      <c r="E891" s="68"/>
      <c r="J891" s="68"/>
      <c r="L891" s="68"/>
      <c r="M891" s="68"/>
      <c r="O891" s="68"/>
      <c r="R891" s="68"/>
    </row>
    <row r="892" ht="15.75" customHeight="1">
      <c r="E892" s="68"/>
      <c r="J892" s="68"/>
      <c r="L892" s="68"/>
      <c r="M892" s="68"/>
      <c r="O892" s="68"/>
      <c r="R892" s="68"/>
    </row>
    <row r="893" ht="15.75" customHeight="1">
      <c r="E893" s="68"/>
      <c r="J893" s="68"/>
      <c r="L893" s="68"/>
      <c r="M893" s="68"/>
      <c r="O893" s="68"/>
      <c r="R893" s="68"/>
    </row>
    <row r="894" ht="15.75" customHeight="1">
      <c r="E894" s="68"/>
      <c r="J894" s="68"/>
      <c r="L894" s="68"/>
      <c r="M894" s="68"/>
      <c r="O894" s="68"/>
      <c r="R894" s="68"/>
    </row>
    <row r="895" ht="15.75" customHeight="1">
      <c r="E895" s="68"/>
      <c r="J895" s="68"/>
      <c r="L895" s="68"/>
      <c r="M895" s="68"/>
      <c r="O895" s="68"/>
      <c r="R895" s="68"/>
    </row>
    <row r="896" ht="15.75" customHeight="1">
      <c r="E896" s="68"/>
      <c r="J896" s="68"/>
      <c r="L896" s="68"/>
      <c r="M896" s="68"/>
      <c r="O896" s="68"/>
      <c r="R896" s="68"/>
    </row>
    <row r="897" ht="15.75" customHeight="1">
      <c r="E897" s="68"/>
      <c r="J897" s="68"/>
      <c r="L897" s="68"/>
      <c r="M897" s="68"/>
      <c r="O897" s="68"/>
      <c r="R897" s="68"/>
    </row>
    <row r="898" ht="15.75" customHeight="1">
      <c r="E898" s="68"/>
      <c r="J898" s="68"/>
      <c r="L898" s="68"/>
      <c r="M898" s="68"/>
      <c r="O898" s="68"/>
      <c r="R898" s="68"/>
    </row>
    <row r="899" ht="15.75" customHeight="1">
      <c r="E899" s="68"/>
      <c r="J899" s="68"/>
      <c r="L899" s="68"/>
      <c r="M899" s="68"/>
      <c r="O899" s="68"/>
      <c r="R899" s="68"/>
    </row>
    <row r="900" ht="15.75" customHeight="1">
      <c r="E900" s="68"/>
      <c r="J900" s="68"/>
      <c r="L900" s="68"/>
      <c r="M900" s="68"/>
      <c r="O900" s="68"/>
      <c r="R900" s="68"/>
    </row>
    <row r="901" ht="15.75" customHeight="1">
      <c r="E901" s="68"/>
      <c r="J901" s="68"/>
      <c r="L901" s="68"/>
      <c r="M901" s="68"/>
      <c r="O901" s="68"/>
      <c r="R901" s="68"/>
    </row>
    <row r="902" ht="15.75" customHeight="1">
      <c r="E902" s="68"/>
      <c r="J902" s="68"/>
      <c r="L902" s="68"/>
      <c r="M902" s="68"/>
      <c r="O902" s="68"/>
      <c r="R902" s="68"/>
    </row>
    <row r="903" ht="15.75" customHeight="1">
      <c r="E903" s="68"/>
      <c r="J903" s="68"/>
      <c r="L903" s="68"/>
      <c r="M903" s="68"/>
      <c r="O903" s="68"/>
      <c r="R903" s="68"/>
    </row>
    <row r="904" ht="15.75" customHeight="1">
      <c r="E904" s="68"/>
      <c r="J904" s="68"/>
      <c r="L904" s="68"/>
      <c r="M904" s="68"/>
      <c r="O904" s="68"/>
      <c r="R904" s="68"/>
    </row>
    <row r="905" ht="15.75" customHeight="1">
      <c r="E905" s="68"/>
      <c r="J905" s="68"/>
      <c r="L905" s="68"/>
      <c r="M905" s="68"/>
      <c r="O905" s="68"/>
      <c r="R905" s="68"/>
    </row>
    <row r="906" ht="15.75" customHeight="1">
      <c r="E906" s="68"/>
      <c r="J906" s="68"/>
      <c r="L906" s="68"/>
      <c r="M906" s="68"/>
      <c r="O906" s="68"/>
      <c r="R906" s="68"/>
    </row>
    <row r="907" ht="15.75" customHeight="1">
      <c r="E907" s="68"/>
      <c r="J907" s="68"/>
      <c r="L907" s="68"/>
      <c r="M907" s="68"/>
      <c r="O907" s="68"/>
      <c r="R907" s="68"/>
    </row>
    <row r="908" ht="15.75" customHeight="1">
      <c r="E908" s="68"/>
      <c r="J908" s="68"/>
      <c r="L908" s="68"/>
      <c r="M908" s="68"/>
      <c r="O908" s="68"/>
      <c r="R908" s="68"/>
    </row>
    <row r="909" ht="15.75" customHeight="1">
      <c r="E909" s="68"/>
      <c r="J909" s="68"/>
      <c r="L909" s="68"/>
      <c r="M909" s="68"/>
      <c r="O909" s="68"/>
      <c r="R909" s="68"/>
    </row>
    <row r="910" ht="15.75" customHeight="1">
      <c r="E910" s="68"/>
      <c r="J910" s="68"/>
      <c r="L910" s="68"/>
      <c r="M910" s="68"/>
      <c r="O910" s="68"/>
      <c r="R910" s="68"/>
    </row>
    <row r="911" ht="15.75" customHeight="1">
      <c r="E911" s="68"/>
      <c r="J911" s="68"/>
      <c r="L911" s="68"/>
      <c r="M911" s="68"/>
      <c r="O911" s="68"/>
      <c r="R911" s="68"/>
    </row>
    <row r="912" ht="15.75" customHeight="1">
      <c r="E912" s="68"/>
      <c r="J912" s="68"/>
      <c r="L912" s="68"/>
      <c r="M912" s="68"/>
      <c r="O912" s="68"/>
      <c r="R912" s="68"/>
    </row>
    <row r="913" ht="15.75" customHeight="1">
      <c r="E913" s="68"/>
      <c r="J913" s="68"/>
      <c r="L913" s="68"/>
      <c r="M913" s="68"/>
      <c r="O913" s="68"/>
      <c r="R913" s="68"/>
    </row>
    <row r="914" ht="15.75" customHeight="1">
      <c r="E914" s="68"/>
      <c r="J914" s="68"/>
      <c r="L914" s="68"/>
      <c r="M914" s="68"/>
      <c r="O914" s="68"/>
      <c r="R914" s="68"/>
    </row>
    <row r="915" ht="15.75" customHeight="1">
      <c r="E915" s="68"/>
      <c r="J915" s="68"/>
      <c r="L915" s="68"/>
      <c r="M915" s="68"/>
      <c r="O915" s="68"/>
      <c r="R915" s="68"/>
    </row>
    <row r="916" ht="15.75" customHeight="1">
      <c r="E916" s="68"/>
      <c r="J916" s="68"/>
      <c r="L916" s="68"/>
      <c r="M916" s="68"/>
      <c r="O916" s="68"/>
      <c r="R916" s="68"/>
    </row>
    <row r="917" ht="15.75" customHeight="1">
      <c r="E917" s="68"/>
      <c r="J917" s="68"/>
      <c r="L917" s="68"/>
      <c r="M917" s="68"/>
      <c r="O917" s="68"/>
      <c r="R917" s="68"/>
    </row>
    <row r="918" ht="15.75" customHeight="1">
      <c r="E918" s="68"/>
      <c r="J918" s="68"/>
      <c r="L918" s="68"/>
      <c r="M918" s="68"/>
      <c r="O918" s="68"/>
      <c r="R918" s="68"/>
    </row>
    <row r="919" ht="15.75" customHeight="1">
      <c r="E919" s="68"/>
      <c r="J919" s="68"/>
      <c r="L919" s="68"/>
      <c r="M919" s="68"/>
      <c r="O919" s="68"/>
      <c r="R919" s="68"/>
    </row>
    <row r="920" ht="15.75" customHeight="1">
      <c r="E920" s="68"/>
      <c r="J920" s="68"/>
      <c r="L920" s="68"/>
      <c r="M920" s="68"/>
      <c r="O920" s="68"/>
      <c r="R920" s="68"/>
    </row>
    <row r="921" ht="15.75" customHeight="1">
      <c r="E921" s="68"/>
      <c r="J921" s="68"/>
      <c r="L921" s="68"/>
      <c r="M921" s="68"/>
      <c r="O921" s="68"/>
      <c r="R921" s="68"/>
    </row>
    <row r="922" ht="15.75" customHeight="1">
      <c r="E922" s="68"/>
      <c r="J922" s="68"/>
      <c r="L922" s="68"/>
      <c r="M922" s="68"/>
      <c r="O922" s="68"/>
      <c r="R922" s="68"/>
    </row>
    <row r="923" ht="15.75" customHeight="1">
      <c r="E923" s="68"/>
      <c r="J923" s="68"/>
      <c r="L923" s="68"/>
      <c r="M923" s="68"/>
      <c r="O923" s="68"/>
      <c r="R923" s="68"/>
    </row>
    <row r="924" ht="15.75" customHeight="1">
      <c r="E924" s="68"/>
      <c r="J924" s="68"/>
      <c r="L924" s="68"/>
      <c r="M924" s="68"/>
      <c r="O924" s="68"/>
      <c r="R924" s="68"/>
    </row>
    <row r="925" ht="15.75" customHeight="1">
      <c r="E925" s="68"/>
      <c r="J925" s="68"/>
      <c r="L925" s="68"/>
      <c r="M925" s="68"/>
      <c r="O925" s="68"/>
      <c r="R925" s="68"/>
    </row>
    <row r="926" ht="15.75" customHeight="1">
      <c r="E926" s="68"/>
      <c r="J926" s="68"/>
      <c r="L926" s="68"/>
      <c r="M926" s="68"/>
      <c r="O926" s="68"/>
      <c r="R926" s="68"/>
    </row>
    <row r="927" ht="15.75" customHeight="1">
      <c r="E927" s="68"/>
      <c r="J927" s="68"/>
      <c r="L927" s="68"/>
      <c r="M927" s="68"/>
      <c r="O927" s="68"/>
      <c r="R927" s="68"/>
    </row>
    <row r="928" ht="15.75" customHeight="1">
      <c r="E928" s="68"/>
      <c r="J928" s="68"/>
      <c r="L928" s="68"/>
      <c r="M928" s="68"/>
      <c r="O928" s="68"/>
      <c r="R928" s="68"/>
    </row>
    <row r="929" ht="15.75" customHeight="1">
      <c r="E929" s="68"/>
      <c r="J929" s="68"/>
      <c r="L929" s="68"/>
      <c r="M929" s="68"/>
      <c r="O929" s="68"/>
      <c r="R929" s="68"/>
    </row>
    <row r="930" ht="15.75" customHeight="1">
      <c r="E930" s="68"/>
      <c r="J930" s="68"/>
      <c r="L930" s="68"/>
      <c r="M930" s="68"/>
      <c r="O930" s="68"/>
      <c r="R930" s="68"/>
    </row>
    <row r="931" ht="15.75" customHeight="1">
      <c r="E931" s="68"/>
      <c r="J931" s="68"/>
      <c r="L931" s="68"/>
      <c r="M931" s="68"/>
      <c r="O931" s="68"/>
      <c r="R931" s="68"/>
    </row>
    <row r="932" ht="15.75" customHeight="1">
      <c r="E932" s="68"/>
      <c r="J932" s="68"/>
      <c r="L932" s="68"/>
      <c r="M932" s="68"/>
      <c r="O932" s="68"/>
      <c r="R932" s="68"/>
    </row>
    <row r="933" ht="15.75" customHeight="1">
      <c r="E933" s="68"/>
      <c r="J933" s="68"/>
      <c r="L933" s="68"/>
      <c r="M933" s="68"/>
      <c r="O933" s="68"/>
      <c r="R933" s="68"/>
    </row>
    <row r="934" ht="15.75" customHeight="1">
      <c r="E934" s="68"/>
      <c r="J934" s="68"/>
      <c r="L934" s="68"/>
      <c r="M934" s="68"/>
      <c r="O934" s="68"/>
      <c r="R934" s="68"/>
    </row>
    <row r="935" ht="15.75" customHeight="1">
      <c r="E935" s="68"/>
      <c r="J935" s="68"/>
      <c r="L935" s="68"/>
      <c r="M935" s="68"/>
      <c r="O935" s="68"/>
      <c r="R935" s="68"/>
    </row>
    <row r="936" ht="15.75" customHeight="1">
      <c r="E936" s="68"/>
      <c r="J936" s="68"/>
      <c r="L936" s="68"/>
      <c r="M936" s="68"/>
      <c r="O936" s="68"/>
      <c r="R936" s="68"/>
    </row>
    <row r="937" ht="15.75" customHeight="1">
      <c r="E937" s="68"/>
      <c r="J937" s="68"/>
      <c r="L937" s="68"/>
      <c r="M937" s="68"/>
      <c r="O937" s="68"/>
      <c r="R937" s="68"/>
    </row>
    <row r="938" ht="15.75" customHeight="1">
      <c r="E938" s="68"/>
      <c r="J938" s="68"/>
      <c r="L938" s="68"/>
      <c r="M938" s="68"/>
      <c r="O938" s="68"/>
      <c r="R938" s="68"/>
    </row>
    <row r="939" ht="15.75" customHeight="1">
      <c r="E939" s="68"/>
      <c r="J939" s="68"/>
      <c r="L939" s="68"/>
      <c r="M939" s="68"/>
      <c r="O939" s="68"/>
      <c r="R939" s="68"/>
    </row>
    <row r="940" ht="15.75" customHeight="1">
      <c r="E940" s="68"/>
      <c r="J940" s="68"/>
      <c r="L940" s="68"/>
      <c r="M940" s="68"/>
      <c r="O940" s="68"/>
      <c r="R940" s="68"/>
    </row>
    <row r="941" ht="15.75" customHeight="1">
      <c r="E941" s="68"/>
      <c r="J941" s="68"/>
      <c r="L941" s="68"/>
      <c r="M941" s="68"/>
      <c r="O941" s="68"/>
      <c r="R941" s="68"/>
    </row>
    <row r="942" ht="15.75" customHeight="1">
      <c r="E942" s="68"/>
      <c r="J942" s="68"/>
      <c r="L942" s="68"/>
      <c r="M942" s="68"/>
      <c r="O942" s="68"/>
      <c r="R942" s="68"/>
    </row>
    <row r="943" ht="15.75" customHeight="1">
      <c r="E943" s="68"/>
      <c r="J943" s="68"/>
      <c r="L943" s="68"/>
      <c r="M943" s="68"/>
      <c r="O943" s="68"/>
      <c r="R943" s="68"/>
    </row>
    <row r="944" ht="15.75" customHeight="1">
      <c r="E944" s="68"/>
      <c r="J944" s="68"/>
      <c r="L944" s="68"/>
      <c r="M944" s="68"/>
      <c r="O944" s="68"/>
      <c r="R944" s="68"/>
    </row>
    <row r="945" ht="15.75" customHeight="1">
      <c r="E945" s="68"/>
      <c r="J945" s="68"/>
      <c r="L945" s="68"/>
      <c r="M945" s="68"/>
      <c r="O945" s="68"/>
      <c r="R945" s="68"/>
    </row>
    <row r="946" ht="15.75" customHeight="1">
      <c r="E946" s="68"/>
      <c r="J946" s="68"/>
      <c r="L946" s="68"/>
      <c r="M946" s="68"/>
      <c r="O946" s="68"/>
      <c r="R946" s="68"/>
    </row>
    <row r="947" ht="15.75" customHeight="1">
      <c r="E947" s="68"/>
      <c r="J947" s="68"/>
      <c r="L947" s="68"/>
      <c r="M947" s="68"/>
      <c r="O947" s="68"/>
      <c r="R947" s="68"/>
    </row>
    <row r="948" ht="15.75" customHeight="1">
      <c r="E948" s="68"/>
      <c r="J948" s="68"/>
      <c r="L948" s="68"/>
      <c r="M948" s="68"/>
      <c r="O948" s="68"/>
      <c r="R948" s="68"/>
    </row>
    <row r="949" ht="15.75" customHeight="1">
      <c r="E949" s="68"/>
      <c r="J949" s="68"/>
      <c r="L949" s="68"/>
      <c r="M949" s="68"/>
      <c r="O949" s="68"/>
      <c r="R949" s="68"/>
    </row>
    <row r="950" ht="15.75" customHeight="1">
      <c r="E950" s="68"/>
      <c r="J950" s="68"/>
      <c r="L950" s="68"/>
      <c r="M950" s="68"/>
      <c r="O950" s="68"/>
      <c r="R950" s="68"/>
    </row>
    <row r="951" ht="15.75" customHeight="1">
      <c r="E951" s="68"/>
      <c r="J951" s="68"/>
      <c r="L951" s="68"/>
      <c r="M951" s="68"/>
      <c r="O951" s="68"/>
      <c r="R951" s="68"/>
    </row>
    <row r="952" ht="15.75" customHeight="1">
      <c r="E952" s="68"/>
      <c r="J952" s="68"/>
      <c r="L952" s="68"/>
      <c r="M952" s="68"/>
      <c r="O952" s="68"/>
      <c r="R952" s="68"/>
    </row>
    <row r="953" ht="15.75" customHeight="1">
      <c r="E953" s="68"/>
      <c r="J953" s="68"/>
      <c r="L953" s="68"/>
      <c r="M953" s="68"/>
      <c r="O953" s="68"/>
      <c r="R953" s="68"/>
    </row>
    <row r="954" ht="15.75" customHeight="1">
      <c r="E954" s="68"/>
      <c r="J954" s="68"/>
      <c r="L954" s="68"/>
      <c r="M954" s="68"/>
      <c r="O954" s="68"/>
      <c r="R954" s="68"/>
    </row>
    <row r="955" ht="15.75" customHeight="1">
      <c r="E955" s="68"/>
      <c r="J955" s="68"/>
      <c r="L955" s="68"/>
      <c r="M955" s="68"/>
      <c r="O955" s="68"/>
      <c r="R955" s="68"/>
    </row>
    <row r="956" ht="15.75" customHeight="1">
      <c r="E956" s="68"/>
      <c r="J956" s="68"/>
      <c r="L956" s="68"/>
      <c r="M956" s="68"/>
      <c r="O956" s="68"/>
      <c r="R956" s="68"/>
    </row>
    <row r="957" ht="15.75" customHeight="1">
      <c r="E957" s="68"/>
      <c r="J957" s="68"/>
      <c r="L957" s="68"/>
      <c r="M957" s="68"/>
      <c r="O957" s="68"/>
      <c r="R957" s="68"/>
    </row>
    <row r="958" ht="15.75" customHeight="1">
      <c r="E958" s="68"/>
      <c r="J958" s="68"/>
      <c r="L958" s="68"/>
      <c r="M958" s="68"/>
      <c r="O958" s="68"/>
      <c r="R958" s="68"/>
    </row>
    <row r="959" ht="15.75" customHeight="1">
      <c r="E959" s="68"/>
      <c r="J959" s="68"/>
      <c r="L959" s="68"/>
      <c r="M959" s="68"/>
      <c r="O959" s="68"/>
      <c r="R959" s="68"/>
    </row>
    <row r="960" ht="15.75" customHeight="1">
      <c r="E960" s="68"/>
      <c r="J960" s="68"/>
      <c r="L960" s="68"/>
      <c r="M960" s="68"/>
      <c r="O960" s="68"/>
      <c r="R960" s="68"/>
    </row>
    <row r="961" ht="15.75" customHeight="1">
      <c r="E961" s="68"/>
      <c r="J961" s="68"/>
      <c r="L961" s="68"/>
      <c r="M961" s="68"/>
      <c r="O961" s="68"/>
      <c r="R961" s="68"/>
    </row>
    <row r="962" ht="15.75" customHeight="1">
      <c r="E962" s="68"/>
      <c r="J962" s="68"/>
      <c r="L962" s="68"/>
      <c r="M962" s="68"/>
      <c r="O962" s="68"/>
      <c r="R962" s="68"/>
    </row>
    <row r="963" ht="15.75" customHeight="1">
      <c r="E963" s="68"/>
      <c r="J963" s="68"/>
      <c r="L963" s="68"/>
      <c r="M963" s="68"/>
      <c r="O963" s="68"/>
      <c r="R963" s="68"/>
    </row>
    <row r="964" ht="15.75" customHeight="1">
      <c r="E964" s="68"/>
      <c r="J964" s="68"/>
      <c r="L964" s="68"/>
      <c r="M964" s="68"/>
      <c r="O964" s="68"/>
      <c r="R964" s="68"/>
    </row>
    <row r="965" ht="15.75" customHeight="1">
      <c r="E965" s="68"/>
      <c r="J965" s="68"/>
      <c r="L965" s="68"/>
      <c r="M965" s="68"/>
      <c r="O965" s="68"/>
      <c r="R965" s="68"/>
    </row>
    <row r="966" ht="15.75" customHeight="1">
      <c r="E966" s="68"/>
      <c r="J966" s="68"/>
      <c r="L966" s="68"/>
      <c r="M966" s="68"/>
      <c r="O966" s="68"/>
      <c r="R966" s="68"/>
    </row>
    <row r="967" ht="15.75" customHeight="1">
      <c r="E967" s="68"/>
      <c r="J967" s="68"/>
      <c r="L967" s="68"/>
      <c r="M967" s="68"/>
      <c r="O967" s="68"/>
      <c r="R967" s="68"/>
    </row>
    <row r="968" ht="15.75" customHeight="1">
      <c r="E968" s="68"/>
      <c r="J968" s="68"/>
      <c r="L968" s="68"/>
      <c r="M968" s="68"/>
      <c r="O968" s="68"/>
      <c r="R968" s="68"/>
    </row>
    <row r="969" ht="15.75" customHeight="1">
      <c r="E969" s="68"/>
      <c r="J969" s="68"/>
      <c r="L969" s="68"/>
      <c r="M969" s="68"/>
      <c r="O969" s="68"/>
      <c r="R969" s="68"/>
    </row>
    <row r="970" ht="15.75" customHeight="1">
      <c r="E970" s="68"/>
      <c r="J970" s="68"/>
      <c r="L970" s="68"/>
      <c r="M970" s="68"/>
      <c r="O970" s="68"/>
      <c r="R970" s="68"/>
    </row>
    <row r="971" ht="15.75" customHeight="1">
      <c r="E971" s="68"/>
      <c r="J971" s="68"/>
      <c r="L971" s="68"/>
      <c r="M971" s="68"/>
      <c r="O971" s="68"/>
      <c r="R971" s="68"/>
    </row>
    <row r="972" ht="15.75" customHeight="1">
      <c r="E972" s="68"/>
      <c r="J972" s="68"/>
      <c r="L972" s="68"/>
      <c r="M972" s="68"/>
      <c r="O972" s="68"/>
      <c r="R972" s="68"/>
    </row>
    <row r="973" ht="15.75" customHeight="1">
      <c r="E973" s="68"/>
      <c r="J973" s="68"/>
      <c r="L973" s="68"/>
      <c r="M973" s="68"/>
      <c r="O973" s="68"/>
      <c r="R973" s="68"/>
    </row>
    <row r="974" ht="15.75" customHeight="1">
      <c r="E974" s="68"/>
      <c r="J974" s="68"/>
      <c r="L974" s="68"/>
      <c r="M974" s="68"/>
      <c r="O974" s="68"/>
      <c r="R974" s="68"/>
    </row>
    <row r="975" ht="15.75" customHeight="1">
      <c r="E975" s="68"/>
      <c r="J975" s="68"/>
      <c r="L975" s="68"/>
      <c r="M975" s="68"/>
      <c r="O975" s="68"/>
      <c r="R975" s="68"/>
    </row>
    <row r="976" ht="15.75" customHeight="1">
      <c r="E976" s="68"/>
      <c r="J976" s="68"/>
      <c r="L976" s="68"/>
      <c r="M976" s="68"/>
      <c r="O976" s="68"/>
      <c r="R976" s="68"/>
    </row>
    <row r="977" ht="15.75" customHeight="1">
      <c r="E977" s="68"/>
      <c r="J977" s="68"/>
      <c r="L977" s="68"/>
      <c r="M977" s="68"/>
      <c r="O977" s="68"/>
      <c r="R977" s="68"/>
    </row>
    <row r="978" ht="15.75" customHeight="1">
      <c r="E978" s="68"/>
      <c r="J978" s="68"/>
      <c r="L978" s="68"/>
      <c r="M978" s="68"/>
      <c r="O978" s="68"/>
      <c r="R978" s="68"/>
    </row>
    <row r="979" ht="15.75" customHeight="1">
      <c r="E979" s="68"/>
      <c r="J979" s="68"/>
      <c r="L979" s="68"/>
      <c r="M979" s="68"/>
      <c r="O979" s="68"/>
      <c r="R979" s="68"/>
    </row>
    <row r="980" ht="15.75" customHeight="1">
      <c r="E980" s="68"/>
      <c r="J980" s="68"/>
      <c r="L980" s="68"/>
      <c r="M980" s="68"/>
      <c r="O980" s="68"/>
      <c r="R980" s="68"/>
    </row>
    <row r="981" ht="15.75" customHeight="1">
      <c r="E981" s="68"/>
      <c r="J981" s="68"/>
      <c r="L981" s="68"/>
      <c r="M981" s="68"/>
      <c r="O981" s="68"/>
      <c r="R981" s="68"/>
    </row>
    <row r="982" ht="15.75" customHeight="1">
      <c r="E982" s="68"/>
      <c r="J982" s="68"/>
      <c r="L982" s="68"/>
      <c r="M982" s="68"/>
      <c r="O982" s="68"/>
      <c r="R982" s="68"/>
    </row>
    <row r="983" ht="15.75" customHeight="1">
      <c r="E983" s="68"/>
      <c r="J983" s="68"/>
      <c r="L983" s="68"/>
      <c r="M983" s="68"/>
      <c r="O983" s="68"/>
      <c r="R983" s="68"/>
    </row>
    <row r="984" ht="15.75" customHeight="1">
      <c r="E984" s="68"/>
      <c r="J984" s="68"/>
      <c r="L984" s="68"/>
      <c r="M984" s="68"/>
      <c r="O984" s="68"/>
      <c r="R984" s="68"/>
    </row>
    <row r="985" ht="15.75" customHeight="1">
      <c r="E985" s="68"/>
      <c r="J985" s="68"/>
      <c r="L985" s="68"/>
      <c r="M985" s="68"/>
      <c r="O985" s="68"/>
      <c r="R985" s="68"/>
    </row>
    <row r="986" ht="15.75" customHeight="1">
      <c r="E986" s="68"/>
      <c r="J986" s="68"/>
      <c r="L986" s="68"/>
      <c r="M986" s="68"/>
      <c r="O986" s="68"/>
      <c r="R986" s="68"/>
    </row>
    <row r="987" ht="15.75" customHeight="1">
      <c r="E987" s="68"/>
      <c r="J987" s="68"/>
      <c r="L987" s="68"/>
      <c r="M987" s="68"/>
      <c r="O987" s="68"/>
      <c r="R987" s="68"/>
    </row>
    <row r="988" ht="15.75" customHeight="1">
      <c r="E988" s="68"/>
      <c r="J988" s="68"/>
      <c r="L988" s="68"/>
      <c r="M988" s="68"/>
      <c r="O988" s="68"/>
      <c r="R988" s="68"/>
    </row>
    <row r="989" ht="15.75" customHeight="1">
      <c r="E989" s="68"/>
      <c r="J989" s="68"/>
      <c r="L989" s="68"/>
      <c r="M989" s="68"/>
      <c r="O989" s="68"/>
      <c r="R989" s="68"/>
    </row>
    <row r="990" ht="15.75" customHeight="1">
      <c r="E990" s="68"/>
      <c r="J990" s="68"/>
      <c r="L990" s="68"/>
      <c r="M990" s="68"/>
      <c r="O990" s="68"/>
      <c r="R990" s="68"/>
    </row>
    <row r="991" ht="15.75" customHeight="1">
      <c r="E991" s="68"/>
      <c r="J991" s="68"/>
      <c r="L991" s="68"/>
      <c r="M991" s="68"/>
      <c r="O991" s="68"/>
      <c r="R991" s="68"/>
    </row>
    <row r="992" ht="15.75" customHeight="1">
      <c r="E992" s="68"/>
      <c r="J992" s="68"/>
      <c r="L992" s="68"/>
      <c r="M992" s="68"/>
      <c r="O992" s="68"/>
      <c r="R992" s="68"/>
    </row>
    <row r="993" ht="15.75" customHeight="1">
      <c r="E993" s="68"/>
      <c r="J993" s="68"/>
      <c r="L993" s="68"/>
      <c r="M993" s="68"/>
      <c r="O993" s="68"/>
      <c r="R993" s="68"/>
    </row>
    <row r="994" ht="15.75" customHeight="1">
      <c r="E994" s="68"/>
      <c r="J994" s="68"/>
      <c r="L994" s="68"/>
      <c r="M994" s="68"/>
      <c r="O994" s="68"/>
      <c r="R994" s="68"/>
    </row>
    <row r="995" ht="15.75" customHeight="1">
      <c r="E995" s="68"/>
      <c r="J995" s="68"/>
      <c r="L995" s="68"/>
      <c r="M995" s="68"/>
      <c r="O995" s="68"/>
      <c r="R995" s="68"/>
    </row>
    <row r="996" ht="15.75" customHeight="1">
      <c r="E996" s="68"/>
      <c r="J996" s="68"/>
      <c r="L996" s="68"/>
      <c r="M996" s="68"/>
      <c r="O996" s="68"/>
      <c r="R996" s="68"/>
    </row>
    <row r="997" ht="15.75" customHeight="1">
      <c r="E997" s="68"/>
      <c r="J997" s="68"/>
      <c r="L997" s="68"/>
      <c r="M997" s="68"/>
      <c r="O997" s="68"/>
      <c r="R997" s="68"/>
    </row>
    <row r="998" ht="15.75" customHeight="1">
      <c r="E998" s="68"/>
      <c r="J998" s="68"/>
      <c r="L998" s="68"/>
      <c r="M998" s="68"/>
      <c r="O998" s="68"/>
      <c r="R998" s="68"/>
    </row>
    <row r="999" ht="15.75" customHeight="1">
      <c r="E999" s="68"/>
      <c r="J999" s="68"/>
      <c r="L999" s="68"/>
      <c r="M999" s="68"/>
      <c r="O999" s="68"/>
      <c r="R999" s="68"/>
    </row>
    <row r="1000" ht="15.75" customHeight="1">
      <c r="E1000" s="68"/>
      <c r="J1000" s="68"/>
      <c r="L1000" s="68"/>
      <c r="M1000" s="68"/>
      <c r="O1000" s="68"/>
      <c r="R1000" s="68"/>
    </row>
  </sheetData>
  <mergeCells count="14">
    <mergeCell ref="P2:Q2"/>
    <mergeCell ref="P3:Q3"/>
    <mergeCell ref="P1:Q1"/>
    <mergeCell ref="P4:Q4"/>
    <mergeCell ref="P5:Q5"/>
    <mergeCell ref="A5:B5"/>
    <mergeCell ref="B36:C36"/>
    <mergeCell ref="A1:B1"/>
    <mergeCell ref="J1:K1"/>
    <mergeCell ref="L1:M1"/>
    <mergeCell ref="N1:O1"/>
    <mergeCell ref="A2:B2"/>
    <mergeCell ref="A3:B3"/>
    <mergeCell ref="A4:B4"/>
  </mergeCells>
  <dataValidations>
    <dataValidation type="list" allowBlank="1" showErrorMessage="1" sqref="E7:E24 E26:E1000">
      <formula1>"UI,API,PL/SQL,DB"</formula1>
    </dataValidation>
    <dataValidation type="list" allowBlank="1" showErrorMessage="1" sqref="M7:M24 M26:M1000">
      <formula1>"High,Medium,Low"</formula1>
    </dataValidation>
    <dataValidation type="list" allowBlank="1" sqref="R7:R22 J7:J1000 R26:R1000">
      <formula1>"PASS,FAIL,NT"</formula1>
    </dataValidation>
    <dataValidation type="list" allowBlank="1" sqref="L7:L24 L26:L1000">
      <formula1>"Critical,High,Medium,Low"</formula1>
    </dataValidation>
    <dataValidation type="list" allowBlank="1" showErrorMessage="1" sqref="O7:O24 O26:O1000">
      <formula1>"Accepted,Rejected"</formula1>
    </dataValidation>
  </dataValidations>
  <hyperlinks>
    <hyperlink r:id="rId1" ref="N7"/>
    <hyperlink r:id="rId2" ref="N8"/>
    <hyperlink r:id="rId3" ref="N9"/>
    <hyperlink r:id="rId4" ref="N10"/>
    <hyperlink r:id="rId5" ref="N11"/>
    <hyperlink r:id="rId6" ref="N12"/>
    <hyperlink r:id="rId7" ref="N13"/>
    <hyperlink r:id="rId8" ref="N14"/>
    <hyperlink r:id="rId9" ref="N15"/>
    <hyperlink r:id="rId10" ref="N16"/>
    <hyperlink r:id="rId11" ref="N17"/>
    <hyperlink r:id="rId12" ref="N18"/>
    <hyperlink r:id="rId13" ref="N20"/>
    <hyperlink r:id="rId14" ref="N21"/>
    <hyperlink r:id="rId15" ref="N22"/>
    <hyperlink r:id="rId16" ref="N23"/>
    <hyperlink r:id="rId17" ref="N24"/>
    <hyperlink r:id="rId18" ref="N25"/>
    <hyperlink r:id="rId19" ref="N26"/>
    <hyperlink r:id="rId20" ref="N27"/>
    <hyperlink r:id="rId21" ref="N28"/>
    <hyperlink r:id="rId22" ref="N29"/>
    <hyperlink r:id="rId23" ref="B43"/>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13"/>
    <col customWidth="1" min="2" max="2" width="12.63"/>
    <col customWidth="1" min="3" max="3" width="13.88"/>
    <col customWidth="1" min="4" max="4" width="32.25"/>
    <col customWidth="1" min="5" max="5" width="8.13"/>
    <col customWidth="1" min="6" max="6" width="64.13"/>
    <col customWidth="1" min="7" max="7" width="41.75"/>
    <col customWidth="1" min="8" max="8" width="32.25"/>
  </cols>
  <sheetData>
    <row r="1" ht="15.75" customHeight="1">
      <c r="A1" s="1" t="s">
        <v>0</v>
      </c>
      <c r="B1" s="2"/>
      <c r="C1" s="3" t="s">
        <v>1</v>
      </c>
      <c r="D1" s="4" t="s">
        <v>2</v>
      </c>
      <c r="E1" s="5"/>
      <c r="F1" s="4" t="s">
        <v>3</v>
      </c>
      <c r="G1" s="5"/>
      <c r="H1" s="7"/>
      <c r="I1" s="9"/>
      <c r="J1" s="1" t="s">
        <v>4</v>
      </c>
      <c r="K1" s="11"/>
      <c r="L1" s="13" t="s">
        <v>5</v>
      </c>
      <c r="M1" s="2"/>
      <c r="N1" s="1" t="s">
        <v>6</v>
      </c>
      <c r="O1" s="2"/>
      <c r="P1" s="16"/>
      <c r="Q1" s="2"/>
      <c r="R1" s="9"/>
      <c r="S1" s="17"/>
      <c r="T1" s="17"/>
      <c r="U1" s="17"/>
      <c r="V1" s="17"/>
      <c r="W1" s="17"/>
      <c r="X1" s="17"/>
      <c r="Y1" s="17"/>
      <c r="Z1" s="17"/>
      <c r="AA1" s="17"/>
      <c r="AB1" s="17"/>
      <c r="AC1" s="17"/>
      <c r="AD1" s="17"/>
      <c r="AE1" s="17"/>
      <c r="AF1" s="17"/>
    </row>
    <row r="2" ht="15.75" customHeight="1">
      <c r="A2" s="1" t="s">
        <v>7</v>
      </c>
      <c r="B2" s="2"/>
      <c r="C2" s="19"/>
      <c r="D2" s="4" t="s">
        <v>8</v>
      </c>
      <c r="E2" s="5"/>
      <c r="F2" s="4" t="s">
        <v>9</v>
      </c>
      <c r="G2" s="5"/>
      <c r="H2" s="7"/>
      <c r="I2" s="9"/>
      <c r="J2" s="20" t="s">
        <v>10</v>
      </c>
      <c r="K2" s="25">
        <f>COUNTIF(J7:J1000, "PASS")</f>
        <v>0</v>
      </c>
      <c r="L2" s="26" t="s">
        <v>11</v>
      </c>
      <c r="M2" s="25">
        <f>COUNTIF(L7:L1000, "Critical")</f>
        <v>0</v>
      </c>
      <c r="N2" s="30" t="s">
        <v>12</v>
      </c>
      <c r="O2" s="25">
        <f>COUNTIF(M6:M999, "High")</f>
        <v>0</v>
      </c>
      <c r="P2" s="16"/>
      <c r="Q2" s="2"/>
      <c r="R2" s="9"/>
      <c r="S2" s="17"/>
      <c r="T2" s="17"/>
      <c r="U2" s="17"/>
      <c r="V2" s="17"/>
      <c r="W2" s="17"/>
      <c r="X2" s="17"/>
      <c r="Y2" s="17"/>
      <c r="Z2" s="17"/>
      <c r="AA2" s="17"/>
      <c r="AB2" s="17"/>
      <c r="AC2" s="17"/>
      <c r="AD2" s="17"/>
      <c r="AE2" s="17"/>
      <c r="AF2" s="17"/>
    </row>
    <row r="3" ht="15.75" customHeight="1">
      <c r="A3" s="1" t="s">
        <v>13</v>
      </c>
      <c r="B3" s="2"/>
      <c r="C3" s="32"/>
      <c r="D3" s="4" t="s">
        <v>14</v>
      </c>
      <c r="E3" s="9"/>
      <c r="F3" s="7"/>
      <c r="G3" s="9"/>
      <c r="H3" s="7"/>
      <c r="I3" s="9"/>
      <c r="J3" s="26" t="s">
        <v>15</v>
      </c>
      <c r="K3" s="25">
        <f>COUNTIF(J7:J1000, "FAIL")</f>
        <v>0</v>
      </c>
      <c r="L3" s="30" t="s">
        <v>12</v>
      </c>
      <c r="M3" s="25">
        <f>COUNTIF(L7:L1000, "High")</f>
        <v>0</v>
      </c>
      <c r="N3" s="36" t="s">
        <v>17</v>
      </c>
      <c r="O3" s="25">
        <f>COUNTIF(M6:M999, "Medium")</f>
        <v>0</v>
      </c>
      <c r="P3" s="16"/>
      <c r="Q3" s="2"/>
      <c r="R3" s="9"/>
      <c r="S3" s="17"/>
      <c r="T3" s="17"/>
      <c r="U3" s="17"/>
      <c r="V3" s="17"/>
      <c r="W3" s="17"/>
      <c r="X3" s="17"/>
      <c r="Y3" s="17"/>
      <c r="Z3" s="17"/>
      <c r="AA3" s="17"/>
      <c r="AB3" s="17"/>
      <c r="AC3" s="17"/>
      <c r="AD3" s="17"/>
      <c r="AE3" s="17"/>
      <c r="AF3" s="17"/>
    </row>
    <row r="4" ht="15.75" customHeight="1">
      <c r="A4" s="1" t="s">
        <v>18</v>
      </c>
      <c r="B4" s="2"/>
      <c r="C4" s="32"/>
      <c r="D4" s="4" t="s">
        <v>20</v>
      </c>
      <c r="E4" s="9"/>
      <c r="F4" s="7"/>
      <c r="G4" s="9"/>
      <c r="H4" s="7"/>
      <c r="I4" s="9"/>
      <c r="J4" s="39" t="s">
        <v>21</v>
      </c>
      <c r="K4" s="25">
        <f>COUNTIF(J7:J1000, "NT")</f>
        <v>0</v>
      </c>
      <c r="L4" s="36" t="s">
        <v>17</v>
      </c>
      <c r="M4" s="25">
        <f>COUNTIF(L7:L1000, "Medium")</f>
        <v>0</v>
      </c>
      <c r="N4" s="42" t="s">
        <v>22</v>
      </c>
      <c r="O4" s="25">
        <f>COUNTIF(M6:M1000, "Low")</f>
        <v>0</v>
      </c>
      <c r="P4" s="16"/>
      <c r="Q4" s="2"/>
      <c r="R4" s="9"/>
      <c r="S4" s="17"/>
      <c r="T4" s="17"/>
      <c r="U4" s="17"/>
      <c r="V4" s="17"/>
      <c r="W4" s="17"/>
      <c r="X4" s="17"/>
      <c r="Y4" s="17"/>
      <c r="Z4" s="17"/>
      <c r="AA4" s="17"/>
      <c r="AB4" s="17"/>
      <c r="AC4" s="17"/>
      <c r="AD4" s="17"/>
      <c r="AE4" s="17"/>
      <c r="AF4" s="17"/>
    </row>
    <row r="5" ht="15.75" customHeight="1">
      <c r="A5" s="1" t="s">
        <v>23</v>
      </c>
      <c r="B5" s="2"/>
      <c r="C5" s="32"/>
      <c r="D5" s="4" t="s">
        <v>24</v>
      </c>
      <c r="E5" s="9"/>
      <c r="F5" s="7"/>
      <c r="G5" s="9"/>
      <c r="H5" s="7"/>
      <c r="I5" s="9"/>
      <c r="J5" s="45" t="s">
        <v>25</v>
      </c>
      <c r="K5" s="25">
        <f>SUM(K2,K3,K4)</f>
        <v>0</v>
      </c>
      <c r="L5" s="42" t="s">
        <v>22</v>
      </c>
      <c r="M5" s="25">
        <f>COUNTIF(L7:L1001, "Low")</f>
        <v>0</v>
      </c>
      <c r="N5" s="47" t="s">
        <v>26</v>
      </c>
      <c r="O5" s="25">
        <f>COUNTIF(O7:O1000, "Accepted")</f>
        <v>0</v>
      </c>
      <c r="P5" s="16"/>
      <c r="Q5" s="2"/>
      <c r="R5" s="9"/>
      <c r="S5" s="17"/>
      <c r="T5" s="17"/>
      <c r="U5" s="17"/>
      <c r="V5" s="17"/>
      <c r="W5" s="17"/>
      <c r="X5" s="17"/>
      <c r="Y5" s="17"/>
      <c r="Z5" s="17"/>
      <c r="AA5" s="17"/>
      <c r="AB5" s="17"/>
      <c r="AC5" s="17"/>
      <c r="AD5" s="17"/>
      <c r="AE5" s="17"/>
      <c r="AF5" s="17"/>
    </row>
    <row r="6" ht="15.75" customHeight="1">
      <c r="A6" s="49" t="s">
        <v>27</v>
      </c>
      <c r="B6" s="49" t="s">
        <v>28</v>
      </c>
      <c r="C6" s="49" t="s">
        <v>29</v>
      </c>
      <c r="D6" s="49" t="s">
        <v>30</v>
      </c>
      <c r="E6" s="49" t="s">
        <v>31</v>
      </c>
      <c r="F6" s="49" t="s">
        <v>32</v>
      </c>
      <c r="G6" s="49" t="s">
        <v>33</v>
      </c>
      <c r="H6" s="49" t="s">
        <v>34</v>
      </c>
      <c r="I6" s="49" t="s">
        <v>35</v>
      </c>
      <c r="J6" s="50" t="s">
        <v>36</v>
      </c>
      <c r="K6" s="50" t="s">
        <v>37</v>
      </c>
      <c r="L6" s="49" t="s">
        <v>5</v>
      </c>
      <c r="M6" s="49" t="s">
        <v>6</v>
      </c>
      <c r="N6" s="49" t="s">
        <v>38</v>
      </c>
      <c r="O6" s="50" t="s">
        <v>39</v>
      </c>
      <c r="P6" s="50" t="s">
        <v>40</v>
      </c>
      <c r="Q6" s="50" t="s">
        <v>41</v>
      </c>
      <c r="R6" s="50" t="s">
        <v>42</v>
      </c>
      <c r="S6" s="17"/>
      <c r="T6" s="17"/>
      <c r="U6" s="17"/>
      <c r="V6" s="17"/>
      <c r="W6" s="17"/>
      <c r="X6" s="17"/>
      <c r="Y6" s="17"/>
      <c r="Z6" s="17"/>
      <c r="AA6" s="17"/>
      <c r="AB6" s="17"/>
      <c r="AC6" s="17"/>
      <c r="AD6" s="17"/>
      <c r="AE6" s="17"/>
      <c r="AF6" s="17"/>
    </row>
    <row r="7" ht="15.75" customHeight="1">
      <c r="A7" s="9"/>
      <c r="B7" s="9"/>
      <c r="C7" s="3" t="s">
        <v>43</v>
      </c>
      <c r="D7" s="9" t="s">
        <v>44</v>
      </c>
      <c r="E7" s="9"/>
      <c r="F7" s="9" t="s">
        <v>45</v>
      </c>
      <c r="G7" s="9" t="s">
        <v>46</v>
      </c>
      <c r="H7" s="9" t="s">
        <v>47</v>
      </c>
      <c r="I7" s="9"/>
      <c r="J7" s="52"/>
      <c r="K7" s="9"/>
      <c r="L7" s="52"/>
      <c r="M7" s="52"/>
      <c r="N7" s="9"/>
      <c r="O7" s="52"/>
      <c r="P7" s="9"/>
      <c r="Q7" s="9"/>
      <c r="R7" s="52"/>
      <c r="S7" s="17"/>
      <c r="T7" s="17"/>
      <c r="U7" s="17"/>
      <c r="V7" s="17"/>
      <c r="W7" s="17"/>
      <c r="X7" s="17"/>
      <c r="Y7" s="17"/>
      <c r="Z7" s="17"/>
      <c r="AA7" s="17"/>
      <c r="AB7" s="17"/>
      <c r="AC7" s="17"/>
      <c r="AD7" s="17"/>
      <c r="AE7" s="17"/>
      <c r="AF7" s="17"/>
    </row>
    <row r="8" ht="15.75" customHeight="1">
      <c r="A8" s="9"/>
      <c r="B8" s="9"/>
      <c r="C8" s="3" t="s">
        <v>54</v>
      </c>
      <c r="D8" s="9" t="s">
        <v>55</v>
      </c>
      <c r="E8" s="9"/>
      <c r="F8" s="9" t="s">
        <v>56</v>
      </c>
      <c r="G8" s="9" t="s">
        <v>57</v>
      </c>
      <c r="H8" s="9" t="s">
        <v>58</v>
      </c>
      <c r="I8" s="9"/>
      <c r="J8" s="9"/>
      <c r="K8" s="9"/>
      <c r="L8" s="52"/>
      <c r="M8" s="52"/>
      <c r="N8" s="9"/>
      <c r="O8" s="52"/>
      <c r="P8" s="9"/>
      <c r="Q8" s="9"/>
      <c r="R8" s="9"/>
      <c r="S8" s="17"/>
      <c r="T8" s="17"/>
      <c r="U8" s="17"/>
      <c r="V8" s="17"/>
      <c r="W8" s="17"/>
      <c r="X8" s="17"/>
      <c r="Y8" s="17"/>
      <c r="Z8" s="17"/>
      <c r="AA8" s="17"/>
      <c r="AB8" s="17"/>
      <c r="AC8" s="17"/>
      <c r="AD8" s="17"/>
      <c r="AE8" s="17"/>
      <c r="AF8" s="17"/>
    </row>
    <row r="9" ht="15.75" customHeight="1">
      <c r="A9" s="9"/>
      <c r="B9" s="9"/>
      <c r="C9" s="3" t="s">
        <v>59</v>
      </c>
      <c r="D9" s="9" t="s">
        <v>60</v>
      </c>
      <c r="E9" s="9"/>
      <c r="F9" s="9" t="s">
        <v>61</v>
      </c>
      <c r="G9" s="9" t="s">
        <v>62</v>
      </c>
      <c r="H9" s="9" t="s">
        <v>63</v>
      </c>
      <c r="I9" s="9"/>
      <c r="J9" s="9"/>
      <c r="K9" s="9"/>
      <c r="L9" s="52"/>
      <c r="M9" s="52"/>
      <c r="N9" s="9"/>
      <c r="O9" s="9"/>
      <c r="P9" s="9"/>
      <c r="Q9" s="9"/>
      <c r="R9" s="9"/>
      <c r="S9" s="17"/>
      <c r="T9" s="17"/>
      <c r="U9" s="17"/>
      <c r="V9" s="17"/>
      <c r="W9" s="17"/>
      <c r="X9" s="17"/>
      <c r="Y9" s="17"/>
      <c r="Z9" s="17"/>
      <c r="AA9" s="17"/>
      <c r="AB9" s="17"/>
      <c r="AC9" s="17"/>
      <c r="AD9" s="17"/>
      <c r="AE9" s="17"/>
      <c r="AF9" s="17"/>
    </row>
    <row r="10" ht="15.75" customHeight="1">
      <c r="A10" s="9"/>
      <c r="B10" s="9"/>
      <c r="C10" s="3" t="s">
        <v>65</v>
      </c>
      <c r="D10" s="9" t="s">
        <v>66</v>
      </c>
      <c r="E10" s="9"/>
      <c r="F10" s="9" t="s">
        <v>67</v>
      </c>
      <c r="G10" s="9" t="s">
        <v>69</v>
      </c>
      <c r="H10" s="9" t="s">
        <v>70</v>
      </c>
      <c r="I10" s="9"/>
      <c r="J10" s="9"/>
      <c r="K10" s="9"/>
      <c r="L10" s="52"/>
      <c r="M10" s="9"/>
      <c r="N10" s="9"/>
      <c r="O10" s="9"/>
      <c r="P10" s="9"/>
      <c r="Q10" s="9"/>
      <c r="R10" s="9"/>
      <c r="S10" s="17"/>
      <c r="T10" s="17"/>
      <c r="U10" s="17"/>
      <c r="V10" s="17"/>
      <c r="W10" s="17"/>
      <c r="X10" s="17"/>
      <c r="Y10" s="17"/>
      <c r="Z10" s="17"/>
      <c r="AA10" s="17"/>
      <c r="AB10" s="17"/>
      <c r="AC10" s="17"/>
      <c r="AD10" s="17"/>
      <c r="AE10" s="17"/>
      <c r="AF10" s="17"/>
    </row>
    <row r="11" ht="15.75" customHeight="1">
      <c r="A11" s="9"/>
      <c r="B11" s="9"/>
      <c r="C11" s="3" t="s">
        <v>75</v>
      </c>
      <c r="D11" s="9" t="s">
        <v>76</v>
      </c>
      <c r="E11" s="9"/>
      <c r="F11" s="9" t="s">
        <v>77</v>
      </c>
      <c r="G11" s="9" t="s">
        <v>78</v>
      </c>
      <c r="H11" s="9" t="s">
        <v>79</v>
      </c>
      <c r="I11" s="9"/>
      <c r="J11" s="9"/>
      <c r="K11" s="9"/>
      <c r="L11" s="9"/>
      <c r="M11" s="9"/>
      <c r="N11" s="9"/>
      <c r="O11" s="9"/>
      <c r="P11" s="9"/>
      <c r="Q11" s="9"/>
      <c r="R11" s="9"/>
      <c r="S11" s="17"/>
      <c r="T11" s="17"/>
      <c r="U11" s="17"/>
      <c r="V11" s="17"/>
      <c r="W11" s="17"/>
      <c r="X11" s="17"/>
      <c r="Y11" s="17"/>
      <c r="Z11" s="17"/>
      <c r="AA11" s="17"/>
      <c r="AB11" s="17"/>
      <c r="AC11" s="17"/>
      <c r="AD11" s="17"/>
      <c r="AE11" s="17"/>
      <c r="AF11" s="17"/>
    </row>
    <row r="12" ht="15.75" customHeight="1">
      <c r="A12" s="9"/>
      <c r="B12" s="9"/>
      <c r="C12" s="3" t="s">
        <v>81</v>
      </c>
      <c r="D12" s="9" t="s">
        <v>82</v>
      </c>
      <c r="E12" s="9"/>
      <c r="F12" s="9" t="s">
        <v>83</v>
      </c>
      <c r="G12" s="9" t="s">
        <v>84</v>
      </c>
      <c r="H12" s="9" t="s">
        <v>85</v>
      </c>
      <c r="I12" s="9"/>
      <c r="J12" s="9"/>
      <c r="K12" s="9"/>
      <c r="L12" s="9"/>
      <c r="M12" s="9"/>
      <c r="N12" s="9"/>
      <c r="O12" s="9"/>
      <c r="P12" s="9"/>
      <c r="Q12" s="9"/>
      <c r="R12" s="9"/>
      <c r="S12" s="17"/>
      <c r="T12" s="17"/>
      <c r="U12" s="17"/>
      <c r="V12" s="17"/>
      <c r="W12" s="17"/>
      <c r="X12" s="17"/>
      <c r="Y12" s="17"/>
      <c r="Z12" s="17"/>
      <c r="AA12" s="17"/>
      <c r="AB12" s="17"/>
      <c r="AC12" s="17"/>
      <c r="AD12" s="17"/>
      <c r="AE12" s="17"/>
      <c r="AF12" s="17"/>
    </row>
    <row r="13" ht="15.75" customHeight="1">
      <c r="A13" s="9"/>
      <c r="B13" s="9"/>
      <c r="C13" s="3" t="s">
        <v>86</v>
      </c>
      <c r="D13" s="9" t="s">
        <v>87</v>
      </c>
      <c r="E13" s="9"/>
      <c r="F13" s="9" t="s">
        <v>88</v>
      </c>
      <c r="G13" s="9" t="s">
        <v>89</v>
      </c>
      <c r="H13" s="9" t="s">
        <v>90</v>
      </c>
      <c r="I13" s="9"/>
      <c r="J13" s="9"/>
      <c r="K13" s="9"/>
      <c r="L13" s="9"/>
      <c r="M13" s="9"/>
      <c r="N13" s="9"/>
      <c r="O13" s="9"/>
      <c r="P13" s="9"/>
      <c r="Q13" s="9"/>
      <c r="R13" s="9"/>
      <c r="S13" s="17"/>
      <c r="T13" s="17"/>
      <c r="U13" s="17"/>
      <c r="V13" s="17"/>
      <c r="W13" s="17"/>
      <c r="X13" s="17"/>
      <c r="Y13" s="17"/>
      <c r="Z13" s="17"/>
      <c r="AA13" s="17"/>
      <c r="AB13" s="17"/>
      <c r="AC13" s="17"/>
      <c r="AD13" s="17"/>
      <c r="AE13" s="17"/>
      <c r="AF13" s="17"/>
    </row>
    <row r="14" ht="15.75" customHeight="1">
      <c r="A14" s="9"/>
      <c r="B14" s="9"/>
      <c r="C14" s="3" t="s">
        <v>93</v>
      </c>
      <c r="D14" s="9" t="s">
        <v>94</v>
      </c>
      <c r="E14" s="9"/>
      <c r="F14" s="9" t="s">
        <v>96</v>
      </c>
      <c r="G14" s="9" t="s">
        <v>98</v>
      </c>
      <c r="H14" s="9" t="s">
        <v>100</v>
      </c>
      <c r="I14" s="9"/>
      <c r="J14" s="9"/>
      <c r="K14" s="9"/>
      <c r="L14" s="9"/>
      <c r="M14" s="9"/>
      <c r="N14" s="9"/>
      <c r="O14" s="9"/>
      <c r="P14" s="9"/>
      <c r="Q14" s="9"/>
      <c r="R14" s="9"/>
      <c r="S14" s="17"/>
      <c r="T14" s="17"/>
      <c r="U14" s="17"/>
      <c r="V14" s="17"/>
      <c r="W14" s="17"/>
      <c r="X14" s="17"/>
      <c r="Y14" s="17"/>
      <c r="Z14" s="17"/>
      <c r="AA14" s="17"/>
      <c r="AB14" s="17"/>
      <c r="AC14" s="17"/>
      <c r="AD14" s="17"/>
      <c r="AE14" s="17"/>
      <c r="AF14" s="17"/>
    </row>
    <row r="15" ht="15.75" customHeight="1">
      <c r="A15" s="9"/>
      <c r="B15" s="9"/>
      <c r="C15" s="3" t="s">
        <v>105</v>
      </c>
      <c r="D15" s="9" t="s">
        <v>106</v>
      </c>
      <c r="E15" s="9"/>
      <c r="F15" s="9" t="s">
        <v>107</v>
      </c>
      <c r="G15" s="9" t="s">
        <v>108</v>
      </c>
      <c r="H15" s="9" t="s">
        <v>79</v>
      </c>
      <c r="I15" s="9"/>
      <c r="J15" s="9"/>
      <c r="K15" s="9"/>
      <c r="L15" s="9"/>
      <c r="M15" s="9"/>
      <c r="N15" s="9"/>
      <c r="O15" s="9"/>
      <c r="P15" s="9"/>
      <c r="Q15" s="9"/>
      <c r="R15" s="9"/>
      <c r="S15" s="17"/>
      <c r="T15" s="17"/>
      <c r="U15" s="17"/>
      <c r="V15" s="17"/>
      <c r="W15" s="17"/>
      <c r="X15" s="17"/>
      <c r="Y15" s="17"/>
      <c r="Z15" s="17"/>
      <c r="AA15" s="17"/>
      <c r="AB15" s="17"/>
      <c r="AC15" s="17"/>
      <c r="AD15" s="17"/>
      <c r="AE15" s="17"/>
      <c r="AF15" s="17"/>
    </row>
    <row r="16" ht="15.75" customHeight="1">
      <c r="A16" s="9"/>
      <c r="B16" s="9"/>
      <c r="C16" s="3" t="s">
        <v>110</v>
      </c>
      <c r="D16" s="9" t="s">
        <v>111</v>
      </c>
      <c r="E16" s="9"/>
      <c r="F16" s="9" t="s">
        <v>112</v>
      </c>
      <c r="G16" s="9" t="s">
        <v>113</v>
      </c>
      <c r="H16" s="9" t="s">
        <v>114</v>
      </c>
      <c r="I16" s="9"/>
      <c r="J16" s="9"/>
      <c r="K16" s="9"/>
      <c r="L16" s="9"/>
      <c r="M16" s="9"/>
      <c r="N16" s="9"/>
      <c r="O16" s="9"/>
      <c r="P16" s="9"/>
      <c r="Q16" s="9"/>
      <c r="R16" s="9"/>
      <c r="S16" s="17"/>
      <c r="T16" s="17"/>
      <c r="U16" s="17"/>
      <c r="V16" s="17"/>
      <c r="W16" s="17"/>
      <c r="X16" s="17"/>
      <c r="Y16" s="17"/>
      <c r="Z16" s="17"/>
      <c r="AA16" s="17"/>
      <c r="AB16" s="17"/>
      <c r="AC16" s="17"/>
      <c r="AD16" s="17"/>
      <c r="AE16" s="17"/>
      <c r="AF16" s="17"/>
    </row>
    <row r="17" ht="15.75" customHeight="1">
      <c r="A17" s="9"/>
      <c r="B17" s="9"/>
      <c r="C17" s="3" t="s">
        <v>115</v>
      </c>
      <c r="D17" s="9" t="s">
        <v>116</v>
      </c>
      <c r="E17" s="9"/>
      <c r="F17" s="9" t="s">
        <v>117</v>
      </c>
      <c r="G17" s="9" t="s">
        <v>118</v>
      </c>
      <c r="H17" s="9" t="s">
        <v>119</v>
      </c>
      <c r="I17" s="9"/>
      <c r="J17" s="9"/>
      <c r="K17" s="9"/>
      <c r="L17" s="9"/>
      <c r="M17" s="9"/>
      <c r="N17" s="9"/>
      <c r="O17" s="9"/>
      <c r="P17" s="9"/>
      <c r="Q17" s="9"/>
      <c r="R17" s="9"/>
      <c r="S17" s="17"/>
      <c r="T17" s="17"/>
      <c r="U17" s="17"/>
      <c r="V17" s="17"/>
      <c r="W17" s="17"/>
      <c r="X17" s="17"/>
      <c r="Y17" s="17"/>
      <c r="Z17" s="17"/>
      <c r="AA17" s="17"/>
      <c r="AB17" s="17"/>
      <c r="AC17" s="17"/>
      <c r="AD17" s="17"/>
      <c r="AE17" s="17"/>
      <c r="AF17" s="17"/>
    </row>
    <row r="18" ht="15.75" customHeight="1">
      <c r="A18" s="9"/>
      <c r="B18" s="9"/>
      <c r="C18" s="9"/>
      <c r="D18" s="9"/>
      <c r="E18" s="9"/>
      <c r="F18" s="9"/>
      <c r="G18" s="9"/>
      <c r="H18" s="9"/>
      <c r="I18" s="9"/>
      <c r="J18" s="9"/>
      <c r="K18" s="9"/>
      <c r="L18" s="9"/>
      <c r="M18" s="9"/>
      <c r="N18" s="9"/>
      <c r="O18" s="9"/>
      <c r="P18" s="9"/>
      <c r="Q18" s="9"/>
      <c r="R18" s="9"/>
      <c r="S18" s="17"/>
      <c r="T18" s="17"/>
      <c r="U18" s="17"/>
      <c r="V18" s="17"/>
      <c r="W18" s="17"/>
      <c r="X18" s="17"/>
      <c r="Y18" s="17"/>
      <c r="Z18" s="17"/>
      <c r="AA18" s="17"/>
      <c r="AB18" s="17"/>
      <c r="AC18" s="17"/>
      <c r="AD18" s="17"/>
      <c r="AE18" s="17"/>
      <c r="AF18" s="17"/>
    </row>
    <row r="19" ht="15.75" customHeight="1">
      <c r="A19" s="9"/>
      <c r="B19" s="9"/>
      <c r="C19" s="9"/>
      <c r="D19" s="9"/>
      <c r="E19" s="9"/>
      <c r="F19" s="9"/>
      <c r="G19" s="9"/>
      <c r="H19" s="9"/>
      <c r="I19" s="9"/>
      <c r="J19" s="9"/>
      <c r="K19" s="9"/>
      <c r="L19" s="9"/>
      <c r="M19" s="9"/>
      <c r="N19" s="9"/>
      <c r="O19" s="9"/>
      <c r="P19" s="9"/>
      <c r="Q19" s="9"/>
      <c r="R19" s="9"/>
      <c r="S19" s="17"/>
      <c r="T19" s="17"/>
      <c r="U19" s="17"/>
      <c r="V19" s="17"/>
      <c r="W19" s="17"/>
      <c r="X19" s="17"/>
      <c r="Y19" s="17"/>
      <c r="Z19" s="17"/>
      <c r="AA19" s="17"/>
      <c r="AB19" s="17"/>
      <c r="AC19" s="17"/>
      <c r="AD19" s="17"/>
      <c r="AE19" s="17"/>
      <c r="AF19" s="17"/>
    </row>
    <row r="20" ht="15.75" customHeight="1">
      <c r="A20" s="9"/>
      <c r="B20" s="9"/>
      <c r="C20" s="9"/>
      <c r="D20" s="9"/>
      <c r="E20" s="9"/>
      <c r="F20" s="9"/>
      <c r="G20" s="9"/>
      <c r="H20" s="9"/>
      <c r="I20" s="9"/>
      <c r="J20" s="9"/>
      <c r="K20" s="9"/>
      <c r="L20" s="9"/>
      <c r="M20" s="9"/>
      <c r="N20" s="9"/>
      <c r="O20" s="9"/>
      <c r="P20" s="9"/>
      <c r="Q20" s="9"/>
      <c r="R20" s="9"/>
      <c r="S20" s="17"/>
      <c r="T20" s="17"/>
      <c r="U20" s="17"/>
      <c r="V20" s="17"/>
      <c r="W20" s="17"/>
      <c r="X20" s="17"/>
      <c r="Y20" s="17"/>
      <c r="Z20" s="17"/>
      <c r="AA20" s="17"/>
      <c r="AB20" s="17"/>
      <c r="AC20" s="17"/>
      <c r="AD20" s="17"/>
      <c r="AE20" s="17"/>
      <c r="AF20" s="17"/>
    </row>
    <row r="21" ht="15.75" customHeight="1">
      <c r="A21" s="9"/>
      <c r="B21" s="9"/>
      <c r="C21" s="9"/>
      <c r="D21" s="9"/>
      <c r="E21" s="9"/>
      <c r="F21" s="9"/>
      <c r="G21" s="9"/>
      <c r="H21" s="9"/>
      <c r="I21" s="9"/>
      <c r="J21" s="9"/>
      <c r="K21" s="9"/>
      <c r="L21" s="9"/>
      <c r="M21" s="9"/>
      <c r="N21" s="9"/>
      <c r="O21" s="9"/>
      <c r="P21" s="9"/>
      <c r="Q21" s="9"/>
      <c r="R21" s="9"/>
      <c r="S21" s="17"/>
      <c r="T21" s="17"/>
      <c r="U21" s="17"/>
      <c r="V21" s="17"/>
      <c r="W21" s="17"/>
      <c r="X21" s="17"/>
      <c r="Y21" s="17"/>
      <c r="Z21" s="17"/>
      <c r="AA21" s="17"/>
      <c r="AB21" s="17"/>
      <c r="AC21" s="17"/>
      <c r="AD21" s="17"/>
      <c r="AE21" s="17"/>
      <c r="AF21" s="17"/>
    </row>
    <row r="22" ht="15.75" customHeight="1">
      <c r="A22" s="9"/>
      <c r="B22" s="9"/>
      <c r="C22" s="9"/>
      <c r="D22" s="9"/>
      <c r="E22" s="9"/>
      <c r="F22" s="9"/>
      <c r="G22" s="9"/>
      <c r="H22" s="9"/>
      <c r="I22" s="9"/>
      <c r="J22" s="9"/>
      <c r="K22" s="9"/>
      <c r="L22" s="9"/>
      <c r="M22" s="9"/>
      <c r="N22" s="9"/>
      <c r="O22" s="9"/>
      <c r="P22" s="9"/>
      <c r="Q22" s="9"/>
      <c r="R22" s="9"/>
      <c r="S22" s="17"/>
      <c r="T22" s="17"/>
      <c r="U22" s="17"/>
      <c r="V22" s="17"/>
      <c r="W22" s="17"/>
      <c r="X22" s="17"/>
      <c r="Y22" s="17"/>
      <c r="Z22" s="17"/>
      <c r="AA22" s="17"/>
      <c r="AB22" s="17"/>
      <c r="AC22" s="17"/>
      <c r="AD22" s="17"/>
      <c r="AE22" s="17"/>
      <c r="AF22" s="17"/>
    </row>
    <row r="23" ht="15.75" customHeight="1">
      <c r="A23" s="9"/>
      <c r="B23" s="9"/>
      <c r="C23" s="9"/>
      <c r="D23" s="9"/>
      <c r="E23" s="9"/>
      <c r="F23" s="9"/>
      <c r="G23" s="9"/>
      <c r="H23" s="9"/>
      <c r="I23" s="9"/>
      <c r="J23" s="9"/>
      <c r="K23" s="9"/>
      <c r="L23" s="9"/>
      <c r="M23" s="9"/>
      <c r="N23" s="9"/>
      <c r="O23" s="9"/>
      <c r="P23" s="9"/>
      <c r="Q23" s="9"/>
      <c r="R23" s="9"/>
      <c r="S23" s="17"/>
      <c r="T23" s="17"/>
      <c r="U23" s="17"/>
      <c r="V23" s="17"/>
      <c r="W23" s="17"/>
      <c r="X23" s="17"/>
      <c r="Y23" s="17"/>
      <c r="Z23" s="17"/>
      <c r="AA23" s="17"/>
      <c r="AB23" s="17"/>
      <c r="AC23" s="17"/>
      <c r="AD23" s="17"/>
      <c r="AE23" s="17"/>
      <c r="AF23" s="17"/>
    </row>
    <row r="24" ht="15.75" customHeight="1">
      <c r="A24" s="9" t="s">
        <v>137</v>
      </c>
      <c r="B24" s="9"/>
      <c r="C24" s="9"/>
      <c r="D24" s="9"/>
      <c r="E24" s="9"/>
      <c r="F24" s="9"/>
      <c r="G24" s="9"/>
      <c r="H24" s="9"/>
      <c r="I24" s="9"/>
      <c r="J24" s="9"/>
      <c r="K24" s="9"/>
      <c r="L24" s="9"/>
      <c r="M24" s="9"/>
      <c r="N24" s="9"/>
      <c r="O24" s="9"/>
      <c r="P24" s="9"/>
      <c r="Q24" s="9"/>
      <c r="R24" s="9"/>
      <c r="S24" s="17"/>
      <c r="T24" s="17"/>
      <c r="U24" s="17"/>
      <c r="V24" s="17"/>
      <c r="W24" s="17"/>
      <c r="X24" s="17"/>
      <c r="Y24" s="17"/>
      <c r="Z24" s="17"/>
      <c r="AA24" s="17"/>
      <c r="AB24" s="17"/>
      <c r="AC24" s="17"/>
      <c r="AD24" s="17"/>
      <c r="AE24" s="17"/>
      <c r="AF24" s="17"/>
    </row>
    <row r="25" ht="15.75" customHeight="1">
      <c r="A25" s="9"/>
      <c r="B25" s="9"/>
      <c r="C25" s="9"/>
      <c r="D25" s="9"/>
      <c r="E25" s="9"/>
      <c r="F25" s="9"/>
      <c r="G25" s="9"/>
      <c r="H25" s="9"/>
      <c r="I25" s="9"/>
      <c r="J25" s="9"/>
      <c r="K25" s="9"/>
      <c r="L25" s="9"/>
      <c r="M25" s="9"/>
      <c r="N25" s="9"/>
      <c r="O25" s="9"/>
      <c r="P25" s="9"/>
      <c r="Q25" s="9"/>
      <c r="R25" s="9"/>
      <c r="S25" s="17"/>
      <c r="T25" s="17"/>
      <c r="U25" s="17"/>
      <c r="V25" s="17"/>
      <c r="W25" s="17"/>
      <c r="X25" s="17"/>
      <c r="Y25" s="17"/>
      <c r="Z25" s="17"/>
      <c r="AA25" s="17"/>
      <c r="AB25" s="17"/>
      <c r="AC25" s="17"/>
      <c r="AD25" s="17"/>
      <c r="AE25" s="17"/>
      <c r="AF25" s="17"/>
    </row>
    <row r="26" ht="15.75" customHeight="1">
      <c r="A26" s="9"/>
      <c r="B26" s="9"/>
      <c r="C26" s="9"/>
      <c r="D26" s="9"/>
      <c r="E26" s="9"/>
      <c r="F26" s="9"/>
      <c r="G26" s="9"/>
      <c r="H26" s="9"/>
      <c r="I26" s="9"/>
      <c r="J26" s="9"/>
      <c r="K26" s="9"/>
      <c r="L26" s="9"/>
      <c r="M26" s="9"/>
      <c r="N26" s="9"/>
      <c r="O26" s="9"/>
      <c r="P26" s="9"/>
      <c r="Q26" s="9"/>
      <c r="R26" s="9"/>
      <c r="S26" s="17"/>
      <c r="T26" s="17"/>
      <c r="U26" s="17"/>
      <c r="V26" s="17"/>
      <c r="W26" s="17"/>
      <c r="X26" s="17"/>
      <c r="Y26" s="17"/>
      <c r="Z26" s="17"/>
      <c r="AA26" s="17"/>
      <c r="AB26" s="17"/>
      <c r="AC26" s="17"/>
      <c r="AD26" s="17"/>
      <c r="AE26" s="17"/>
      <c r="AF26" s="17"/>
    </row>
    <row r="27" ht="15.75" customHeight="1">
      <c r="A27" s="9"/>
      <c r="B27" s="9"/>
      <c r="C27" s="9"/>
      <c r="D27" s="9"/>
      <c r="E27" s="9"/>
      <c r="F27" s="9"/>
      <c r="G27" s="9"/>
      <c r="H27" s="9"/>
      <c r="I27" s="9"/>
      <c r="J27" s="9"/>
      <c r="K27" s="9"/>
      <c r="L27" s="9"/>
      <c r="M27" s="9"/>
      <c r="N27" s="9"/>
      <c r="O27" s="9"/>
      <c r="P27" s="9"/>
      <c r="Q27" s="9"/>
      <c r="R27" s="9"/>
      <c r="S27" s="17"/>
      <c r="T27" s="17"/>
      <c r="U27" s="17"/>
      <c r="V27" s="17"/>
      <c r="W27" s="17"/>
      <c r="X27" s="17"/>
      <c r="Y27" s="17"/>
      <c r="Z27" s="17"/>
      <c r="AA27" s="17"/>
      <c r="AB27" s="17"/>
      <c r="AC27" s="17"/>
      <c r="AD27" s="17"/>
      <c r="AE27" s="17"/>
      <c r="AF27" s="17"/>
    </row>
    <row r="28" ht="15.75" customHeight="1">
      <c r="A28" s="9"/>
      <c r="B28" s="9"/>
      <c r="C28" s="9"/>
      <c r="D28" s="9"/>
      <c r="E28" s="9"/>
      <c r="F28" s="9"/>
      <c r="G28" s="9"/>
      <c r="H28" s="9"/>
      <c r="I28" s="9"/>
      <c r="J28" s="9"/>
      <c r="K28" s="9"/>
      <c r="L28" s="9"/>
      <c r="M28" s="9"/>
      <c r="N28" s="9"/>
      <c r="O28" s="9"/>
      <c r="P28" s="9"/>
      <c r="Q28" s="9"/>
      <c r="R28" s="9"/>
      <c r="S28" s="17"/>
      <c r="T28" s="17"/>
      <c r="U28" s="17"/>
      <c r="V28" s="17"/>
      <c r="W28" s="17"/>
      <c r="X28" s="17"/>
      <c r="Y28" s="17"/>
      <c r="Z28" s="17"/>
      <c r="AA28" s="17"/>
      <c r="AB28" s="17"/>
      <c r="AC28" s="17"/>
      <c r="AD28" s="17"/>
      <c r="AE28" s="17"/>
      <c r="AF28" s="17"/>
    </row>
    <row r="29" ht="15.75" customHeight="1">
      <c r="A29" s="9"/>
      <c r="B29" s="9"/>
      <c r="C29" s="9"/>
      <c r="D29" s="9"/>
      <c r="E29" s="9"/>
      <c r="F29" s="9"/>
      <c r="G29" s="9"/>
      <c r="H29" s="9"/>
      <c r="I29" s="9"/>
      <c r="J29" s="9"/>
      <c r="K29" s="9"/>
      <c r="L29" s="9"/>
      <c r="M29" s="9"/>
      <c r="N29" s="9"/>
      <c r="O29" s="9"/>
      <c r="P29" s="9"/>
      <c r="Q29" s="9"/>
      <c r="R29" s="9"/>
      <c r="S29" s="17"/>
      <c r="T29" s="17"/>
      <c r="U29" s="17"/>
      <c r="V29" s="17"/>
      <c r="W29" s="17"/>
      <c r="X29" s="17"/>
      <c r="Y29" s="17"/>
      <c r="Z29" s="17"/>
      <c r="AA29" s="17"/>
      <c r="AB29" s="17"/>
      <c r="AC29" s="17"/>
      <c r="AD29" s="17"/>
      <c r="AE29" s="17"/>
      <c r="AF29" s="17"/>
    </row>
    <row r="30" ht="15.75" customHeight="1">
      <c r="A30" s="9"/>
      <c r="B30" s="9"/>
      <c r="C30" s="9"/>
      <c r="D30" s="9"/>
      <c r="E30" s="9"/>
      <c r="F30" s="9"/>
      <c r="G30" s="9"/>
      <c r="H30" s="9"/>
      <c r="I30" s="9"/>
      <c r="J30" s="9"/>
      <c r="K30" s="9"/>
      <c r="L30" s="9"/>
      <c r="M30" s="9"/>
      <c r="N30" s="9"/>
      <c r="O30" s="9"/>
      <c r="P30" s="9"/>
      <c r="Q30" s="9"/>
      <c r="R30" s="9"/>
      <c r="S30" s="17"/>
      <c r="T30" s="17"/>
      <c r="U30" s="17"/>
      <c r="V30" s="17"/>
      <c r="W30" s="17"/>
      <c r="X30" s="17"/>
      <c r="Y30" s="17"/>
      <c r="Z30" s="17"/>
      <c r="AA30" s="17"/>
      <c r="AB30" s="17"/>
      <c r="AC30" s="17"/>
      <c r="AD30" s="17"/>
      <c r="AE30" s="17"/>
      <c r="AF30" s="17"/>
    </row>
    <row r="31" ht="15.75" customHeight="1">
      <c r="A31" s="9"/>
      <c r="B31" s="9"/>
      <c r="C31" s="9"/>
      <c r="D31" s="9"/>
      <c r="E31" s="9"/>
      <c r="F31" s="9"/>
      <c r="G31" s="9"/>
      <c r="H31" s="9"/>
      <c r="I31" s="9"/>
      <c r="J31" s="9"/>
      <c r="K31" s="9"/>
      <c r="L31" s="9"/>
      <c r="M31" s="9"/>
      <c r="N31" s="9"/>
      <c r="O31" s="9"/>
      <c r="P31" s="9"/>
      <c r="Q31" s="9"/>
      <c r="R31" s="9"/>
      <c r="S31" s="17"/>
      <c r="T31" s="17"/>
      <c r="U31" s="17"/>
      <c r="V31" s="17"/>
      <c r="W31" s="17"/>
      <c r="X31" s="17"/>
      <c r="Y31" s="17"/>
      <c r="Z31" s="17"/>
      <c r="AA31" s="17"/>
      <c r="AB31" s="17"/>
      <c r="AC31" s="17"/>
      <c r="AD31" s="17"/>
      <c r="AE31" s="17"/>
      <c r="AF31" s="17"/>
    </row>
    <row r="32" ht="15.75" customHeight="1">
      <c r="A32" s="9"/>
      <c r="B32" s="9"/>
      <c r="C32" s="9"/>
      <c r="D32" s="9"/>
      <c r="E32" s="9"/>
      <c r="F32" s="9"/>
      <c r="G32" s="9"/>
      <c r="H32" s="9"/>
      <c r="I32" s="9"/>
      <c r="J32" s="9"/>
      <c r="K32" s="9"/>
      <c r="L32" s="9"/>
      <c r="M32" s="9"/>
      <c r="N32" s="9"/>
      <c r="O32" s="9"/>
      <c r="P32" s="9"/>
      <c r="Q32" s="9"/>
      <c r="R32" s="9"/>
      <c r="S32" s="17"/>
      <c r="T32" s="17"/>
      <c r="U32" s="17"/>
      <c r="V32" s="17"/>
      <c r="W32" s="17"/>
      <c r="X32" s="17"/>
      <c r="Y32" s="17"/>
      <c r="Z32" s="17"/>
      <c r="AA32" s="17"/>
      <c r="AB32" s="17"/>
      <c r="AC32" s="17"/>
      <c r="AD32" s="17"/>
      <c r="AE32" s="17"/>
      <c r="AF32" s="17"/>
    </row>
    <row r="33" ht="15.75" customHeight="1">
      <c r="A33" s="9"/>
      <c r="B33" s="9"/>
      <c r="C33" s="9"/>
      <c r="D33" s="9"/>
      <c r="E33" s="9"/>
      <c r="F33" s="9"/>
      <c r="G33" s="9"/>
      <c r="H33" s="9"/>
      <c r="I33" s="9"/>
      <c r="J33" s="9"/>
      <c r="K33" s="9"/>
      <c r="L33" s="9"/>
      <c r="M33" s="9"/>
      <c r="N33" s="9"/>
      <c r="O33" s="9"/>
      <c r="P33" s="9"/>
      <c r="Q33" s="9"/>
      <c r="R33" s="9"/>
      <c r="S33" s="17"/>
      <c r="T33" s="17"/>
      <c r="U33" s="17"/>
      <c r="V33" s="17"/>
      <c r="W33" s="17"/>
      <c r="X33" s="17"/>
      <c r="Y33" s="17"/>
      <c r="Z33" s="17"/>
      <c r="AA33" s="17"/>
      <c r="AB33" s="17"/>
      <c r="AC33" s="17"/>
      <c r="AD33" s="17"/>
      <c r="AE33" s="17"/>
      <c r="AF33" s="17"/>
    </row>
    <row r="34" ht="15.75" customHeight="1">
      <c r="A34" s="9"/>
      <c r="B34" s="9"/>
      <c r="C34" s="9"/>
      <c r="D34" s="9"/>
      <c r="E34" s="9"/>
      <c r="F34" s="9"/>
      <c r="G34" s="9"/>
      <c r="H34" s="9"/>
      <c r="I34" s="9"/>
      <c r="J34" s="9"/>
      <c r="K34" s="9"/>
      <c r="L34" s="9"/>
      <c r="M34" s="9"/>
      <c r="N34" s="9"/>
      <c r="O34" s="9"/>
      <c r="P34" s="9"/>
      <c r="Q34" s="9"/>
      <c r="R34" s="9"/>
      <c r="S34" s="17"/>
      <c r="T34" s="17"/>
      <c r="U34" s="17"/>
      <c r="V34" s="17"/>
      <c r="W34" s="17"/>
      <c r="X34" s="17"/>
      <c r="Y34" s="17"/>
      <c r="Z34" s="17"/>
      <c r="AA34" s="17"/>
      <c r="AB34" s="17"/>
      <c r="AC34" s="17"/>
      <c r="AD34" s="17"/>
      <c r="AE34" s="17"/>
      <c r="AF34" s="17"/>
    </row>
    <row r="35" ht="15.75" customHeight="1">
      <c r="A35" s="9"/>
      <c r="B35" s="9"/>
      <c r="C35" s="9"/>
      <c r="D35" s="9"/>
      <c r="E35" s="9"/>
      <c r="F35" s="9"/>
      <c r="G35" s="9"/>
      <c r="H35" s="9"/>
      <c r="I35" s="9"/>
      <c r="J35" s="9"/>
      <c r="K35" s="9"/>
      <c r="L35" s="9"/>
      <c r="M35" s="9"/>
      <c r="N35" s="9"/>
      <c r="O35" s="9"/>
      <c r="P35" s="9"/>
      <c r="Q35" s="9"/>
      <c r="R35" s="9"/>
      <c r="S35" s="17"/>
      <c r="T35" s="17"/>
      <c r="U35" s="17"/>
      <c r="V35" s="17"/>
      <c r="W35" s="17"/>
      <c r="X35" s="17"/>
      <c r="Y35" s="17"/>
      <c r="Z35" s="17"/>
      <c r="AA35" s="17"/>
      <c r="AB35" s="17"/>
      <c r="AC35" s="17"/>
      <c r="AD35" s="17"/>
      <c r="AE35" s="17"/>
      <c r="AF35" s="17"/>
    </row>
    <row r="36" ht="15.75" customHeight="1">
      <c r="A36" s="9"/>
      <c r="B36" s="9"/>
      <c r="C36" s="9"/>
      <c r="D36" s="9"/>
      <c r="E36" s="9"/>
      <c r="F36" s="9"/>
      <c r="G36" s="9"/>
      <c r="H36" s="9"/>
      <c r="I36" s="9"/>
      <c r="J36" s="9"/>
      <c r="K36" s="9"/>
      <c r="L36" s="9"/>
      <c r="M36" s="9"/>
      <c r="N36" s="9"/>
      <c r="O36" s="9"/>
      <c r="P36" s="9"/>
      <c r="Q36" s="9"/>
      <c r="R36" s="9"/>
      <c r="S36" s="17"/>
      <c r="T36" s="17"/>
      <c r="U36" s="17"/>
      <c r="V36" s="17"/>
      <c r="W36" s="17"/>
      <c r="X36" s="17"/>
      <c r="Y36" s="17"/>
      <c r="Z36" s="17"/>
      <c r="AA36" s="17"/>
      <c r="AB36" s="17"/>
      <c r="AC36" s="17"/>
      <c r="AD36" s="17"/>
      <c r="AE36" s="17"/>
      <c r="AF36" s="17"/>
    </row>
    <row r="37" ht="15.75" customHeight="1">
      <c r="A37" s="9"/>
      <c r="B37" s="9"/>
      <c r="C37" s="9"/>
      <c r="D37" s="9"/>
      <c r="E37" s="9"/>
      <c r="F37" s="9"/>
      <c r="G37" s="9"/>
      <c r="H37" s="9"/>
      <c r="I37" s="9"/>
      <c r="J37" s="9"/>
      <c r="K37" s="9"/>
      <c r="L37" s="9"/>
      <c r="M37" s="9"/>
      <c r="N37" s="9"/>
      <c r="O37" s="9"/>
      <c r="P37" s="9"/>
      <c r="Q37" s="9"/>
      <c r="R37" s="9"/>
      <c r="S37" s="17"/>
      <c r="T37" s="17"/>
      <c r="U37" s="17"/>
      <c r="V37" s="17"/>
      <c r="W37" s="17"/>
      <c r="X37" s="17"/>
      <c r="Y37" s="17"/>
      <c r="Z37" s="17"/>
      <c r="AA37" s="17"/>
      <c r="AB37" s="17"/>
      <c r="AC37" s="17"/>
      <c r="AD37" s="17"/>
      <c r="AE37" s="17"/>
      <c r="AF37" s="17"/>
    </row>
    <row r="38" ht="15.75" customHeight="1">
      <c r="A38" s="9"/>
      <c r="B38" s="9"/>
      <c r="C38" s="9"/>
      <c r="D38" s="9"/>
      <c r="E38" s="9"/>
      <c r="F38" s="9"/>
      <c r="G38" s="9"/>
      <c r="H38" s="9"/>
      <c r="I38" s="9"/>
      <c r="J38" s="9"/>
      <c r="K38" s="9"/>
      <c r="L38" s="9"/>
      <c r="M38" s="9"/>
      <c r="N38" s="9"/>
      <c r="O38" s="9"/>
      <c r="P38" s="9"/>
      <c r="Q38" s="9"/>
      <c r="R38" s="9"/>
      <c r="S38" s="17"/>
      <c r="T38" s="17"/>
      <c r="U38" s="17"/>
      <c r="V38" s="17"/>
      <c r="W38" s="17"/>
      <c r="X38" s="17"/>
      <c r="Y38" s="17"/>
      <c r="Z38" s="17"/>
      <c r="AA38" s="17"/>
      <c r="AB38" s="17"/>
      <c r="AC38" s="17"/>
      <c r="AD38" s="17"/>
      <c r="AE38" s="17"/>
      <c r="AF38" s="17"/>
    </row>
    <row r="39" ht="15.75" customHeight="1">
      <c r="A39" s="9"/>
      <c r="B39" s="9"/>
      <c r="C39" s="9"/>
      <c r="D39" s="9"/>
      <c r="E39" s="9"/>
      <c r="F39" s="9"/>
      <c r="G39" s="9"/>
      <c r="H39" s="9"/>
      <c r="I39" s="9"/>
      <c r="J39" s="9"/>
      <c r="K39" s="9"/>
      <c r="L39" s="9"/>
      <c r="M39" s="9"/>
      <c r="N39" s="9"/>
      <c r="O39" s="9"/>
      <c r="P39" s="9"/>
      <c r="Q39" s="9"/>
      <c r="R39" s="9"/>
      <c r="S39" s="17"/>
      <c r="T39" s="17"/>
      <c r="U39" s="17"/>
      <c r="V39" s="17"/>
      <c r="W39" s="17"/>
      <c r="X39" s="17"/>
      <c r="Y39" s="17"/>
      <c r="Z39" s="17"/>
      <c r="AA39" s="17"/>
      <c r="AB39" s="17"/>
      <c r="AC39" s="17"/>
      <c r="AD39" s="17"/>
      <c r="AE39" s="17"/>
      <c r="AF39" s="17"/>
    </row>
    <row r="40" ht="15.75" customHeight="1">
      <c r="A40" s="9"/>
      <c r="B40" s="9"/>
      <c r="C40" s="9"/>
      <c r="D40" s="9"/>
      <c r="E40" s="9"/>
      <c r="F40" s="9"/>
      <c r="G40" s="9"/>
      <c r="H40" s="9"/>
      <c r="I40" s="9"/>
      <c r="J40" s="9"/>
      <c r="K40" s="9"/>
      <c r="L40" s="9"/>
      <c r="M40" s="9"/>
      <c r="N40" s="9"/>
      <c r="O40" s="9"/>
      <c r="P40" s="9"/>
      <c r="Q40" s="9"/>
      <c r="R40" s="9"/>
      <c r="S40" s="17"/>
      <c r="T40" s="17"/>
      <c r="U40" s="17"/>
      <c r="V40" s="17"/>
      <c r="W40" s="17"/>
      <c r="X40" s="17"/>
      <c r="Y40" s="17"/>
      <c r="Z40" s="17"/>
      <c r="AA40" s="17"/>
      <c r="AB40" s="17"/>
      <c r="AC40" s="17"/>
      <c r="AD40" s="17"/>
      <c r="AE40" s="17"/>
      <c r="AF40" s="17"/>
    </row>
    <row r="41" ht="15.75" customHeight="1">
      <c r="A41" s="9"/>
      <c r="B41" s="9"/>
      <c r="C41" s="9"/>
      <c r="D41" s="9"/>
      <c r="E41" s="9"/>
      <c r="F41" s="9"/>
      <c r="G41" s="9"/>
      <c r="H41" s="9"/>
      <c r="I41" s="9"/>
      <c r="J41" s="9"/>
      <c r="K41" s="9"/>
      <c r="L41" s="9"/>
      <c r="M41" s="9"/>
      <c r="N41" s="9"/>
      <c r="O41" s="9"/>
      <c r="P41" s="9"/>
      <c r="Q41" s="9"/>
      <c r="R41" s="9"/>
      <c r="S41" s="17"/>
      <c r="T41" s="17"/>
      <c r="U41" s="17"/>
      <c r="V41" s="17"/>
      <c r="W41" s="17"/>
      <c r="X41" s="17"/>
      <c r="Y41" s="17"/>
      <c r="Z41" s="17"/>
      <c r="AA41" s="17"/>
      <c r="AB41" s="17"/>
      <c r="AC41" s="17"/>
      <c r="AD41" s="17"/>
      <c r="AE41" s="17"/>
      <c r="AF41" s="17"/>
    </row>
    <row r="42" ht="15.75" customHeight="1">
      <c r="A42" s="9"/>
      <c r="B42" s="9"/>
      <c r="C42" s="9"/>
      <c r="D42" s="9"/>
      <c r="E42" s="9"/>
      <c r="F42" s="9"/>
      <c r="G42" s="9"/>
      <c r="H42" s="9"/>
      <c r="I42" s="9"/>
      <c r="J42" s="9"/>
      <c r="K42" s="9"/>
      <c r="L42" s="9"/>
      <c r="M42" s="9"/>
      <c r="N42" s="9"/>
      <c r="O42" s="9"/>
      <c r="P42" s="9"/>
      <c r="Q42" s="9"/>
      <c r="R42" s="9"/>
      <c r="S42" s="17"/>
      <c r="T42" s="17"/>
      <c r="U42" s="17"/>
      <c r="V42" s="17"/>
      <c r="W42" s="17"/>
      <c r="X42" s="17"/>
      <c r="Y42" s="17"/>
      <c r="Z42" s="17"/>
      <c r="AA42" s="17"/>
      <c r="AB42" s="17"/>
      <c r="AC42" s="17"/>
      <c r="AD42" s="17"/>
      <c r="AE42" s="17"/>
      <c r="AF42" s="17"/>
    </row>
    <row r="43" ht="15.75" customHeight="1">
      <c r="A43" s="9"/>
      <c r="B43" s="9"/>
      <c r="C43" s="9"/>
      <c r="D43" s="9"/>
      <c r="E43" s="9"/>
      <c r="F43" s="9"/>
      <c r="G43" s="9"/>
      <c r="H43" s="9"/>
      <c r="I43" s="9"/>
      <c r="J43" s="9"/>
      <c r="K43" s="9"/>
      <c r="L43" s="9"/>
      <c r="M43" s="9"/>
      <c r="N43" s="9"/>
      <c r="O43" s="9"/>
      <c r="P43" s="9"/>
      <c r="Q43" s="9"/>
      <c r="R43" s="9"/>
      <c r="S43" s="17"/>
      <c r="T43" s="17"/>
      <c r="U43" s="17"/>
      <c r="V43" s="17"/>
      <c r="W43" s="17"/>
      <c r="X43" s="17"/>
      <c r="Y43" s="17"/>
      <c r="Z43" s="17"/>
      <c r="AA43" s="17"/>
      <c r="AB43" s="17"/>
      <c r="AC43" s="17"/>
      <c r="AD43" s="17"/>
      <c r="AE43" s="17"/>
      <c r="AF43" s="17"/>
    </row>
    <row r="44" ht="15.75" customHeight="1">
      <c r="A44" s="9" t="s">
        <v>187</v>
      </c>
      <c r="B44" s="9"/>
      <c r="C44" s="9"/>
      <c r="D44" s="9"/>
      <c r="E44" s="9"/>
      <c r="F44" s="9"/>
      <c r="G44" s="9"/>
      <c r="H44" s="9"/>
      <c r="I44" s="9"/>
      <c r="J44" s="9"/>
      <c r="K44" s="9"/>
      <c r="L44" s="9"/>
      <c r="M44" s="9"/>
      <c r="N44" s="9"/>
      <c r="O44" s="9"/>
      <c r="P44" s="9"/>
      <c r="Q44" s="9"/>
      <c r="R44" s="9"/>
      <c r="S44" s="17"/>
      <c r="T44" s="17"/>
      <c r="U44" s="17"/>
      <c r="V44" s="17"/>
      <c r="W44" s="17"/>
      <c r="X44" s="17"/>
      <c r="Y44" s="17"/>
      <c r="Z44" s="17"/>
      <c r="AA44" s="17"/>
      <c r="AB44" s="17"/>
      <c r="AC44" s="17"/>
      <c r="AD44" s="17"/>
      <c r="AE44" s="17"/>
      <c r="AF44" s="17"/>
    </row>
    <row r="45" ht="15.75" customHeight="1">
      <c r="A45" s="9"/>
      <c r="B45" s="9"/>
      <c r="C45" s="9"/>
      <c r="D45" s="9"/>
      <c r="E45" s="9"/>
      <c r="F45" s="9"/>
      <c r="G45" s="9"/>
      <c r="H45" s="9"/>
      <c r="I45" s="9"/>
      <c r="J45" s="9"/>
      <c r="K45" s="9"/>
      <c r="L45" s="9"/>
      <c r="M45" s="9"/>
      <c r="N45" s="9"/>
      <c r="O45" s="9"/>
      <c r="P45" s="9"/>
      <c r="Q45" s="9"/>
      <c r="R45" s="9"/>
      <c r="S45" s="17"/>
      <c r="T45" s="17"/>
      <c r="U45" s="17"/>
      <c r="V45" s="17"/>
      <c r="W45" s="17"/>
      <c r="X45" s="17"/>
      <c r="Y45" s="17"/>
      <c r="Z45" s="17"/>
      <c r="AA45" s="17"/>
      <c r="AB45" s="17"/>
      <c r="AC45" s="17"/>
      <c r="AD45" s="17"/>
      <c r="AE45" s="17"/>
      <c r="AF45" s="17"/>
    </row>
    <row r="46" ht="15.75" customHeight="1">
      <c r="A46" s="9"/>
      <c r="B46" s="9"/>
      <c r="C46" s="9"/>
      <c r="D46" s="9"/>
      <c r="E46" s="9"/>
      <c r="F46" s="9"/>
      <c r="G46" s="9"/>
      <c r="H46" s="9"/>
      <c r="I46" s="9"/>
      <c r="J46" s="9"/>
      <c r="K46" s="9"/>
      <c r="L46" s="9"/>
      <c r="M46" s="9"/>
      <c r="N46" s="9"/>
      <c r="O46" s="9"/>
      <c r="P46" s="9"/>
      <c r="Q46" s="9"/>
      <c r="R46" s="9"/>
      <c r="S46" s="17"/>
      <c r="T46" s="17"/>
      <c r="U46" s="17"/>
      <c r="V46" s="17"/>
      <c r="W46" s="17"/>
      <c r="X46" s="17"/>
      <c r="Y46" s="17"/>
      <c r="Z46" s="17"/>
      <c r="AA46" s="17"/>
      <c r="AB46" s="17"/>
      <c r="AC46" s="17"/>
      <c r="AD46" s="17"/>
      <c r="AE46" s="17"/>
      <c r="AF46" s="17"/>
    </row>
    <row r="47" ht="15.75" customHeight="1">
      <c r="A47" s="9"/>
      <c r="B47" s="9"/>
      <c r="C47" s="9"/>
      <c r="D47" s="9"/>
      <c r="E47" s="9"/>
      <c r="F47" s="9"/>
      <c r="G47" s="9"/>
      <c r="H47" s="9"/>
      <c r="I47" s="9"/>
      <c r="J47" s="9"/>
      <c r="K47" s="9"/>
      <c r="L47" s="9"/>
      <c r="M47" s="9"/>
      <c r="N47" s="9"/>
      <c r="O47" s="9"/>
      <c r="P47" s="9"/>
      <c r="Q47" s="9"/>
      <c r="R47" s="9"/>
      <c r="S47" s="17"/>
      <c r="T47" s="17"/>
      <c r="U47" s="17"/>
      <c r="V47" s="17"/>
      <c r="W47" s="17"/>
      <c r="X47" s="17"/>
      <c r="Y47" s="17"/>
      <c r="Z47" s="17"/>
      <c r="AA47" s="17"/>
      <c r="AB47" s="17"/>
      <c r="AC47" s="17"/>
      <c r="AD47" s="17"/>
      <c r="AE47" s="17"/>
      <c r="AF47" s="17"/>
    </row>
    <row r="48" ht="15.75" customHeight="1">
      <c r="A48" s="9"/>
      <c r="B48" s="9"/>
      <c r="C48" s="9"/>
      <c r="D48" s="9"/>
      <c r="E48" s="9"/>
      <c r="F48" s="9"/>
      <c r="G48" s="9"/>
      <c r="H48" s="9"/>
      <c r="I48" s="9"/>
      <c r="J48" s="9"/>
      <c r="K48" s="9"/>
      <c r="L48" s="9"/>
      <c r="M48" s="9"/>
      <c r="N48" s="9"/>
      <c r="O48" s="9"/>
      <c r="P48" s="9"/>
      <c r="Q48" s="9"/>
      <c r="R48" s="9"/>
      <c r="S48" s="17"/>
      <c r="T48" s="17"/>
      <c r="U48" s="17"/>
      <c r="V48" s="17"/>
      <c r="W48" s="17"/>
      <c r="X48" s="17"/>
      <c r="Y48" s="17"/>
      <c r="Z48" s="17"/>
      <c r="AA48" s="17"/>
      <c r="AB48" s="17"/>
      <c r="AC48" s="17"/>
      <c r="AD48" s="17"/>
      <c r="AE48" s="17"/>
      <c r="AF48" s="17"/>
    </row>
    <row r="49" ht="15.75" customHeight="1">
      <c r="A49" s="9"/>
      <c r="B49" s="9"/>
      <c r="C49" s="9"/>
      <c r="D49" s="9"/>
      <c r="E49" s="9"/>
      <c r="F49" s="9"/>
      <c r="G49" s="9"/>
      <c r="H49" s="9"/>
      <c r="I49" s="9"/>
      <c r="J49" s="9"/>
      <c r="K49" s="9"/>
      <c r="L49" s="9"/>
      <c r="M49" s="9"/>
      <c r="N49" s="9"/>
      <c r="O49" s="9"/>
      <c r="P49" s="9"/>
      <c r="Q49" s="9"/>
      <c r="R49" s="9"/>
      <c r="S49" s="17"/>
      <c r="T49" s="17"/>
      <c r="U49" s="17"/>
      <c r="V49" s="17"/>
      <c r="W49" s="17"/>
      <c r="X49" s="17"/>
      <c r="Y49" s="17"/>
      <c r="Z49" s="17"/>
      <c r="AA49" s="17"/>
      <c r="AB49" s="17"/>
      <c r="AC49" s="17"/>
      <c r="AD49" s="17"/>
      <c r="AE49" s="17"/>
      <c r="AF49" s="17"/>
    </row>
    <row r="50" ht="15.75" customHeight="1">
      <c r="A50" s="9"/>
      <c r="B50" s="9"/>
      <c r="C50" s="9"/>
      <c r="D50" s="9"/>
      <c r="E50" s="9"/>
      <c r="F50" s="9"/>
      <c r="G50" s="9"/>
      <c r="H50" s="9"/>
      <c r="I50" s="9"/>
      <c r="J50" s="9"/>
      <c r="K50" s="9"/>
      <c r="L50" s="9"/>
      <c r="M50" s="9"/>
      <c r="N50" s="9"/>
      <c r="O50" s="9"/>
      <c r="P50" s="9"/>
      <c r="Q50" s="9"/>
      <c r="R50" s="9"/>
      <c r="S50" s="17"/>
      <c r="T50" s="17"/>
      <c r="U50" s="17"/>
      <c r="V50" s="17"/>
      <c r="W50" s="17"/>
      <c r="X50" s="17"/>
      <c r="Y50" s="17"/>
      <c r="Z50" s="17"/>
      <c r="AA50" s="17"/>
      <c r="AB50" s="17"/>
      <c r="AC50" s="17"/>
      <c r="AD50" s="17"/>
      <c r="AE50" s="17"/>
      <c r="AF50" s="17"/>
    </row>
    <row r="51" ht="15.75" customHeight="1">
      <c r="A51" s="9"/>
      <c r="B51" s="9"/>
      <c r="C51" s="9"/>
      <c r="D51" s="9"/>
      <c r="E51" s="9"/>
      <c r="F51" s="9"/>
      <c r="G51" s="9"/>
      <c r="H51" s="9"/>
      <c r="I51" s="9"/>
      <c r="J51" s="9"/>
      <c r="K51" s="9"/>
      <c r="L51" s="9"/>
      <c r="M51" s="9"/>
      <c r="N51" s="9"/>
      <c r="O51" s="9"/>
      <c r="P51" s="9"/>
      <c r="Q51" s="9"/>
      <c r="R51" s="9"/>
      <c r="S51" s="17"/>
      <c r="T51" s="17"/>
      <c r="U51" s="17"/>
      <c r="V51" s="17"/>
      <c r="W51" s="17"/>
      <c r="X51" s="17"/>
      <c r="Y51" s="17"/>
      <c r="Z51" s="17"/>
      <c r="AA51" s="17"/>
      <c r="AB51" s="17"/>
      <c r="AC51" s="17"/>
      <c r="AD51" s="17"/>
      <c r="AE51" s="17"/>
      <c r="AF51" s="17"/>
    </row>
    <row r="52" ht="15.75" customHeight="1">
      <c r="A52" s="9"/>
      <c r="B52" s="9"/>
      <c r="C52" s="9"/>
      <c r="D52" s="9"/>
      <c r="E52" s="9"/>
      <c r="F52" s="9"/>
      <c r="G52" s="9"/>
      <c r="H52" s="9"/>
      <c r="I52" s="9"/>
      <c r="J52" s="9"/>
      <c r="K52" s="9"/>
      <c r="L52" s="9"/>
      <c r="M52" s="9"/>
      <c r="N52" s="9"/>
      <c r="O52" s="9"/>
      <c r="P52" s="9"/>
      <c r="Q52" s="9"/>
      <c r="R52" s="9"/>
      <c r="S52" s="17"/>
      <c r="T52" s="17"/>
      <c r="U52" s="17"/>
      <c r="V52" s="17"/>
      <c r="W52" s="17"/>
      <c r="X52" s="17"/>
      <c r="Y52" s="17"/>
      <c r="Z52" s="17"/>
      <c r="AA52" s="17"/>
      <c r="AB52" s="17"/>
      <c r="AC52" s="17"/>
      <c r="AD52" s="17"/>
      <c r="AE52" s="17"/>
      <c r="AF52" s="17"/>
    </row>
    <row r="53" ht="15.75" customHeight="1">
      <c r="A53" s="9"/>
      <c r="B53" s="9"/>
      <c r="C53" s="9"/>
      <c r="D53" s="9"/>
      <c r="E53" s="9"/>
      <c r="F53" s="9"/>
      <c r="G53" s="9"/>
      <c r="H53" s="9"/>
      <c r="I53" s="9"/>
      <c r="J53" s="9"/>
      <c r="K53" s="9"/>
      <c r="L53" s="9"/>
      <c r="M53" s="9"/>
      <c r="N53" s="9"/>
      <c r="O53" s="9"/>
      <c r="P53" s="9"/>
      <c r="Q53" s="9"/>
      <c r="R53" s="9"/>
      <c r="S53" s="17"/>
      <c r="T53" s="17"/>
      <c r="U53" s="17"/>
      <c r="V53" s="17"/>
      <c r="W53" s="17"/>
      <c r="X53" s="17"/>
      <c r="Y53" s="17"/>
      <c r="Z53" s="17"/>
      <c r="AA53" s="17"/>
      <c r="AB53" s="17"/>
      <c r="AC53" s="17"/>
      <c r="AD53" s="17"/>
      <c r="AE53" s="17"/>
      <c r="AF53" s="17"/>
    </row>
    <row r="54" ht="15.75" customHeight="1">
      <c r="A54" s="9"/>
      <c r="B54" s="9"/>
      <c r="C54" s="9"/>
      <c r="D54" s="9"/>
      <c r="E54" s="9"/>
      <c r="F54" s="9"/>
      <c r="G54" s="9"/>
      <c r="H54" s="9"/>
      <c r="I54" s="9"/>
      <c r="J54" s="9"/>
      <c r="K54" s="9"/>
      <c r="L54" s="9"/>
      <c r="M54" s="9"/>
      <c r="N54" s="9"/>
      <c r="O54" s="9"/>
      <c r="P54" s="9"/>
      <c r="Q54" s="9"/>
      <c r="R54" s="9"/>
      <c r="S54" s="17"/>
      <c r="T54" s="17"/>
      <c r="U54" s="17"/>
      <c r="V54" s="17"/>
      <c r="W54" s="17"/>
      <c r="X54" s="17"/>
      <c r="Y54" s="17"/>
      <c r="Z54" s="17"/>
      <c r="AA54" s="17"/>
      <c r="AB54" s="17"/>
      <c r="AC54" s="17"/>
      <c r="AD54" s="17"/>
      <c r="AE54" s="17"/>
      <c r="AF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row>
    <row r="245" ht="15.75" customHeight="1">
      <c r="E245" s="68"/>
      <c r="J245" s="68"/>
      <c r="L245" s="68"/>
      <c r="M245" s="68"/>
      <c r="O245" s="68"/>
      <c r="R245" s="68"/>
    </row>
    <row r="246" ht="15.75" customHeight="1">
      <c r="E246" s="68"/>
      <c r="J246" s="68"/>
      <c r="L246" s="68"/>
      <c r="M246" s="68"/>
      <c r="O246" s="68"/>
      <c r="R246" s="68"/>
    </row>
    <row r="247" ht="15.75" customHeight="1">
      <c r="E247" s="68"/>
      <c r="J247" s="68"/>
      <c r="L247" s="68"/>
      <c r="M247" s="68"/>
      <c r="O247" s="68"/>
      <c r="R247" s="68"/>
    </row>
    <row r="248" ht="15.75" customHeight="1">
      <c r="E248" s="68"/>
      <c r="J248" s="68"/>
      <c r="L248" s="68"/>
      <c r="M248" s="68"/>
      <c r="O248" s="68"/>
      <c r="R248" s="68"/>
    </row>
    <row r="249" ht="15.75" customHeight="1">
      <c r="E249" s="68"/>
      <c r="J249" s="68"/>
      <c r="L249" s="68"/>
      <c r="M249" s="68"/>
      <c r="O249" s="68"/>
      <c r="R249" s="68"/>
    </row>
    <row r="250" ht="15.75" customHeight="1">
      <c r="E250" s="68"/>
      <c r="J250" s="68"/>
      <c r="L250" s="68"/>
      <c r="M250" s="68"/>
      <c r="O250" s="68"/>
      <c r="R250" s="68"/>
    </row>
    <row r="251" ht="15.75" customHeight="1">
      <c r="E251" s="68"/>
      <c r="J251" s="68"/>
      <c r="L251" s="68"/>
      <c r="M251" s="68"/>
      <c r="O251" s="68"/>
      <c r="R251" s="68"/>
    </row>
    <row r="252" ht="15.75" customHeight="1">
      <c r="E252" s="68"/>
      <c r="J252" s="68"/>
      <c r="L252" s="68"/>
      <c r="M252" s="68"/>
      <c r="O252" s="68"/>
      <c r="R252" s="68"/>
    </row>
    <row r="253" ht="15.75" customHeight="1">
      <c r="E253" s="68"/>
      <c r="J253" s="68"/>
      <c r="L253" s="68"/>
      <c r="M253" s="68"/>
      <c r="O253" s="68"/>
      <c r="R253" s="68"/>
    </row>
    <row r="254" ht="15.75" customHeight="1">
      <c r="E254" s="68"/>
      <c r="J254" s="68"/>
      <c r="L254" s="68"/>
      <c r="M254" s="68"/>
      <c r="O254" s="68"/>
      <c r="R254" s="68"/>
    </row>
    <row r="255" ht="15.75" customHeight="1">
      <c r="E255" s="68"/>
      <c r="J255" s="68"/>
      <c r="L255" s="68"/>
      <c r="M255" s="68"/>
      <c r="O255" s="68"/>
      <c r="R255" s="68"/>
    </row>
    <row r="256" ht="15.75" customHeight="1">
      <c r="E256" s="68"/>
      <c r="J256" s="68"/>
      <c r="L256" s="68"/>
      <c r="M256" s="68"/>
      <c r="O256" s="68"/>
      <c r="R256" s="68"/>
    </row>
    <row r="257" ht="15.75" customHeight="1">
      <c r="E257" s="68"/>
      <c r="J257" s="68"/>
      <c r="L257" s="68"/>
      <c r="M257" s="68"/>
      <c r="O257" s="68"/>
      <c r="R257" s="68"/>
    </row>
    <row r="258" ht="15.75" customHeight="1">
      <c r="E258" s="68"/>
      <c r="J258" s="68"/>
      <c r="L258" s="68"/>
      <c r="M258" s="68"/>
      <c r="O258" s="68"/>
      <c r="R258" s="68"/>
    </row>
    <row r="259" ht="15.75" customHeight="1">
      <c r="E259" s="68"/>
      <c r="J259" s="68"/>
      <c r="L259" s="68"/>
      <c r="M259" s="68"/>
      <c r="O259" s="68"/>
      <c r="R259" s="68"/>
    </row>
    <row r="260" ht="15.75" customHeight="1">
      <c r="E260" s="68"/>
      <c r="J260" s="68"/>
      <c r="L260" s="68"/>
      <c r="M260" s="68"/>
      <c r="O260" s="68"/>
      <c r="R260" s="68"/>
    </row>
    <row r="261" ht="15.75" customHeight="1">
      <c r="E261" s="68"/>
      <c r="J261" s="68"/>
      <c r="L261" s="68"/>
      <c r="M261" s="68"/>
      <c r="O261" s="68"/>
      <c r="R261" s="68"/>
    </row>
    <row r="262" ht="15.75" customHeight="1">
      <c r="E262" s="68"/>
      <c r="J262" s="68"/>
      <c r="L262" s="68"/>
      <c r="M262" s="68"/>
      <c r="O262" s="68"/>
      <c r="R262" s="68"/>
    </row>
    <row r="263" ht="15.75" customHeight="1">
      <c r="E263" s="68"/>
      <c r="J263" s="68"/>
      <c r="L263" s="68"/>
      <c r="M263" s="68"/>
      <c r="O263" s="68"/>
      <c r="R263" s="68"/>
    </row>
    <row r="264" ht="15.75" customHeight="1">
      <c r="E264" s="68"/>
      <c r="J264" s="68"/>
      <c r="L264" s="68"/>
      <c r="M264" s="68"/>
      <c r="O264" s="68"/>
      <c r="R264" s="68"/>
    </row>
    <row r="265" ht="15.75" customHeight="1">
      <c r="E265" s="68"/>
      <c r="J265" s="68"/>
      <c r="L265" s="68"/>
      <c r="M265" s="68"/>
      <c r="O265" s="68"/>
      <c r="R265" s="68"/>
    </row>
    <row r="266" ht="15.75" customHeight="1">
      <c r="E266" s="68"/>
      <c r="J266" s="68"/>
      <c r="L266" s="68"/>
      <c r="M266" s="68"/>
      <c r="O266" s="68"/>
      <c r="R266" s="68"/>
    </row>
    <row r="267" ht="15.75" customHeight="1">
      <c r="E267" s="68"/>
      <c r="J267" s="68"/>
      <c r="L267" s="68"/>
      <c r="M267" s="68"/>
      <c r="O267" s="68"/>
      <c r="R267" s="68"/>
    </row>
    <row r="268" ht="15.75" customHeight="1">
      <c r="E268" s="68"/>
      <c r="J268" s="68"/>
      <c r="L268" s="68"/>
      <c r="M268" s="68"/>
      <c r="O268" s="68"/>
      <c r="R268" s="68"/>
    </row>
    <row r="269" ht="15.75" customHeight="1">
      <c r="E269" s="68"/>
      <c r="J269" s="68"/>
      <c r="L269" s="68"/>
      <c r="M269" s="68"/>
      <c r="O269" s="68"/>
      <c r="R269" s="68"/>
    </row>
    <row r="270" ht="15.75" customHeight="1">
      <c r="E270" s="68"/>
      <c r="J270" s="68"/>
      <c r="L270" s="68"/>
      <c r="M270" s="68"/>
      <c r="O270" s="68"/>
      <c r="R270" s="68"/>
    </row>
    <row r="271" ht="15.75" customHeight="1">
      <c r="E271" s="68"/>
      <c r="J271" s="68"/>
      <c r="L271" s="68"/>
      <c r="M271" s="68"/>
      <c r="O271" s="68"/>
      <c r="R271" s="68"/>
    </row>
    <row r="272" ht="15.75" customHeight="1">
      <c r="E272" s="68"/>
      <c r="J272" s="68"/>
      <c r="L272" s="68"/>
      <c r="M272" s="68"/>
      <c r="O272" s="68"/>
      <c r="R272" s="68"/>
    </row>
    <row r="273" ht="15.75" customHeight="1">
      <c r="E273" s="68"/>
      <c r="J273" s="68"/>
      <c r="L273" s="68"/>
      <c r="M273" s="68"/>
      <c r="O273" s="68"/>
      <c r="R273" s="68"/>
    </row>
    <row r="274" ht="15.75" customHeight="1">
      <c r="E274" s="68"/>
      <c r="J274" s="68"/>
      <c r="L274" s="68"/>
      <c r="M274" s="68"/>
      <c r="O274" s="68"/>
      <c r="R274" s="68"/>
    </row>
    <row r="275" ht="15.75" customHeight="1">
      <c r="E275" s="68"/>
      <c r="J275" s="68"/>
      <c r="L275" s="68"/>
      <c r="M275" s="68"/>
      <c r="O275" s="68"/>
      <c r="R275" s="68"/>
    </row>
    <row r="276" ht="15.75" customHeight="1">
      <c r="E276" s="68"/>
      <c r="J276" s="68"/>
      <c r="L276" s="68"/>
      <c r="M276" s="68"/>
      <c r="O276" s="68"/>
      <c r="R276" s="68"/>
    </row>
    <row r="277" ht="15.75" customHeight="1">
      <c r="E277" s="68"/>
      <c r="J277" s="68"/>
      <c r="L277" s="68"/>
      <c r="M277" s="68"/>
      <c r="O277" s="68"/>
      <c r="R277" s="68"/>
    </row>
    <row r="278" ht="15.75" customHeight="1">
      <c r="E278" s="68"/>
      <c r="J278" s="68"/>
      <c r="L278" s="68"/>
      <c r="M278" s="68"/>
      <c r="O278" s="68"/>
      <c r="R278" s="68"/>
    </row>
    <row r="279" ht="15.75" customHeight="1">
      <c r="E279" s="68"/>
      <c r="J279" s="68"/>
      <c r="L279" s="68"/>
      <c r="M279" s="68"/>
      <c r="O279" s="68"/>
      <c r="R279" s="68"/>
    </row>
    <row r="280" ht="15.75" customHeight="1">
      <c r="E280" s="68"/>
      <c r="J280" s="68"/>
      <c r="L280" s="68"/>
      <c r="M280" s="68"/>
      <c r="O280" s="68"/>
      <c r="R280" s="68"/>
    </row>
    <row r="281" ht="15.75" customHeight="1">
      <c r="E281" s="68"/>
      <c r="J281" s="68"/>
      <c r="L281" s="68"/>
      <c r="M281" s="68"/>
      <c r="O281" s="68"/>
      <c r="R281" s="68"/>
    </row>
    <row r="282" ht="15.75" customHeight="1">
      <c r="E282" s="68"/>
      <c r="J282" s="68"/>
      <c r="L282" s="68"/>
      <c r="M282" s="68"/>
      <c r="O282" s="68"/>
      <c r="R282" s="68"/>
    </row>
    <row r="283" ht="15.75" customHeight="1">
      <c r="E283" s="68"/>
      <c r="J283" s="68"/>
      <c r="L283" s="68"/>
      <c r="M283" s="68"/>
      <c r="O283" s="68"/>
      <c r="R283" s="68"/>
    </row>
    <row r="284" ht="15.75" customHeight="1">
      <c r="E284" s="68"/>
      <c r="J284" s="68"/>
      <c r="L284" s="68"/>
      <c r="M284" s="68"/>
      <c r="O284" s="68"/>
      <c r="R284" s="68"/>
    </row>
    <row r="285" ht="15.75" customHeight="1">
      <c r="E285" s="68"/>
      <c r="J285" s="68"/>
      <c r="L285" s="68"/>
      <c r="M285" s="68"/>
      <c r="O285" s="68"/>
      <c r="R285" s="68"/>
    </row>
    <row r="286" ht="15.75" customHeight="1">
      <c r="E286" s="68"/>
      <c r="J286" s="68"/>
      <c r="L286" s="68"/>
      <c r="M286" s="68"/>
      <c r="O286" s="68"/>
      <c r="R286" s="68"/>
    </row>
    <row r="287" ht="15.75" customHeight="1">
      <c r="E287" s="68"/>
      <c r="J287" s="68"/>
      <c r="L287" s="68"/>
      <c r="M287" s="68"/>
      <c r="O287" s="68"/>
      <c r="R287" s="68"/>
    </row>
    <row r="288" ht="15.75" customHeight="1">
      <c r="E288" s="68"/>
      <c r="J288" s="68"/>
      <c r="L288" s="68"/>
      <c r="M288" s="68"/>
      <c r="O288" s="68"/>
      <c r="R288" s="68"/>
    </row>
    <row r="289" ht="15.75" customHeight="1">
      <c r="E289" s="68"/>
      <c r="J289" s="68"/>
      <c r="L289" s="68"/>
      <c r="M289" s="68"/>
      <c r="O289" s="68"/>
      <c r="R289" s="68"/>
    </row>
    <row r="290" ht="15.75" customHeight="1">
      <c r="E290" s="68"/>
      <c r="J290" s="68"/>
      <c r="L290" s="68"/>
      <c r="M290" s="68"/>
      <c r="O290" s="68"/>
      <c r="R290" s="68"/>
    </row>
    <row r="291" ht="15.75" customHeight="1">
      <c r="E291" s="68"/>
      <c r="J291" s="68"/>
      <c r="L291" s="68"/>
      <c r="M291" s="68"/>
      <c r="O291" s="68"/>
      <c r="R291" s="68"/>
    </row>
    <row r="292" ht="15.75" customHeight="1">
      <c r="E292" s="68"/>
      <c r="J292" s="68"/>
      <c r="L292" s="68"/>
      <c r="M292" s="68"/>
      <c r="O292" s="68"/>
      <c r="R292" s="68"/>
    </row>
    <row r="293" ht="15.75" customHeight="1">
      <c r="E293" s="68"/>
      <c r="J293" s="68"/>
      <c r="L293" s="68"/>
      <c r="M293" s="68"/>
      <c r="O293" s="68"/>
      <c r="R293" s="68"/>
    </row>
    <row r="294" ht="15.75" customHeight="1">
      <c r="E294" s="68"/>
      <c r="J294" s="68"/>
      <c r="L294" s="68"/>
      <c r="M294" s="68"/>
      <c r="O294" s="68"/>
      <c r="R294" s="68"/>
    </row>
    <row r="295" ht="15.75" customHeight="1">
      <c r="E295" s="68"/>
      <c r="J295" s="68"/>
      <c r="L295" s="68"/>
      <c r="M295" s="68"/>
      <c r="O295" s="68"/>
      <c r="R295" s="68"/>
    </row>
    <row r="296" ht="15.75" customHeight="1">
      <c r="E296" s="68"/>
      <c r="J296" s="68"/>
      <c r="L296" s="68"/>
      <c r="M296" s="68"/>
      <c r="O296" s="68"/>
      <c r="R296" s="68"/>
    </row>
    <row r="297" ht="15.75" customHeight="1">
      <c r="E297" s="68"/>
      <c r="J297" s="68"/>
      <c r="L297" s="68"/>
      <c r="M297" s="68"/>
      <c r="O297" s="68"/>
      <c r="R297" s="68"/>
    </row>
    <row r="298" ht="15.75" customHeight="1">
      <c r="E298" s="68"/>
      <c r="J298" s="68"/>
      <c r="L298" s="68"/>
      <c r="M298" s="68"/>
      <c r="O298" s="68"/>
      <c r="R298" s="68"/>
    </row>
    <row r="299" ht="15.75" customHeight="1">
      <c r="E299" s="68"/>
      <c r="J299" s="68"/>
      <c r="L299" s="68"/>
      <c r="M299" s="68"/>
      <c r="O299" s="68"/>
      <c r="R299" s="68"/>
    </row>
    <row r="300" ht="15.75" customHeight="1">
      <c r="E300" s="68"/>
      <c r="J300" s="68"/>
      <c r="L300" s="68"/>
      <c r="M300" s="68"/>
      <c r="O300" s="68"/>
      <c r="R300" s="68"/>
    </row>
    <row r="301" ht="15.75" customHeight="1">
      <c r="E301" s="68"/>
      <c r="J301" s="68"/>
      <c r="L301" s="68"/>
      <c r="M301" s="68"/>
      <c r="O301" s="68"/>
      <c r="R301" s="68"/>
    </row>
    <row r="302" ht="15.75" customHeight="1">
      <c r="E302" s="68"/>
      <c r="J302" s="68"/>
      <c r="L302" s="68"/>
      <c r="M302" s="68"/>
      <c r="O302" s="68"/>
      <c r="R302" s="68"/>
    </row>
    <row r="303" ht="15.75" customHeight="1">
      <c r="E303" s="68"/>
      <c r="J303" s="68"/>
      <c r="L303" s="68"/>
      <c r="M303" s="68"/>
      <c r="O303" s="68"/>
      <c r="R303" s="68"/>
    </row>
    <row r="304" ht="15.75" customHeight="1">
      <c r="E304" s="68"/>
      <c r="J304" s="68"/>
      <c r="L304" s="68"/>
      <c r="M304" s="68"/>
      <c r="O304" s="68"/>
      <c r="R304" s="68"/>
    </row>
    <row r="305" ht="15.75" customHeight="1">
      <c r="E305" s="68"/>
      <c r="J305" s="68"/>
      <c r="L305" s="68"/>
      <c r="M305" s="68"/>
      <c r="O305" s="68"/>
      <c r="R305" s="68"/>
    </row>
    <row r="306" ht="15.75" customHeight="1">
      <c r="E306" s="68"/>
      <c r="J306" s="68"/>
      <c r="L306" s="68"/>
      <c r="M306" s="68"/>
      <c r="O306" s="68"/>
      <c r="R306" s="68"/>
    </row>
    <row r="307" ht="15.75" customHeight="1">
      <c r="E307" s="68"/>
      <c r="J307" s="68"/>
      <c r="L307" s="68"/>
      <c r="M307" s="68"/>
      <c r="O307" s="68"/>
      <c r="R307" s="68"/>
    </row>
    <row r="308" ht="15.75" customHeight="1">
      <c r="E308" s="68"/>
      <c r="J308" s="68"/>
      <c r="L308" s="68"/>
      <c r="M308" s="68"/>
      <c r="O308" s="68"/>
      <c r="R308" s="68"/>
    </row>
    <row r="309" ht="15.75" customHeight="1">
      <c r="E309" s="68"/>
      <c r="J309" s="68"/>
      <c r="L309" s="68"/>
      <c r="M309" s="68"/>
      <c r="O309" s="68"/>
      <c r="R309" s="68"/>
    </row>
    <row r="310" ht="15.75" customHeight="1">
      <c r="E310" s="68"/>
      <c r="J310" s="68"/>
      <c r="L310" s="68"/>
      <c r="M310" s="68"/>
      <c r="O310" s="68"/>
      <c r="R310" s="68"/>
    </row>
    <row r="311" ht="15.75" customHeight="1">
      <c r="E311" s="68"/>
      <c r="J311" s="68"/>
      <c r="L311" s="68"/>
      <c r="M311" s="68"/>
      <c r="O311" s="68"/>
      <c r="R311" s="68"/>
    </row>
    <row r="312" ht="15.75" customHeight="1">
      <c r="E312" s="68"/>
      <c r="J312" s="68"/>
      <c r="L312" s="68"/>
      <c r="M312" s="68"/>
      <c r="O312" s="68"/>
      <c r="R312" s="68"/>
    </row>
    <row r="313" ht="15.75" customHeight="1">
      <c r="E313" s="68"/>
      <c r="J313" s="68"/>
      <c r="L313" s="68"/>
      <c r="M313" s="68"/>
      <c r="O313" s="68"/>
      <c r="R313" s="68"/>
    </row>
    <row r="314" ht="15.75" customHeight="1">
      <c r="E314" s="68"/>
      <c r="J314" s="68"/>
      <c r="L314" s="68"/>
      <c r="M314" s="68"/>
      <c r="O314" s="68"/>
      <c r="R314" s="68"/>
    </row>
    <row r="315" ht="15.75" customHeight="1">
      <c r="E315" s="68"/>
      <c r="J315" s="68"/>
      <c r="L315" s="68"/>
      <c r="M315" s="68"/>
      <c r="O315" s="68"/>
      <c r="R315" s="68"/>
    </row>
    <row r="316" ht="15.75" customHeight="1">
      <c r="E316" s="68"/>
      <c r="J316" s="68"/>
      <c r="L316" s="68"/>
      <c r="M316" s="68"/>
      <c r="O316" s="68"/>
      <c r="R316" s="68"/>
    </row>
    <row r="317" ht="15.75" customHeight="1">
      <c r="E317" s="68"/>
      <c r="J317" s="68"/>
      <c r="L317" s="68"/>
      <c r="M317" s="68"/>
      <c r="O317" s="68"/>
      <c r="R317" s="68"/>
    </row>
    <row r="318" ht="15.75" customHeight="1">
      <c r="E318" s="68"/>
      <c r="J318" s="68"/>
      <c r="L318" s="68"/>
      <c r="M318" s="68"/>
      <c r="O318" s="68"/>
      <c r="R318" s="68"/>
    </row>
    <row r="319" ht="15.75" customHeight="1">
      <c r="E319" s="68"/>
      <c r="J319" s="68"/>
      <c r="L319" s="68"/>
      <c r="M319" s="68"/>
      <c r="O319" s="68"/>
      <c r="R319" s="68"/>
    </row>
    <row r="320" ht="15.75" customHeight="1">
      <c r="E320" s="68"/>
      <c r="J320" s="68"/>
      <c r="L320" s="68"/>
      <c r="M320" s="68"/>
      <c r="O320" s="68"/>
      <c r="R320" s="68"/>
    </row>
    <row r="321" ht="15.75" customHeight="1">
      <c r="E321" s="68"/>
      <c r="J321" s="68"/>
      <c r="L321" s="68"/>
      <c r="M321" s="68"/>
      <c r="O321" s="68"/>
      <c r="R321" s="68"/>
    </row>
    <row r="322" ht="15.75" customHeight="1">
      <c r="E322" s="68"/>
      <c r="J322" s="68"/>
      <c r="L322" s="68"/>
      <c r="M322" s="68"/>
      <c r="O322" s="68"/>
      <c r="R322" s="68"/>
    </row>
    <row r="323" ht="15.75" customHeight="1">
      <c r="E323" s="68"/>
      <c r="J323" s="68"/>
      <c r="L323" s="68"/>
      <c r="M323" s="68"/>
      <c r="O323" s="68"/>
      <c r="R323" s="68"/>
    </row>
    <row r="324" ht="15.75" customHeight="1">
      <c r="E324" s="68"/>
      <c r="J324" s="68"/>
      <c r="L324" s="68"/>
      <c r="M324" s="68"/>
      <c r="O324" s="68"/>
      <c r="R324" s="68"/>
    </row>
    <row r="325" ht="15.75" customHeight="1">
      <c r="E325" s="68"/>
      <c r="J325" s="68"/>
      <c r="L325" s="68"/>
      <c r="M325" s="68"/>
      <c r="O325" s="68"/>
      <c r="R325" s="68"/>
    </row>
    <row r="326" ht="15.75" customHeight="1">
      <c r="E326" s="68"/>
      <c r="J326" s="68"/>
      <c r="L326" s="68"/>
      <c r="M326" s="68"/>
      <c r="O326" s="68"/>
      <c r="R326" s="68"/>
    </row>
    <row r="327" ht="15.75" customHeight="1">
      <c r="E327" s="68"/>
      <c r="J327" s="68"/>
      <c r="L327" s="68"/>
      <c r="M327" s="68"/>
      <c r="O327" s="68"/>
      <c r="R327" s="68"/>
    </row>
    <row r="328" ht="15.75" customHeight="1">
      <c r="E328" s="68"/>
      <c r="J328" s="68"/>
      <c r="L328" s="68"/>
      <c r="M328" s="68"/>
      <c r="O328" s="68"/>
      <c r="R328" s="68"/>
    </row>
    <row r="329" ht="15.75" customHeight="1">
      <c r="E329" s="68"/>
      <c r="J329" s="68"/>
      <c r="L329" s="68"/>
      <c r="M329" s="68"/>
      <c r="O329" s="68"/>
      <c r="R329" s="68"/>
    </row>
    <row r="330" ht="15.75" customHeight="1">
      <c r="E330" s="68"/>
      <c r="J330" s="68"/>
      <c r="L330" s="68"/>
      <c r="M330" s="68"/>
      <c r="O330" s="68"/>
      <c r="R330" s="68"/>
    </row>
    <row r="331" ht="15.75" customHeight="1">
      <c r="E331" s="68"/>
      <c r="J331" s="68"/>
      <c r="L331" s="68"/>
      <c r="M331" s="68"/>
      <c r="O331" s="68"/>
      <c r="R331" s="68"/>
    </row>
    <row r="332" ht="15.75" customHeight="1">
      <c r="E332" s="68"/>
      <c r="J332" s="68"/>
      <c r="L332" s="68"/>
      <c r="M332" s="68"/>
      <c r="O332" s="68"/>
      <c r="R332" s="68"/>
    </row>
    <row r="333" ht="15.75" customHeight="1">
      <c r="E333" s="68"/>
      <c r="J333" s="68"/>
      <c r="L333" s="68"/>
      <c r="M333" s="68"/>
      <c r="O333" s="68"/>
      <c r="R333" s="68"/>
    </row>
    <row r="334" ht="15.75" customHeight="1">
      <c r="E334" s="68"/>
      <c r="J334" s="68"/>
      <c r="L334" s="68"/>
      <c r="M334" s="68"/>
      <c r="O334" s="68"/>
      <c r="R334" s="68"/>
    </row>
    <row r="335" ht="15.75" customHeight="1">
      <c r="E335" s="68"/>
      <c r="J335" s="68"/>
      <c r="L335" s="68"/>
      <c r="M335" s="68"/>
      <c r="O335" s="68"/>
      <c r="R335" s="68"/>
    </row>
    <row r="336" ht="15.75" customHeight="1">
      <c r="E336" s="68"/>
      <c r="J336" s="68"/>
      <c r="L336" s="68"/>
      <c r="M336" s="68"/>
      <c r="O336" s="68"/>
      <c r="R336" s="68"/>
    </row>
    <row r="337" ht="15.75" customHeight="1">
      <c r="E337" s="68"/>
      <c r="J337" s="68"/>
      <c r="L337" s="68"/>
      <c r="M337" s="68"/>
      <c r="O337" s="68"/>
      <c r="R337" s="68"/>
    </row>
    <row r="338" ht="15.75" customHeight="1">
      <c r="E338" s="68"/>
      <c r="J338" s="68"/>
      <c r="L338" s="68"/>
      <c r="M338" s="68"/>
      <c r="O338" s="68"/>
      <c r="R338" s="68"/>
    </row>
    <row r="339" ht="15.75" customHeight="1">
      <c r="E339" s="68"/>
      <c r="J339" s="68"/>
      <c r="L339" s="68"/>
      <c r="M339" s="68"/>
      <c r="O339" s="68"/>
      <c r="R339" s="68"/>
    </row>
    <row r="340" ht="15.75" customHeight="1">
      <c r="E340" s="68"/>
      <c r="J340" s="68"/>
      <c r="L340" s="68"/>
      <c r="M340" s="68"/>
      <c r="O340" s="68"/>
      <c r="R340" s="68"/>
    </row>
    <row r="341" ht="15.75" customHeight="1">
      <c r="E341" s="68"/>
      <c r="J341" s="68"/>
      <c r="L341" s="68"/>
      <c r="M341" s="68"/>
      <c r="O341" s="68"/>
      <c r="R341" s="68"/>
    </row>
    <row r="342" ht="15.75" customHeight="1">
      <c r="E342" s="68"/>
      <c r="J342" s="68"/>
      <c r="L342" s="68"/>
      <c r="M342" s="68"/>
      <c r="O342" s="68"/>
      <c r="R342" s="68"/>
    </row>
    <row r="343" ht="15.75" customHeight="1">
      <c r="E343" s="68"/>
      <c r="J343" s="68"/>
      <c r="L343" s="68"/>
      <c r="M343" s="68"/>
      <c r="O343" s="68"/>
      <c r="R343" s="68"/>
    </row>
    <row r="344" ht="15.75" customHeight="1">
      <c r="E344" s="68"/>
      <c r="J344" s="68"/>
      <c r="L344" s="68"/>
      <c r="M344" s="68"/>
      <c r="O344" s="68"/>
      <c r="R344" s="68"/>
    </row>
    <row r="345" ht="15.75" customHeight="1">
      <c r="E345" s="68"/>
      <c r="J345" s="68"/>
      <c r="L345" s="68"/>
      <c r="M345" s="68"/>
      <c r="O345" s="68"/>
      <c r="R345" s="68"/>
    </row>
    <row r="346" ht="15.75" customHeight="1">
      <c r="E346" s="68"/>
      <c r="J346" s="68"/>
      <c r="L346" s="68"/>
      <c r="M346" s="68"/>
      <c r="O346" s="68"/>
      <c r="R346" s="68"/>
    </row>
    <row r="347" ht="15.75" customHeight="1">
      <c r="E347" s="68"/>
      <c r="J347" s="68"/>
      <c r="L347" s="68"/>
      <c r="M347" s="68"/>
      <c r="O347" s="68"/>
      <c r="R347" s="68"/>
    </row>
    <row r="348" ht="15.75" customHeight="1">
      <c r="E348" s="68"/>
      <c r="J348" s="68"/>
      <c r="L348" s="68"/>
      <c r="M348" s="68"/>
      <c r="O348" s="68"/>
      <c r="R348" s="68"/>
    </row>
    <row r="349" ht="15.75" customHeight="1">
      <c r="E349" s="68"/>
      <c r="J349" s="68"/>
      <c r="L349" s="68"/>
      <c r="M349" s="68"/>
      <c r="O349" s="68"/>
      <c r="R349" s="68"/>
    </row>
    <row r="350" ht="15.75" customHeight="1">
      <c r="E350" s="68"/>
      <c r="J350" s="68"/>
      <c r="L350" s="68"/>
      <c r="M350" s="68"/>
      <c r="O350" s="68"/>
      <c r="R350" s="68"/>
    </row>
    <row r="351" ht="15.75" customHeight="1">
      <c r="E351" s="68"/>
      <c r="J351" s="68"/>
      <c r="L351" s="68"/>
      <c r="M351" s="68"/>
      <c r="O351" s="68"/>
      <c r="R351" s="68"/>
    </row>
    <row r="352" ht="15.75" customHeight="1">
      <c r="E352" s="68"/>
      <c r="J352" s="68"/>
      <c r="L352" s="68"/>
      <c r="M352" s="68"/>
      <c r="O352" s="68"/>
      <c r="R352" s="68"/>
    </row>
    <row r="353" ht="15.75" customHeight="1">
      <c r="E353" s="68"/>
      <c r="J353" s="68"/>
      <c r="L353" s="68"/>
      <c r="M353" s="68"/>
      <c r="O353" s="68"/>
      <c r="R353" s="68"/>
    </row>
    <row r="354" ht="15.75" customHeight="1">
      <c r="E354" s="68"/>
      <c r="J354" s="68"/>
      <c r="L354" s="68"/>
      <c r="M354" s="68"/>
      <c r="O354" s="68"/>
      <c r="R354" s="68"/>
    </row>
    <row r="355" ht="15.75" customHeight="1">
      <c r="E355" s="68"/>
      <c r="J355" s="68"/>
      <c r="L355" s="68"/>
      <c r="M355" s="68"/>
      <c r="O355" s="68"/>
      <c r="R355" s="68"/>
    </row>
    <row r="356" ht="15.75" customHeight="1">
      <c r="E356" s="68"/>
      <c r="J356" s="68"/>
      <c r="L356" s="68"/>
      <c r="M356" s="68"/>
      <c r="O356" s="68"/>
      <c r="R356" s="68"/>
    </row>
    <row r="357" ht="15.75" customHeight="1">
      <c r="E357" s="68"/>
      <c r="J357" s="68"/>
      <c r="L357" s="68"/>
      <c r="M357" s="68"/>
      <c r="O357" s="68"/>
      <c r="R357" s="68"/>
    </row>
    <row r="358" ht="15.75" customHeight="1">
      <c r="E358" s="68"/>
      <c r="J358" s="68"/>
      <c r="L358" s="68"/>
      <c r="M358" s="68"/>
      <c r="O358" s="68"/>
      <c r="R358" s="68"/>
    </row>
    <row r="359" ht="15.75" customHeight="1">
      <c r="E359" s="68"/>
      <c r="J359" s="68"/>
      <c r="L359" s="68"/>
      <c r="M359" s="68"/>
      <c r="O359" s="68"/>
      <c r="R359" s="68"/>
    </row>
    <row r="360" ht="15.75" customHeight="1">
      <c r="E360" s="68"/>
      <c r="J360" s="68"/>
      <c r="L360" s="68"/>
      <c r="M360" s="68"/>
      <c r="O360" s="68"/>
      <c r="R360" s="68"/>
    </row>
    <row r="361" ht="15.75" customHeight="1">
      <c r="E361" s="68"/>
      <c r="J361" s="68"/>
      <c r="L361" s="68"/>
      <c r="M361" s="68"/>
      <c r="O361" s="68"/>
      <c r="R361" s="68"/>
    </row>
    <row r="362" ht="15.75" customHeight="1">
      <c r="E362" s="68"/>
      <c r="J362" s="68"/>
      <c r="L362" s="68"/>
      <c r="M362" s="68"/>
      <c r="O362" s="68"/>
      <c r="R362" s="68"/>
    </row>
    <row r="363" ht="15.75" customHeight="1">
      <c r="E363" s="68"/>
      <c r="J363" s="68"/>
      <c r="L363" s="68"/>
      <c r="M363" s="68"/>
      <c r="O363" s="68"/>
      <c r="R363" s="68"/>
    </row>
    <row r="364" ht="15.75" customHeight="1">
      <c r="E364" s="68"/>
      <c r="J364" s="68"/>
      <c r="L364" s="68"/>
      <c r="M364" s="68"/>
      <c r="O364" s="68"/>
      <c r="R364" s="68"/>
    </row>
    <row r="365" ht="15.75" customHeight="1">
      <c r="E365" s="68"/>
      <c r="J365" s="68"/>
      <c r="L365" s="68"/>
      <c r="M365" s="68"/>
      <c r="O365" s="68"/>
      <c r="R365" s="68"/>
    </row>
    <row r="366" ht="15.75" customHeight="1">
      <c r="E366" s="68"/>
      <c r="J366" s="68"/>
      <c r="L366" s="68"/>
      <c r="M366" s="68"/>
      <c r="O366" s="68"/>
      <c r="R366" s="68"/>
    </row>
    <row r="367" ht="15.75" customHeight="1">
      <c r="E367" s="68"/>
      <c r="J367" s="68"/>
      <c r="L367" s="68"/>
      <c r="M367" s="68"/>
      <c r="O367" s="68"/>
      <c r="R367" s="68"/>
    </row>
    <row r="368" ht="15.75" customHeight="1">
      <c r="E368" s="68"/>
      <c r="J368" s="68"/>
      <c r="L368" s="68"/>
      <c r="M368" s="68"/>
      <c r="O368" s="68"/>
      <c r="R368" s="68"/>
    </row>
    <row r="369" ht="15.75" customHeight="1">
      <c r="E369" s="68"/>
      <c r="J369" s="68"/>
      <c r="L369" s="68"/>
      <c r="M369" s="68"/>
      <c r="O369" s="68"/>
      <c r="R369" s="68"/>
    </row>
    <row r="370" ht="15.75" customHeight="1">
      <c r="E370" s="68"/>
      <c r="J370" s="68"/>
      <c r="L370" s="68"/>
      <c r="M370" s="68"/>
      <c r="O370" s="68"/>
      <c r="R370" s="68"/>
    </row>
    <row r="371" ht="15.75" customHeight="1">
      <c r="E371" s="68"/>
      <c r="J371" s="68"/>
      <c r="L371" s="68"/>
      <c r="M371" s="68"/>
      <c r="O371" s="68"/>
      <c r="R371" s="68"/>
    </row>
    <row r="372" ht="15.75" customHeight="1">
      <c r="E372" s="68"/>
      <c r="J372" s="68"/>
      <c r="L372" s="68"/>
      <c r="M372" s="68"/>
      <c r="O372" s="68"/>
      <c r="R372" s="68"/>
    </row>
    <row r="373" ht="15.75" customHeight="1">
      <c r="E373" s="68"/>
      <c r="J373" s="68"/>
      <c r="L373" s="68"/>
      <c r="M373" s="68"/>
      <c r="O373" s="68"/>
      <c r="R373" s="68"/>
    </row>
    <row r="374" ht="15.75" customHeight="1">
      <c r="E374" s="68"/>
      <c r="J374" s="68"/>
      <c r="L374" s="68"/>
      <c r="M374" s="68"/>
      <c r="O374" s="68"/>
      <c r="R374" s="68"/>
    </row>
    <row r="375" ht="15.75" customHeight="1">
      <c r="E375" s="68"/>
      <c r="J375" s="68"/>
      <c r="L375" s="68"/>
      <c r="M375" s="68"/>
      <c r="O375" s="68"/>
      <c r="R375" s="68"/>
    </row>
    <row r="376" ht="15.75" customHeight="1">
      <c r="E376" s="68"/>
      <c r="J376" s="68"/>
      <c r="L376" s="68"/>
      <c r="M376" s="68"/>
      <c r="O376" s="68"/>
      <c r="R376" s="68"/>
    </row>
    <row r="377" ht="15.75" customHeight="1">
      <c r="E377" s="68"/>
      <c r="J377" s="68"/>
      <c r="L377" s="68"/>
      <c r="M377" s="68"/>
      <c r="O377" s="68"/>
      <c r="R377" s="68"/>
    </row>
    <row r="378" ht="15.75" customHeight="1">
      <c r="E378" s="68"/>
      <c r="J378" s="68"/>
      <c r="L378" s="68"/>
      <c r="M378" s="68"/>
      <c r="O378" s="68"/>
      <c r="R378" s="68"/>
    </row>
    <row r="379" ht="15.75" customHeight="1">
      <c r="E379" s="68"/>
      <c r="J379" s="68"/>
      <c r="L379" s="68"/>
      <c r="M379" s="68"/>
      <c r="O379" s="68"/>
      <c r="R379" s="68"/>
    </row>
    <row r="380" ht="15.75" customHeight="1">
      <c r="E380" s="68"/>
      <c r="J380" s="68"/>
      <c r="L380" s="68"/>
      <c r="M380" s="68"/>
      <c r="O380" s="68"/>
      <c r="R380" s="68"/>
    </row>
    <row r="381" ht="15.75" customHeight="1">
      <c r="E381" s="68"/>
      <c r="J381" s="68"/>
      <c r="L381" s="68"/>
      <c r="M381" s="68"/>
      <c r="O381" s="68"/>
      <c r="R381" s="68"/>
    </row>
    <row r="382" ht="15.75" customHeight="1">
      <c r="E382" s="68"/>
      <c r="J382" s="68"/>
      <c r="L382" s="68"/>
      <c r="M382" s="68"/>
      <c r="O382" s="68"/>
      <c r="R382" s="68"/>
    </row>
    <row r="383" ht="15.75" customHeight="1">
      <c r="E383" s="68"/>
      <c r="J383" s="68"/>
      <c r="L383" s="68"/>
      <c r="M383" s="68"/>
      <c r="O383" s="68"/>
      <c r="R383" s="68"/>
    </row>
    <row r="384" ht="15.75" customHeight="1">
      <c r="E384" s="68"/>
      <c r="J384" s="68"/>
      <c r="L384" s="68"/>
      <c r="M384" s="68"/>
      <c r="O384" s="68"/>
      <c r="R384" s="68"/>
    </row>
    <row r="385" ht="15.75" customHeight="1">
      <c r="E385" s="68"/>
      <c r="J385" s="68"/>
      <c r="L385" s="68"/>
      <c r="M385" s="68"/>
      <c r="O385" s="68"/>
      <c r="R385" s="68"/>
    </row>
    <row r="386" ht="15.75" customHeight="1">
      <c r="E386" s="68"/>
      <c r="J386" s="68"/>
      <c r="L386" s="68"/>
      <c r="M386" s="68"/>
      <c r="O386" s="68"/>
      <c r="R386" s="68"/>
    </row>
    <row r="387" ht="15.75" customHeight="1">
      <c r="E387" s="68"/>
      <c r="J387" s="68"/>
      <c r="L387" s="68"/>
      <c r="M387" s="68"/>
      <c r="O387" s="68"/>
      <c r="R387" s="68"/>
    </row>
    <row r="388" ht="15.75" customHeight="1">
      <c r="E388" s="68"/>
      <c r="J388" s="68"/>
      <c r="L388" s="68"/>
      <c r="M388" s="68"/>
      <c r="O388" s="68"/>
      <c r="R388" s="68"/>
    </row>
    <row r="389" ht="15.75" customHeight="1">
      <c r="E389" s="68"/>
      <c r="J389" s="68"/>
      <c r="L389" s="68"/>
      <c r="M389" s="68"/>
      <c r="O389" s="68"/>
      <c r="R389" s="68"/>
    </row>
    <row r="390" ht="15.75" customHeight="1">
      <c r="E390" s="68"/>
      <c r="J390" s="68"/>
      <c r="L390" s="68"/>
      <c r="M390" s="68"/>
      <c r="O390" s="68"/>
      <c r="R390" s="68"/>
    </row>
    <row r="391" ht="15.75" customHeight="1">
      <c r="E391" s="68"/>
      <c r="J391" s="68"/>
      <c r="L391" s="68"/>
      <c r="M391" s="68"/>
      <c r="O391" s="68"/>
      <c r="R391" s="68"/>
    </row>
    <row r="392" ht="15.75" customHeight="1">
      <c r="E392" s="68"/>
      <c r="J392" s="68"/>
      <c r="L392" s="68"/>
      <c r="M392" s="68"/>
      <c r="O392" s="68"/>
      <c r="R392" s="68"/>
    </row>
    <row r="393" ht="15.75" customHeight="1">
      <c r="E393" s="68"/>
      <c r="J393" s="68"/>
      <c r="L393" s="68"/>
      <c r="M393" s="68"/>
      <c r="O393" s="68"/>
      <c r="R393" s="68"/>
    </row>
    <row r="394" ht="15.75" customHeight="1">
      <c r="E394" s="68"/>
      <c r="J394" s="68"/>
      <c r="L394" s="68"/>
      <c r="M394" s="68"/>
      <c r="O394" s="68"/>
      <c r="R394" s="68"/>
    </row>
    <row r="395" ht="15.75" customHeight="1">
      <c r="E395" s="68"/>
      <c r="J395" s="68"/>
      <c r="L395" s="68"/>
      <c r="M395" s="68"/>
      <c r="O395" s="68"/>
      <c r="R395" s="68"/>
    </row>
    <row r="396" ht="15.75" customHeight="1">
      <c r="E396" s="68"/>
      <c r="J396" s="68"/>
      <c r="L396" s="68"/>
      <c r="M396" s="68"/>
      <c r="O396" s="68"/>
      <c r="R396" s="68"/>
    </row>
    <row r="397" ht="15.75" customHeight="1">
      <c r="E397" s="68"/>
      <c r="J397" s="68"/>
      <c r="L397" s="68"/>
      <c r="M397" s="68"/>
      <c r="O397" s="68"/>
      <c r="R397" s="68"/>
    </row>
    <row r="398" ht="15.75" customHeight="1">
      <c r="E398" s="68"/>
      <c r="J398" s="68"/>
      <c r="L398" s="68"/>
      <c r="M398" s="68"/>
      <c r="O398" s="68"/>
      <c r="R398" s="68"/>
    </row>
    <row r="399" ht="15.75" customHeight="1">
      <c r="E399" s="68"/>
      <c r="J399" s="68"/>
      <c r="L399" s="68"/>
      <c r="M399" s="68"/>
      <c r="O399" s="68"/>
      <c r="R399" s="68"/>
    </row>
    <row r="400" ht="15.75" customHeight="1">
      <c r="E400" s="68"/>
      <c r="J400" s="68"/>
      <c r="L400" s="68"/>
      <c r="M400" s="68"/>
      <c r="O400" s="68"/>
      <c r="R400" s="68"/>
    </row>
    <row r="401" ht="15.75" customHeight="1">
      <c r="E401" s="68"/>
      <c r="J401" s="68"/>
      <c r="L401" s="68"/>
      <c r="M401" s="68"/>
      <c r="O401" s="68"/>
      <c r="R401" s="68"/>
    </row>
    <row r="402" ht="15.75" customHeight="1">
      <c r="E402" s="68"/>
      <c r="J402" s="68"/>
      <c r="L402" s="68"/>
      <c r="M402" s="68"/>
      <c r="O402" s="68"/>
      <c r="R402" s="68"/>
    </row>
    <row r="403" ht="15.75" customHeight="1">
      <c r="E403" s="68"/>
      <c r="J403" s="68"/>
      <c r="L403" s="68"/>
      <c r="M403" s="68"/>
      <c r="O403" s="68"/>
      <c r="R403" s="68"/>
    </row>
    <row r="404" ht="15.75" customHeight="1">
      <c r="E404" s="68"/>
      <c r="J404" s="68"/>
      <c r="L404" s="68"/>
      <c r="M404" s="68"/>
      <c r="O404" s="68"/>
      <c r="R404" s="68"/>
    </row>
    <row r="405" ht="15.75" customHeight="1">
      <c r="E405" s="68"/>
      <c r="J405" s="68"/>
      <c r="L405" s="68"/>
      <c r="M405" s="68"/>
      <c r="O405" s="68"/>
      <c r="R405" s="68"/>
    </row>
    <row r="406" ht="15.75" customHeight="1">
      <c r="E406" s="68"/>
      <c r="J406" s="68"/>
      <c r="L406" s="68"/>
      <c r="M406" s="68"/>
      <c r="O406" s="68"/>
      <c r="R406" s="68"/>
    </row>
    <row r="407" ht="15.75" customHeight="1">
      <c r="E407" s="68"/>
      <c r="J407" s="68"/>
      <c r="L407" s="68"/>
      <c r="M407" s="68"/>
      <c r="O407" s="68"/>
      <c r="R407" s="68"/>
    </row>
    <row r="408" ht="15.75" customHeight="1">
      <c r="E408" s="68"/>
      <c r="J408" s="68"/>
      <c r="L408" s="68"/>
      <c r="M408" s="68"/>
      <c r="O408" s="68"/>
      <c r="R408" s="68"/>
    </row>
    <row r="409" ht="15.75" customHeight="1">
      <c r="E409" s="68"/>
      <c r="J409" s="68"/>
      <c r="L409" s="68"/>
      <c r="M409" s="68"/>
      <c r="O409" s="68"/>
      <c r="R409" s="68"/>
    </row>
    <row r="410" ht="15.75" customHeight="1">
      <c r="E410" s="68"/>
      <c r="J410" s="68"/>
      <c r="L410" s="68"/>
      <c r="M410" s="68"/>
      <c r="O410" s="68"/>
      <c r="R410" s="68"/>
    </row>
    <row r="411" ht="15.75" customHeight="1">
      <c r="E411" s="68"/>
      <c r="J411" s="68"/>
      <c r="L411" s="68"/>
      <c r="M411" s="68"/>
      <c r="O411" s="68"/>
      <c r="R411" s="68"/>
    </row>
    <row r="412" ht="15.75" customHeight="1">
      <c r="E412" s="68"/>
      <c r="J412" s="68"/>
      <c r="L412" s="68"/>
      <c r="M412" s="68"/>
      <c r="O412" s="68"/>
      <c r="R412" s="68"/>
    </row>
    <row r="413" ht="15.75" customHeight="1">
      <c r="E413" s="68"/>
      <c r="J413" s="68"/>
      <c r="L413" s="68"/>
      <c r="M413" s="68"/>
      <c r="O413" s="68"/>
      <c r="R413" s="68"/>
    </row>
    <row r="414" ht="15.75" customHeight="1">
      <c r="E414" s="68"/>
      <c r="J414" s="68"/>
      <c r="L414" s="68"/>
      <c r="M414" s="68"/>
      <c r="O414" s="68"/>
      <c r="R414" s="68"/>
    </row>
    <row r="415" ht="15.75" customHeight="1">
      <c r="E415" s="68"/>
      <c r="J415" s="68"/>
      <c r="L415" s="68"/>
      <c r="M415" s="68"/>
      <c r="O415" s="68"/>
      <c r="R415" s="68"/>
    </row>
    <row r="416" ht="15.75" customHeight="1">
      <c r="E416" s="68"/>
      <c r="J416" s="68"/>
      <c r="L416" s="68"/>
      <c r="M416" s="68"/>
      <c r="O416" s="68"/>
      <c r="R416" s="68"/>
    </row>
    <row r="417" ht="15.75" customHeight="1">
      <c r="E417" s="68"/>
      <c r="J417" s="68"/>
      <c r="L417" s="68"/>
      <c r="M417" s="68"/>
      <c r="O417" s="68"/>
      <c r="R417" s="68"/>
    </row>
    <row r="418" ht="15.75" customHeight="1">
      <c r="E418" s="68"/>
      <c r="J418" s="68"/>
      <c r="L418" s="68"/>
      <c r="M418" s="68"/>
      <c r="O418" s="68"/>
      <c r="R418" s="68"/>
    </row>
    <row r="419" ht="15.75" customHeight="1">
      <c r="E419" s="68"/>
      <c r="J419" s="68"/>
      <c r="L419" s="68"/>
      <c r="M419" s="68"/>
      <c r="O419" s="68"/>
      <c r="R419" s="68"/>
    </row>
    <row r="420" ht="15.75" customHeight="1">
      <c r="E420" s="68"/>
      <c r="J420" s="68"/>
      <c r="L420" s="68"/>
      <c r="M420" s="68"/>
      <c r="O420" s="68"/>
      <c r="R420" s="68"/>
    </row>
    <row r="421" ht="15.75" customHeight="1">
      <c r="E421" s="68"/>
      <c r="J421" s="68"/>
      <c r="L421" s="68"/>
      <c r="M421" s="68"/>
      <c r="O421" s="68"/>
      <c r="R421" s="68"/>
    </row>
    <row r="422" ht="15.75" customHeight="1">
      <c r="E422" s="68"/>
      <c r="J422" s="68"/>
      <c r="L422" s="68"/>
      <c r="M422" s="68"/>
      <c r="O422" s="68"/>
      <c r="R422" s="68"/>
    </row>
    <row r="423" ht="15.75" customHeight="1">
      <c r="E423" s="68"/>
      <c r="J423" s="68"/>
      <c r="L423" s="68"/>
      <c r="M423" s="68"/>
      <c r="O423" s="68"/>
      <c r="R423" s="68"/>
    </row>
    <row r="424" ht="15.75" customHeight="1">
      <c r="E424" s="68"/>
      <c r="J424" s="68"/>
      <c r="L424" s="68"/>
      <c r="M424" s="68"/>
      <c r="O424" s="68"/>
      <c r="R424" s="68"/>
    </row>
    <row r="425" ht="15.75" customHeight="1">
      <c r="E425" s="68"/>
      <c r="J425" s="68"/>
      <c r="L425" s="68"/>
      <c r="M425" s="68"/>
      <c r="O425" s="68"/>
      <c r="R425" s="68"/>
    </row>
    <row r="426" ht="15.75" customHeight="1">
      <c r="E426" s="68"/>
      <c r="J426" s="68"/>
      <c r="L426" s="68"/>
      <c r="M426" s="68"/>
      <c r="O426" s="68"/>
      <c r="R426" s="68"/>
    </row>
    <row r="427" ht="15.75" customHeight="1">
      <c r="E427" s="68"/>
      <c r="J427" s="68"/>
      <c r="L427" s="68"/>
      <c r="M427" s="68"/>
      <c r="O427" s="68"/>
      <c r="R427" s="68"/>
    </row>
    <row r="428" ht="15.75" customHeight="1">
      <c r="E428" s="68"/>
      <c r="J428" s="68"/>
      <c r="L428" s="68"/>
      <c r="M428" s="68"/>
      <c r="O428" s="68"/>
      <c r="R428" s="68"/>
    </row>
    <row r="429" ht="15.75" customHeight="1">
      <c r="E429" s="68"/>
      <c r="J429" s="68"/>
      <c r="L429" s="68"/>
      <c r="M429" s="68"/>
      <c r="O429" s="68"/>
      <c r="R429" s="68"/>
    </row>
    <row r="430" ht="15.75" customHeight="1">
      <c r="E430" s="68"/>
      <c r="J430" s="68"/>
      <c r="L430" s="68"/>
      <c r="M430" s="68"/>
      <c r="O430" s="68"/>
      <c r="R430" s="68"/>
    </row>
    <row r="431" ht="15.75" customHeight="1">
      <c r="E431" s="68"/>
      <c r="J431" s="68"/>
      <c r="L431" s="68"/>
      <c r="M431" s="68"/>
      <c r="O431" s="68"/>
      <c r="R431" s="68"/>
    </row>
    <row r="432" ht="15.75" customHeight="1">
      <c r="E432" s="68"/>
      <c r="J432" s="68"/>
      <c r="L432" s="68"/>
      <c r="M432" s="68"/>
      <c r="O432" s="68"/>
      <c r="R432" s="68"/>
    </row>
    <row r="433" ht="15.75" customHeight="1">
      <c r="E433" s="68"/>
      <c r="J433" s="68"/>
      <c r="L433" s="68"/>
      <c r="M433" s="68"/>
      <c r="O433" s="68"/>
      <c r="R433" s="68"/>
    </row>
    <row r="434" ht="15.75" customHeight="1">
      <c r="E434" s="68"/>
      <c r="J434" s="68"/>
      <c r="L434" s="68"/>
      <c r="M434" s="68"/>
      <c r="O434" s="68"/>
      <c r="R434" s="68"/>
    </row>
    <row r="435" ht="15.75" customHeight="1">
      <c r="E435" s="68"/>
      <c r="J435" s="68"/>
      <c r="L435" s="68"/>
      <c r="M435" s="68"/>
      <c r="O435" s="68"/>
      <c r="R435" s="68"/>
    </row>
    <row r="436" ht="15.75" customHeight="1">
      <c r="E436" s="68"/>
      <c r="J436" s="68"/>
      <c r="L436" s="68"/>
      <c r="M436" s="68"/>
      <c r="O436" s="68"/>
      <c r="R436" s="68"/>
    </row>
    <row r="437" ht="15.75" customHeight="1">
      <c r="E437" s="68"/>
      <c r="J437" s="68"/>
      <c r="L437" s="68"/>
      <c r="M437" s="68"/>
      <c r="O437" s="68"/>
      <c r="R437" s="68"/>
    </row>
    <row r="438" ht="15.75" customHeight="1">
      <c r="E438" s="68"/>
      <c r="J438" s="68"/>
      <c r="L438" s="68"/>
      <c r="M438" s="68"/>
      <c r="O438" s="68"/>
      <c r="R438" s="68"/>
    </row>
    <row r="439" ht="15.75" customHeight="1">
      <c r="E439" s="68"/>
      <c r="J439" s="68"/>
      <c r="L439" s="68"/>
      <c r="M439" s="68"/>
      <c r="O439" s="68"/>
      <c r="R439" s="68"/>
    </row>
    <row r="440" ht="15.75" customHeight="1">
      <c r="E440" s="68"/>
      <c r="J440" s="68"/>
      <c r="L440" s="68"/>
      <c r="M440" s="68"/>
      <c r="O440" s="68"/>
      <c r="R440" s="68"/>
    </row>
    <row r="441" ht="15.75" customHeight="1">
      <c r="E441" s="68"/>
      <c r="J441" s="68"/>
      <c r="L441" s="68"/>
      <c r="M441" s="68"/>
      <c r="O441" s="68"/>
      <c r="R441" s="68"/>
    </row>
    <row r="442" ht="15.75" customHeight="1">
      <c r="E442" s="68"/>
      <c r="J442" s="68"/>
      <c r="L442" s="68"/>
      <c r="M442" s="68"/>
      <c r="O442" s="68"/>
      <c r="R442" s="68"/>
    </row>
    <row r="443" ht="15.75" customHeight="1">
      <c r="E443" s="68"/>
      <c r="J443" s="68"/>
      <c r="L443" s="68"/>
      <c r="M443" s="68"/>
      <c r="O443" s="68"/>
      <c r="R443" s="68"/>
    </row>
    <row r="444" ht="15.75" customHeight="1">
      <c r="E444" s="68"/>
      <c r="J444" s="68"/>
      <c r="L444" s="68"/>
      <c r="M444" s="68"/>
      <c r="O444" s="68"/>
      <c r="R444" s="68"/>
    </row>
    <row r="445" ht="15.75" customHeight="1">
      <c r="E445" s="68"/>
      <c r="J445" s="68"/>
      <c r="L445" s="68"/>
      <c r="M445" s="68"/>
      <c r="O445" s="68"/>
      <c r="R445" s="68"/>
    </row>
    <row r="446" ht="15.75" customHeight="1">
      <c r="E446" s="68"/>
      <c r="J446" s="68"/>
      <c r="L446" s="68"/>
      <c r="M446" s="68"/>
      <c r="O446" s="68"/>
      <c r="R446" s="68"/>
    </row>
    <row r="447" ht="15.75" customHeight="1">
      <c r="E447" s="68"/>
      <c r="J447" s="68"/>
      <c r="L447" s="68"/>
      <c r="M447" s="68"/>
      <c r="O447" s="68"/>
      <c r="R447" s="68"/>
    </row>
    <row r="448" ht="15.75" customHeight="1">
      <c r="E448" s="68"/>
      <c r="J448" s="68"/>
      <c r="L448" s="68"/>
      <c r="M448" s="68"/>
      <c r="O448" s="68"/>
      <c r="R448" s="68"/>
    </row>
    <row r="449" ht="15.75" customHeight="1">
      <c r="E449" s="68"/>
      <c r="J449" s="68"/>
      <c r="L449" s="68"/>
      <c r="M449" s="68"/>
      <c r="O449" s="68"/>
      <c r="R449" s="68"/>
    </row>
    <row r="450" ht="15.75" customHeight="1">
      <c r="E450" s="68"/>
      <c r="J450" s="68"/>
      <c r="L450" s="68"/>
      <c r="M450" s="68"/>
      <c r="O450" s="68"/>
      <c r="R450" s="68"/>
    </row>
    <row r="451" ht="15.75" customHeight="1">
      <c r="E451" s="68"/>
      <c r="J451" s="68"/>
      <c r="L451" s="68"/>
      <c r="M451" s="68"/>
      <c r="O451" s="68"/>
      <c r="R451" s="68"/>
    </row>
    <row r="452" ht="15.75" customHeight="1">
      <c r="E452" s="68"/>
      <c r="J452" s="68"/>
      <c r="L452" s="68"/>
      <c r="M452" s="68"/>
      <c r="O452" s="68"/>
      <c r="R452" s="68"/>
    </row>
    <row r="453" ht="15.75" customHeight="1">
      <c r="E453" s="68"/>
      <c r="J453" s="68"/>
      <c r="L453" s="68"/>
      <c r="M453" s="68"/>
      <c r="O453" s="68"/>
      <c r="R453" s="68"/>
    </row>
    <row r="454" ht="15.75" customHeight="1">
      <c r="E454" s="68"/>
      <c r="J454" s="68"/>
      <c r="L454" s="68"/>
      <c r="M454" s="68"/>
      <c r="O454" s="68"/>
      <c r="R454" s="68"/>
    </row>
    <row r="455" ht="15.75" customHeight="1">
      <c r="E455" s="68"/>
      <c r="J455" s="68"/>
      <c r="L455" s="68"/>
      <c r="M455" s="68"/>
      <c r="O455" s="68"/>
      <c r="R455" s="68"/>
    </row>
    <row r="456" ht="15.75" customHeight="1">
      <c r="E456" s="68"/>
      <c r="J456" s="68"/>
      <c r="L456" s="68"/>
      <c r="M456" s="68"/>
      <c r="O456" s="68"/>
      <c r="R456" s="68"/>
    </row>
    <row r="457" ht="15.75" customHeight="1">
      <c r="E457" s="68"/>
      <c r="J457" s="68"/>
      <c r="L457" s="68"/>
      <c r="M457" s="68"/>
      <c r="O457" s="68"/>
      <c r="R457" s="68"/>
    </row>
    <row r="458" ht="15.75" customHeight="1">
      <c r="E458" s="68"/>
      <c r="J458" s="68"/>
      <c r="L458" s="68"/>
      <c r="M458" s="68"/>
      <c r="O458" s="68"/>
      <c r="R458" s="68"/>
    </row>
    <row r="459" ht="15.75" customHeight="1">
      <c r="E459" s="68"/>
      <c r="J459" s="68"/>
      <c r="L459" s="68"/>
      <c r="M459" s="68"/>
      <c r="O459" s="68"/>
      <c r="R459" s="68"/>
    </row>
    <row r="460" ht="15.75" customHeight="1">
      <c r="E460" s="68"/>
      <c r="J460" s="68"/>
      <c r="L460" s="68"/>
      <c r="M460" s="68"/>
      <c r="O460" s="68"/>
      <c r="R460" s="68"/>
    </row>
    <row r="461" ht="15.75" customHeight="1">
      <c r="E461" s="68"/>
      <c r="J461" s="68"/>
      <c r="L461" s="68"/>
      <c r="M461" s="68"/>
      <c r="O461" s="68"/>
      <c r="R461" s="68"/>
    </row>
    <row r="462" ht="15.75" customHeight="1">
      <c r="E462" s="68"/>
      <c r="J462" s="68"/>
      <c r="L462" s="68"/>
      <c r="M462" s="68"/>
      <c r="O462" s="68"/>
      <c r="R462" s="68"/>
    </row>
    <row r="463" ht="15.75" customHeight="1">
      <c r="E463" s="68"/>
      <c r="J463" s="68"/>
      <c r="L463" s="68"/>
      <c r="M463" s="68"/>
      <c r="O463" s="68"/>
      <c r="R463" s="68"/>
    </row>
    <row r="464" ht="15.75" customHeight="1">
      <c r="E464" s="68"/>
      <c r="J464" s="68"/>
      <c r="L464" s="68"/>
      <c r="M464" s="68"/>
      <c r="O464" s="68"/>
      <c r="R464" s="68"/>
    </row>
    <row r="465" ht="15.75" customHeight="1">
      <c r="E465" s="68"/>
      <c r="J465" s="68"/>
      <c r="L465" s="68"/>
      <c r="M465" s="68"/>
      <c r="O465" s="68"/>
      <c r="R465" s="68"/>
    </row>
    <row r="466" ht="15.75" customHeight="1">
      <c r="E466" s="68"/>
      <c r="J466" s="68"/>
      <c r="L466" s="68"/>
      <c r="M466" s="68"/>
      <c r="O466" s="68"/>
      <c r="R466" s="68"/>
    </row>
    <row r="467" ht="15.75" customHeight="1">
      <c r="E467" s="68"/>
      <c r="J467" s="68"/>
      <c r="L467" s="68"/>
      <c r="M467" s="68"/>
      <c r="O467" s="68"/>
      <c r="R467" s="68"/>
    </row>
    <row r="468" ht="15.75" customHeight="1">
      <c r="E468" s="68"/>
      <c r="J468" s="68"/>
      <c r="L468" s="68"/>
      <c r="M468" s="68"/>
      <c r="O468" s="68"/>
      <c r="R468" s="68"/>
    </row>
    <row r="469" ht="15.75" customHeight="1">
      <c r="E469" s="68"/>
      <c r="J469" s="68"/>
      <c r="L469" s="68"/>
      <c r="M469" s="68"/>
      <c r="O469" s="68"/>
      <c r="R469" s="68"/>
    </row>
    <row r="470" ht="15.75" customHeight="1">
      <c r="E470" s="68"/>
      <c r="J470" s="68"/>
      <c r="L470" s="68"/>
      <c r="M470" s="68"/>
      <c r="O470" s="68"/>
      <c r="R470" s="68"/>
    </row>
    <row r="471" ht="15.75" customHeight="1">
      <c r="E471" s="68"/>
      <c r="J471" s="68"/>
      <c r="L471" s="68"/>
      <c r="M471" s="68"/>
      <c r="O471" s="68"/>
      <c r="R471" s="68"/>
    </row>
    <row r="472" ht="15.75" customHeight="1">
      <c r="E472" s="68"/>
      <c r="J472" s="68"/>
      <c r="L472" s="68"/>
      <c r="M472" s="68"/>
      <c r="O472" s="68"/>
      <c r="R472" s="68"/>
    </row>
    <row r="473" ht="15.75" customHeight="1">
      <c r="E473" s="68"/>
      <c r="J473" s="68"/>
      <c r="L473" s="68"/>
      <c r="M473" s="68"/>
      <c r="O473" s="68"/>
      <c r="R473" s="68"/>
    </row>
    <row r="474" ht="15.75" customHeight="1">
      <c r="E474" s="68"/>
      <c r="J474" s="68"/>
      <c r="L474" s="68"/>
      <c r="M474" s="68"/>
      <c r="O474" s="68"/>
      <c r="R474" s="68"/>
    </row>
    <row r="475" ht="15.75" customHeight="1">
      <c r="E475" s="68"/>
      <c r="J475" s="68"/>
      <c r="L475" s="68"/>
      <c r="M475" s="68"/>
      <c r="O475" s="68"/>
      <c r="R475" s="68"/>
    </row>
    <row r="476" ht="15.75" customHeight="1">
      <c r="E476" s="68"/>
      <c r="J476" s="68"/>
      <c r="L476" s="68"/>
      <c r="M476" s="68"/>
      <c r="O476" s="68"/>
      <c r="R476" s="68"/>
    </row>
    <row r="477" ht="15.75" customHeight="1">
      <c r="E477" s="68"/>
      <c r="J477" s="68"/>
      <c r="L477" s="68"/>
      <c r="M477" s="68"/>
      <c r="O477" s="68"/>
      <c r="R477" s="68"/>
    </row>
    <row r="478" ht="15.75" customHeight="1">
      <c r="E478" s="68"/>
      <c r="J478" s="68"/>
      <c r="L478" s="68"/>
      <c r="M478" s="68"/>
      <c r="O478" s="68"/>
      <c r="R478" s="68"/>
    </row>
    <row r="479" ht="15.75" customHeight="1">
      <c r="E479" s="68"/>
      <c r="J479" s="68"/>
      <c r="L479" s="68"/>
      <c r="M479" s="68"/>
      <c r="O479" s="68"/>
      <c r="R479" s="68"/>
    </row>
    <row r="480" ht="15.75" customHeight="1">
      <c r="E480" s="68"/>
      <c r="J480" s="68"/>
      <c r="L480" s="68"/>
      <c r="M480" s="68"/>
      <c r="O480" s="68"/>
      <c r="R480" s="68"/>
    </row>
    <row r="481" ht="15.75" customHeight="1">
      <c r="E481" s="68"/>
      <c r="J481" s="68"/>
      <c r="L481" s="68"/>
      <c r="M481" s="68"/>
      <c r="O481" s="68"/>
      <c r="R481" s="68"/>
    </row>
    <row r="482" ht="15.75" customHeight="1">
      <c r="E482" s="68"/>
      <c r="J482" s="68"/>
      <c r="L482" s="68"/>
      <c r="M482" s="68"/>
      <c r="O482" s="68"/>
      <c r="R482" s="68"/>
    </row>
    <row r="483" ht="15.75" customHeight="1">
      <c r="E483" s="68"/>
      <c r="J483" s="68"/>
      <c r="L483" s="68"/>
      <c r="M483" s="68"/>
      <c r="O483" s="68"/>
      <c r="R483" s="68"/>
    </row>
    <row r="484" ht="15.75" customHeight="1">
      <c r="E484" s="68"/>
      <c r="J484" s="68"/>
      <c r="L484" s="68"/>
      <c r="M484" s="68"/>
      <c r="O484" s="68"/>
      <c r="R484" s="68"/>
    </row>
    <row r="485" ht="15.75" customHeight="1">
      <c r="E485" s="68"/>
      <c r="J485" s="68"/>
      <c r="L485" s="68"/>
      <c r="M485" s="68"/>
      <c r="O485" s="68"/>
      <c r="R485" s="68"/>
    </row>
    <row r="486" ht="15.75" customHeight="1">
      <c r="E486" s="68"/>
      <c r="J486" s="68"/>
      <c r="L486" s="68"/>
      <c r="M486" s="68"/>
      <c r="O486" s="68"/>
      <c r="R486" s="68"/>
    </row>
    <row r="487" ht="15.75" customHeight="1">
      <c r="E487" s="68"/>
      <c r="J487" s="68"/>
      <c r="L487" s="68"/>
      <c r="M487" s="68"/>
      <c r="O487" s="68"/>
      <c r="R487" s="68"/>
    </row>
    <row r="488" ht="15.75" customHeight="1">
      <c r="E488" s="68"/>
      <c r="J488" s="68"/>
      <c r="L488" s="68"/>
      <c r="M488" s="68"/>
      <c r="O488" s="68"/>
      <c r="R488" s="68"/>
    </row>
    <row r="489" ht="15.75" customHeight="1">
      <c r="E489" s="68"/>
      <c r="J489" s="68"/>
      <c r="L489" s="68"/>
      <c r="M489" s="68"/>
      <c r="O489" s="68"/>
      <c r="R489" s="68"/>
    </row>
    <row r="490" ht="15.75" customHeight="1">
      <c r="E490" s="68"/>
      <c r="J490" s="68"/>
      <c r="L490" s="68"/>
      <c r="M490" s="68"/>
      <c r="O490" s="68"/>
      <c r="R490" s="68"/>
    </row>
    <row r="491" ht="15.75" customHeight="1">
      <c r="E491" s="68"/>
      <c r="J491" s="68"/>
      <c r="L491" s="68"/>
      <c r="M491" s="68"/>
      <c r="O491" s="68"/>
      <c r="R491" s="68"/>
    </row>
    <row r="492" ht="15.75" customHeight="1">
      <c r="E492" s="68"/>
      <c r="J492" s="68"/>
      <c r="L492" s="68"/>
      <c r="M492" s="68"/>
      <c r="O492" s="68"/>
      <c r="R492" s="68"/>
    </row>
    <row r="493" ht="15.75" customHeight="1">
      <c r="E493" s="68"/>
      <c r="J493" s="68"/>
      <c r="L493" s="68"/>
      <c r="M493" s="68"/>
      <c r="O493" s="68"/>
      <c r="R493" s="68"/>
    </row>
    <row r="494" ht="15.75" customHeight="1">
      <c r="E494" s="68"/>
      <c r="J494" s="68"/>
      <c r="L494" s="68"/>
      <c r="M494" s="68"/>
      <c r="O494" s="68"/>
      <c r="R494" s="68"/>
    </row>
    <row r="495" ht="15.75" customHeight="1">
      <c r="E495" s="68"/>
      <c r="J495" s="68"/>
      <c r="L495" s="68"/>
      <c r="M495" s="68"/>
      <c r="O495" s="68"/>
      <c r="R495" s="68"/>
    </row>
    <row r="496" ht="15.75" customHeight="1">
      <c r="E496" s="68"/>
      <c r="J496" s="68"/>
      <c r="L496" s="68"/>
      <c r="M496" s="68"/>
      <c r="O496" s="68"/>
      <c r="R496" s="68"/>
    </row>
    <row r="497" ht="15.75" customHeight="1">
      <c r="E497" s="68"/>
      <c r="J497" s="68"/>
      <c r="L497" s="68"/>
      <c r="M497" s="68"/>
      <c r="O497" s="68"/>
      <c r="R497" s="68"/>
    </row>
    <row r="498" ht="15.75" customHeight="1">
      <c r="E498" s="68"/>
      <c r="J498" s="68"/>
      <c r="L498" s="68"/>
      <c r="M498" s="68"/>
      <c r="O498" s="68"/>
      <c r="R498" s="68"/>
    </row>
    <row r="499" ht="15.75" customHeight="1">
      <c r="E499" s="68"/>
      <c r="J499" s="68"/>
      <c r="L499" s="68"/>
      <c r="M499" s="68"/>
      <c r="O499" s="68"/>
      <c r="R499" s="68"/>
    </row>
    <row r="500" ht="15.75" customHeight="1">
      <c r="E500" s="68"/>
      <c r="J500" s="68"/>
      <c r="L500" s="68"/>
      <c r="M500" s="68"/>
      <c r="O500" s="68"/>
      <c r="R500" s="68"/>
    </row>
    <row r="501" ht="15.75" customHeight="1">
      <c r="E501" s="68"/>
      <c r="J501" s="68"/>
      <c r="L501" s="68"/>
      <c r="M501" s="68"/>
      <c r="O501" s="68"/>
      <c r="R501" s="68"/>
    </row>
    <row r="502" ht="15.75" customHeight="1">
      <c r="E502" s="68"/>
      <c r="J502" s="68"/>
      <c r="L502" s="68"/>
      <c r="M502" s="68"/>
      <c r="O502" s="68"/>
      <c r="R502" s="68"/>
    </row>
    <row r="503" ht="15.75" customHeight="1">
      <c r="E503" s="68"/>
      <c r="J503" s="68"/>
      <c r="L503" s="68"/>
      <c r="M503" s="68"/>
      <c r="O503" s="68"/>
      <c r="R503" s="68"/>
    </row>
    <row r="504" ht="15.75" customHeight="1">
      <c r="E504" s="68"/>
      <c r="J504" s="68"/>
      <c r="L504" s="68"/>
      <c r="M504" s="68"/>
      <c r="O504" s="68"/>
      <c r="R504" s="68"/>
    </row>
    <row r="505" ht="15.75" customHeight="1">
      <c r="E505" s="68"/>
      <c r="J505" s="68"/>
      <c r="L505" s="68"/>
      <c r="M505" s="68"/>
      <c r="O505" s="68"/>
      <c r="R505" s="68"/>
    </row>
    <row r="506" ht="15.75" customHeight="1">
      <c r="E506" s="68"/>
      <c r="J506" s="68"/>
      <c r="L506" s="68"/>
      <c r="M506" s="68"/>
      <c r="O506" s="68"/>
      <c r="R506" s="68"/>
    </row>
    <row r="507" ht="15.75" customHeight="1">
      <c r="E507" s="68"/>
      <c r="J507" s="68"/>
      <c r="L507" s="68"/>
      <c r="M507" s="68"/>
      <c r="O507" s="68"/>
      <c r="R507" s="68"/>
    </row>
    <row r="508" ht="15.75" customHeight="1">
      <c r="E508" s="68"/>
      <c r="J508" s="68"/>
      <c r="L508" s="68"/>
      <c r="M508" s="68"/>
      <c r="O508" s="68"/>
      <c r="R508" s="68"/>
    </row>
    <row r="509" ht="15.75" customHeight="1">
      <c r="E509" s="68"/>
      <c r="J509" s="68"/>
      <c r="L509" s="68"/>
      <c r="M509" s="68"/>
      <c r="O509" s="68"/>
      <c r="R509" s="68"/>
    </row>
    <row r="510" ht="15.75" customHeight="1">
      <c r="E510" s="68"/>
      <c r="J510" s="68"/>
      <c r="L510" s="68"/>
      <c r="M510" s="68"/>
      <c r="O510" s="68"/>
      <c r="R510" s="68"/>
    </row>
    <row r="511" ht="15.75" customHeight="1">
      <c r="E511" s="68"/>
      <c r="J511" s="68"/>
      <c r="L511" s="68"/>
      <c r="M511" s="68"/>
      <c r="O511" s="68"/>
      <c r="R511" s="68"/>
    </row>
    <row r="512" ht="15.75" customHeight="1">
      <c r="E512" s="68"/>
      <c r="J512" s="68"/>
      <c r="L512" s="68"/>
      <c r="M512" s="68"/>
      <c r="O512" s="68"/>
      <c r="R512" s="68"/>
    </row>
    <row r="513" ht="15.75" customHeight="1">
      <c r="E513" s="68"/>
      <c r="J513" s="68"/>
      <c r="L513" s="68"/>
      <c r="M513" s="68"/>
      <c r="O513" s="68"/>
      <c r="R513" s="68"/>
    </row>
    <row r="514" ht="15.75" customHeight="1">
      <c r="E514" s="68"/>
      <c r="J514" s="68"/>
      <c r="L514" s="68"/>
      <c r="M514" s="68"/>
      <c r="O514" s="68"/>
      <c r="R514" s="68"/>
    </row>
    <row r="515" ht="15.75" customHeight="1">
      <c r="E515" s="68"/>
      <c r="J515" s="68"/>
      <c r="L515" s="68"/>
      <c r="M515" s="68"/>
      <c r="O515" s="68"/>
      <c r="R515" s="68"/>
    </row>
    <row r="516" ht="15.75" customHeight="1">
      <c r="E516" s="68"/>
      <c r="J516" s="68"/>
      <c r="L516" s="68"/>
      <c r="M516" s="68"/>
      <c r="O516" s="68"/>
      <c r="R516" s="68"/>
    </row>
    <row r="517" ht="15.75" customHeight="1">
      <c r="E517" s="68"/>
      <c r="J517" s="68"/>
      <c r="L517" s="68"/>
      <c r="M517" s="68"/>
      <c r="O517" s="68"/>
      <c r="R517" s="68"/>
    </row>
    <row r="518" ht="15.75" customHeight="1">
      <c r="E518" s="68"/>
      <c r="J518" s="68"/>
      <c r="L518" s="68"/>
      <c r="M518" s="68"/>
      <c r="O518" s="68"/>
      <c r="R518" s="68"/>
    </row>
    <row r="519" ht="15.75" customHeight="1">
      <c r="E519" s="68"/>
      <c r="J519" s="68"/>
      <c r="L519" s="68"/>
      <c r="M519" s="68"/>
      <c r="O519" s="68"/>
      <c r="R519" s="68"/>
    </row>
    <row r="520" ht="15.75" customHeight="1">
      <c r="E520" s="68"/>
      <c r="J520" s="68"/>
      <c r="L520" s="68"/>
      <c r="M520" s="68"/>
      <c r="O520" s="68"/>
      <c r="R520" s="68"/>
    </row>
    <row r="521" ht="15.75" customHeight="1">
      <c r="E521" s="68"/>
      <c r="J521" s="68"/>
      <c r="L521" s="68"/>
      <c r="M521" s="68"/>
      <c r="O521" s="68"/>
      <c r="R521" s="68"/>
    </row>
    <row r="522" ht="15.75" customHeight="1">
      <c r="E522" s="68"/>
      <c r="J522" s="68"/>
      <c r="L522" s="68"/>
      <c r="M522" s="68"/>
      <c r="O522" s="68"/>
      <c r="R522" s="68"/>
    </row>
    <row r="523" ht="15.75" customHeight="1">
      <c r="E523" s="68"/>
      <c r="J523" s="68"/>
      <c r="L523" s="68"/>
      <c r="M523" s="68"/>
      <c r="O523" s="68"/>
      <c r="R523" s="68"/>
    </row>
    <row r="524" ht="15.75" customHeight="1">
      <c r="E524" s="68"/>
      <c r="J524" s="68"/>
      <c r="L524" s="68"/>
      <c r="M524" s="68"/>
      <c r="O524" s="68"/>
      <c r="R524" s="68"/>
    </row>
    <row r="525" ht="15.75" customHeight="1">
      <c r="E525" s="68"/>
      <c r="J525" s="68"/>
      <c r="L525" s="68"/>
      <c r="M525" s="68"/>
      <c r="O525" s="68"/>
      <c r="R525" s="68"/>
    </row>
    <row r="526" ht="15.75" customHeight="1">
      <c r="E526" s="68"/>
      <c r="J526" s="68"/>
      <c r="L526" s="68"/>
      <c r="M526" s="68"/>
      <c r="O526" s="68"/>
      <c r="R526" s="68"/>
    </row>
    <row r="527" ht="15.75" customHeight="1">
      <c r="E527" s="68"/>
      <c r="J527" s="68"/>
      <c r="L527" s="68"/>
      <c r="M527" s="68"/>
      <c r="O527" s="68"/>
      <c r="R527" s="68"/>
    </row>
    <row r="528" ht="15.75" customHeight="1">
      <c r="E528" s="68"/>
      <c r="J528" s="68"/>
      <c r="L528" s="68"/>
      <c r="M528" s="68"/>
      <c r="O528" s="68"/>
      <c r="R528" s="68"/>
    </row>
    <row r="529" ht="15.75" customHeight="1">
      <c r="E529" s="68"/>
      <c r="J529" s="68"/>
      <c r="L529" s="68"/>
      <c r="M529" s="68"/>
      <c r="O529" s="68"/>
      <c r="R529" s="68"/>
    </row>
    <row r="530" ht="15.75" customHeight="1">
      <c r="E530" s="68"/>
      <c r="J530" s="68"/>
      <c r="L530" s="68"/>
      <c r="M530" s="68"/>
      <c r="O530" s="68"/>
      <c r="R530" s="68"/>
    </row>
    <row r="531" ht="15.75" customHeight="1">
      <c r="E531" s="68"/>
      <c r="J531" s="68"/>
      <c r="L531" s="68"/>
      <c r="M531" s="68"/>
      <c r="O531" s="68"/>
      <c r="R531" s="68"/>
    </row>
    <row r="532" ht="15.75" customHeight="1">
      <c r="E532" s="68"/>
      <c r="J532" s="68"/>
      <c r="L532" s="68"/>
      <c r="M532" s="68"/>
      <c r="O532" s="68"/>
      <c r="R532" s="68"/>
    </row>
    <row r="533" ht="15.75" customHeight="1">
      <c r="E533" s="68"/>
      <c r="J533" s="68"/>
      <c r="L533" s="68"/>
      <c r="M533" s="68"/>
      <c r="O533" s="68"/>
      <c r="R533" s="68"/>
    </row>
    <row r="534" ht="15.75" customHeight="1">
      <c r="E534" s="68"/>
      <c r="J534" s="68"/>
      <c r="L534" s="68"/>
      <c r="M534" s="68"/>
      <c r="O534" s="68"/>
      <c r="R534" s="68"/>
    </row>
    <row r="535" ht="15.75" customHeight="1">
      <c r="E535" s="68"/>
      <c r="J535" s="68"/>
      <c r="L535" s="68"/>
      <c r="M535" s="68"/>
      <c r="O535" s="68"/>
      <c r="R535" s="68"/>
    </row>
    <row r="536" ht="15.75" customHeight="1">
      <c r="E536" s="68"/>
      <c r="J536" s="68"/>
      <c r="L536" s="68"/>
      <c r="M536" s="68"/>
      <c r="O536" s="68"/>
      <c r="R536" s="68"/>
    </row>
    <row r="537" ht="15.75" customHeight="1">
      <c r="E537" s="68"/>
      <c r="J537" s="68"/>
      <c r="L537" s="68"/>
      <c r="M537" s="68"/>
      <c r="O537" s="68"/>
      <c r="R537" s="68"/>
    </row>
    <row r="538" ht="15.75" customHeight="1">
      <c r="E538" s="68"/>
      <c r="J538" s="68"/>
      <c r="L538" s="68"/>
      <c r="M538" s="68"/>
      <c r="O538" s="68"/>
      <c r="R538" s="68"/>
    </row>
    <row r="539" ht="15.75" customHeight="1">
      <c r="E539" s="68"/>
      <c r="J539" s="68"/>
      <c r="L539" s="68"/>
      <c r="M539" s="68"/>
      <c r="O539" s="68"/>
      <c r="R539" s="68"/>
    </row>
    <row r="540" ht="15.75" customHeight="1">
      <c r="E540" s="68"/>
      <c r="J540" s="68"/>
      <c r="L540" s="68"/>
      <c r="M540" s="68"/>
      <c r="O540" s="68"/>
      <c r="R540" s="68"/>
    </row>
    <row r="541" ht="15.75" customHeight="1">
      <c r="E541" s="68"/>
      <c r="J541" s="68"/>
      <c r="L541" s="68"/>
      <c r="M541" s="68"/>
      <c r="O541" s="68"/>
      <c r="R541" s="68"/>
    </row>
    <row r="542" ht="15.75" customHeight="1">
      <c r="E542" s="68"/>
      <c r="J542" s="68"/>
      <c r="L542" s="68"/>
      <c r="M542" s="68"/>
      <c r="O542" s="68"/>
      <c r="R542" s="68"/>
    </row>
    <row r="543" ht="15.75" customHeight="1">
      <c r="E543" s="68"/>
      <c r="J543" s="68"/>
      <c r="L543" s="68"/>
      <c r="M543" s="68"/>
      <c r="O543" s="68"/>
      <c r="R543" s="68"/>
    </row>
    <row r="544" ht="15.75" customHeight="1">
      <c r="E544" s="68"/>
      <c r="J544" s="68"/>
      <c r="L544" s="68"/>
      <c r="M544" s="68"/>
      <c r="O544" s="68"/>
      <c r="R544" s="68"/>
    </row>
    <row r="545" ht="15.75" customHeight="1">
      <c r="E545" s="68"/>
      <c r="J545" s="68"/>
      <c r="L545" s="68"/>
      <c r="M545" s="68"/>
      <c r="O545" s="68"/>
      <c r="R545" s="68"/>
    </row>
    <row r="546" ht="15.75" customHeight="1">
      <c r="E546" s="68"/>
      <c r="J546" s="68"/>
      <c r="L546" s="68"/>
      <c r="M546" s="68"/>
      <c r="O546" s="68"/>
      <c r="R546" s="68"/>
    </row>
    <row r="547" ht="15.75" customHeight="1">
      <c r="E547" s="68"/>
      <c r="J547" s="68"/>
      <c r="L547" s="68"/>
      <c r="M547" s="68"/>
      <c r="O547" s="68"/>
      <c r="R547" s="68"/>
    </row>
    <row r="548" ht="15.75" customHeight="1">
      <c r="E548" s="68"/>
      <c r="J548" s="68"/>
      <c r="L548" s="68"/>
      <c r="M548" s="68"/>
      <c r="O548" s="68"/>
      <c r="R548" s="68"/>
    </row>
    <row r="549" ht="15.75" customHeight="1">
      <c r="E549" s="68"/>
      <c r="J549" s="68"/>
      <c r="L549" s="68"/>
      <c r="M549" s="68"/>
      <c r="O549" s="68"/>
      <c r="R549" s="68"/>
    </row>
    <row r="550" ht="15.75" customHeight="1">
      <c r="E550" s="68"/>
      <c r="J550" s="68"/>
      <c r="L550" s="68"/>
      <c r="M550" s="68"/>
      <c r="O550" s="68"/>
      <c r="R550" s="68"/>
    </row>
    <row r="551" ht="15.75" customHeight="1">
      <c r="E551" s="68"/>
      <c r="J551" s="68"/>
      <c r="L551" s="68"/>
      <c r="M551" s="68"/>
      <c r="O551" s="68"/>
      <c r="R551" s="68"/>
    </row>
    <row r="552" ht="15.75" customHeight="1">
      <c r="E552" s="68"/>
      <c r="J552" s="68"/>
      <c r="L552" s="68"/>
      <c r="M552" s="68"/>
      <c r="O552" s="68"/>
      <c r="R552" s="68"/>
    </row>
    <row r="553" ht="15.75" customHeight="1">
      <c r="E553" s="68"/>
      <c r="J553" s="68"/>
      <c r="L553" s="68"/>
      <c r="M553" s="68"/>
      <c r="O553" s="68"/>
      <c r="R553" s="68"/>
    </row>
    <row r="554" ht="15.75" customHeight="1">
      <c r="E554" s="68"/>
      <c r="J554" s="68"/>
      <c r="L554" s="68"/>
      <c r="M554" s="68"/>
      <c r="O554" s="68"/>
      <c r="R554" s="68"/>
    </row>
    <row r="555" ht="15.75" customHeight="1">
      <c r="E555" s="68"/>
      <c r="J555" s="68"/>
      <c r="L555" s="68"/>
      <c r="M555" s="68"/>
      <c r="O555" s="68"/>
      <c r="R555" s="68"/>
    </row>
    <row r="556" ht="15.75" customHeight="1">
      <c r="E556" s="68"/>
      <c r="J556" s="68"/>
      <c r="L556" s="68"/>
      <c r="M556" s="68"/>
      <c r="O556" s="68"/>
      <c r="R556" s="68"/>
    </row>
    <row r="557" ht="15.75" customHeight="1">
      <c r="E557" s="68"/>
      <c r="J557" s="68"/>
      <c r="L557" s="68"/>
      <c r="M557" s="68"/>
      <c r="O557" s="68"/>
      <c r="R557" s="68"/>
    </row>
    <row r="558" ht="15.75" customHeight="1">
      <c r="E558" s="68"/>
      <c r="J558" s="68"/>
      <c r="L558" s="68"/>
      <c r="M558" s="68"/>
      <c r="O558" s="68"/>
      <c r="R558" s="68"/>
    </row>
    <row r="559" ht="15.75" customHeight="1">
      <c r="E559" s="68"/>
      <c r="J559" s="68"/>
      <c r="L559" s="68"/>
      <c r="M559" s="68"/>
      <c r="O559" s="68"/>
      <c r="R559" s="68"/>
    </row>
    <row r="560" ht="15.75" customHeight="1">
      <c r="E560" s="68"/>
      <c r="J560" s="68"/>
      <c r="L560" s="68"/>
      <c r="M560" s="68"/>
      <c r="O560" s="68"/>
      <c r="R560" s="68"/>
    </row>
    <row r="561" ht="15.75" customHeight="1">
      <c r="E561" s="68"/>
      <c r="J561" s="68"/>
      <c r="L561" s="68"/>
      <c r="M561" s="68"/>
      <c r="O561" s="68"/>
      <c r="R561" s="68"/>
    </row>
    <row r="562" ht="15.75" customHeight="1">
      <c r="E562" s="68"/>
      <c r="J562" s="68"/>
      <c r="L562" s="68"/>
      <c r="M562" s="68"/>
      <c r="O562" s="68"/>
      <c r="R562" s="68"/>
    </row>
    <row r="563" ht="15.75" customHeight="1">
      <c r="E563" s="68"/>
      <c r="J563" s="68"/>
      <c r="L563" s="68"/>
      <c r="M563" s="68"/>
      <c r="O563" s="68"/>
      <c r="R563" s="68"/>
    </row>
    <row r="564" ht="15.75" customHeight="1">
      <c r="E564" s="68"/>
      <c r="J564" s="68"/>
      <c r="L564" s="68"/>
      <c r="M564" s="68"/>
      <c r="O564" s="68"/>
      <c r="R564" s="68"/>
    </row>
    <row r="565" ht="15.75" customHeight="1">
      <c r="E565" s="68"/>
      <c r="J565" s="68"/>
      <c r="L565" s="68"/>
      <c r="M565" s="68"/>
      <c r="O565" s="68"/>
      <c r="R565" s="68"/>
    </row>
    <row r="566" ht="15.75" customHeight="1">
      <c r="E566" s="68"/>
      <c r="J566" s="68"/>
      <c r="L566" s="68"/>
      <c r="M566" s="68"/>
      <c r="O566" s="68"/>
      <c r="R566" s="68"/>
    </row>
    <row r="567" ht="15.75" customHeight="1">
      <c r="E567" s="68"/>
      <c r="J567" s="68"/>
      <c r="L567" s="68"/>
      <c r="M567" s="68"/>
      <c r="O567" s="68"/>
      <c r="R567" s="68"/>
    </row>
    <row r="568" ht="15.75" customHeight="1">
      <c r="E568" s="68"/>
      <c r="J568" s="68"/>
      <c r="L568" s="68"/>
      <c r="M568" s="68"/>
      <c r="O568" s="68"/>
      <c r="R568" s="68"/>
    </row>
    <row r="569" ht="15.75" customHeight="1">
      <c r="E569" s="68"/>
      <c r="J569" s="68"/>
      <c r="L569" s="68"/>
      <c r="M569" s="68"/>
      <c r="O569" s="68"/>
      <c r="R569" s="68"/>
    </row>
    <row r="570" ht="15.75" customHeight="1">
      <c r="E570" s="68"/>
      <c r="J570" s="68"/>
      <c r="L570" s="68"/>
      <c r="M570" s="68"/>
      <c r="O570" s="68"/>
      <c r="R570" s="68"/>
    </row>
    <row r="571" ht="15.75" customHeight="1">
      <c r="E571" s="68"/>
      <c r="J571" s="68"/>
      <c r="L571" s="68"/>
      <c r="M571" s="68"/>
      <c r="O571" s="68"/>
      <c r="R571" s="68"/>
    </row>
    <row r="572" ht="15.75" customHeight="1">
      <c r="E572" s="68"/>
      <c r="J572" s="68"/>
      <c r="L572" s="68"/>
      <c r="M572" s="68"/>
      <c r="O572" s="68"/>
      <c r="R572" s="68"/>
    </row>
    <row r="573" ht="15.75" customHeight="1">
      <c r="E573" s="68"/>
      <c r="J573" s="68"/>
      <c r="L573" s="68"/>
      <c r="M573" s="68"/>
      <c r="O573" s="68"/>
      <c r="R573" s="68"/>
    </row>
    <row r="574" ht="15.75" customHeight="1">
      <c r="E574" s="68"/>
      <c r="J574" s="68"/>
      <c r="L574" s="68"/>
      <c r="M574" s="68"/>
      <c r="O574" s="68"/>
      <c r="R574" s="68"/>
    </row>
    <row r="575" ht="15.75" customHeight="1">
      <c r="E575" s="68"/>
      <c r="J575" s="68"/>
      <c r="L575" s="68"/>
      <c r="M575" s="68"/>
      <c r="O575" s="68"/>
      <c r="R575" s="68"/>
    </row>
    <row r="576" ht="15.75" customHeight="1">
      <c r="E576" s="68"/>
      <c r="J576" s="68"/>
      <c r="L576" s="68"/>
      <c r="M576" s="68"/>
      <c r="O576" s="68"/>
      <c r="R576" s="68"/>
    </row>
    <row r="577" ht="15.75" customHeight="1">
      <c r="E577" s="68"/>
      <c r="J577" s="68"/>
      <c r="L577" s="68"/>
      <c r="M577" s="68"/>
      <c r="O577" s="68"/>
      <c r="R577" s="68"/>
    </row>
    <row r="578" ht="15.75" customHeight="1">
      <c r="E578" s="68"/>
      <c r="J578" s="68"/>
      <c r="L578" s="68"/>
      <c r="M578" s="68"/>
      <c r="O578" s="68"/>
      <c r="R578" s="68"/>
    </row>
    <row r="579" ht="15.75" customHeight="1">
      <c r="E579" s="68"/>
      <c r="J579" s="68"/>
      <c r="L579" s="68"/>
      <c r="M579" s="68"/>
      <c r="O579" s="68"/>
      <c r="R579" s="68"/>
    </row>
    <row r="580" ht="15.75" customHeight="1">
      <c r="E580" s="68"/>
      <c r="J580" s="68"/>
      <c r="L580" s="68"/>
      <c r="M580" s="68"/>
      <c r="O580" s="68"/>
      <c r="R580" s="68"/>
    </row>
    <row r="581" ht="15.75" customHeight="1">
      <c r="E581" s="68"/>
      <c r="J581" s="68"/>
      <c r="L581" s="68"/>
      <c r="M581" s="68"/>
      <c r="O581" s="68"/>
      <c r="R581" s="68"/>
    </row>
    <row r="582" ht="15.75" customHeight="1">
      <c r="E582" s="68"/>
      <c r="J582" s="68"/>
      <c r="L582" s="68"/>
      <c r="M582" s="68"/>
      <c r="O582" s="68"/>
      <c r="R582" s="68"/>
    </row>
    <row r="583" ht="15.75" customHeight="1">
      <c r="E583" s="68"/>
      <c r="J583" s="68"/>
      <c r="L583" s="68"/>
      <c r="M583" s="68"/>
      <c r="O583" s="68"/>
      <c r="R583" s="68"/>
    </row>
    <row r="584" ht="15.75" customHeight="1">
      <c r="E584" s="68"/>
      <c r="J584" s="68"/>
      <c r="L584" s="68"/>
      <c r="M584" s="68"/>
      <c r="O584" s="68"/>
      <c r="R584" s="68"/>
    </row>
    <row r="585" ht="15.75" customHeight="1">
      <c r="E585" s="68"/>
      <c r="J585" s="68"/>
      <c r="L585" s="68"/>
      <c r="M585" s="68"/>
      <c r="O585" s="68"/>
      <c r="R585" s="68"/>
    </row>
    <row r="586" ht="15.75" customHeight="1">
      <c r="E586" s="68"/>
      <c r="J586" s="68"/>
      <c r="L586" s="68"/>
      <c r="M586" s="68"/>
      <c r="O586" s="68"/>
      <c r="R586" s="68"/>
    </row>
    <row r="587" ht="15.75" customHeight="1">
      <c r="E587" s="68"/>
      <c r="J587" s="68"/>
      <c r="L587" s="68"/>
      <c r="M587" s="68"/>
      <c r="O587" s="68"/>
      <c r="R587" s="68"/>
    </row>
    <row r="588" ht="15.75" customHeight="1">
      <c r="E588" s="68"/>
      <c r="J588" s="68"/>
      <c r="L588" s="68"/>
      <c r="M588" s="68"/>
      <c r="O588" s="68"/>
      <c r="R588" s="68"/>
    </row>
    <row r="589" ht="15.75" customHeight="1">
      <c r="E589" s="68"/>
      <c r="J589" s="68"/>
      <c r="L589" s="68"/>
      <c r="M589" s="68"/>
      <c r="O589" s="68"/>
      <c r="R589" s="68"/>
    </row>
    <row r="590" ht="15.75" customHeight="1">
      <c r="E590" s="68"/>
      <c r="J590" s="68"/>
      <c r="L590" s="68"/>
      <c r="M590" s="68"/>
      <c r="O590" s="68"/>
      <c r="R590" s="68"/>
    </row>
    <row r="591" ht="15.75" customHeight="1">
      <c r="E591" s="68"/>
      <c r="J591" s="68"/>
      <c r="L591" s="68"/>
      <c r="M591" s="68"/>
      <c r="O591" s="68"/>
      <c r="R591" s="68"/>
    </row>
    <row r="592" ht="15.75" customHeight="1">
      <c r="E592" s="68"/>
      <c r="J592" s="68"/>
      <c r="L592" s="68"/>
      <c r="M592" s="68"/>
      <c r="O592" s="68"/>
      <c r="R592" s="68"/>
    </row>
    <row r="593" ht="15.75" customHeight="1">
      <c r="E593" s="68"/>
      <c r="J593" s="68"/>
      <c r="L593" s="68"/>
      <c r="M593" s="68"/>
      <c r="O593" s="68"/>
      <c r="R593" s="68"/>
    </row>
    <row r="594" ht="15.75" customHeight="1">
      <c r="E594" s="68"/>
      <c r="J594" s="68"/>
      <c r="L594" s="68"/>
      <c r="M594" s="68"/>
      <c r="O594" s="68"/>
      <c r="R594" s="68"/>
    </row>
    <row r="595" ht="15.75" customHeight="1">
      <c r="E595" s="68"/>
      <c r="J595" s="68"/>
      <c r="L595" s="68"/>
      <c r="M595" s="68"/>
      <c r="O595" s="68"/>
      <c r="R595" s="68"/>
    </row>
    <row r="596" ht="15.75" customHeight="1">
      <c r="E596" s="68"/>
      <c r="J596" s="68"/>
      <c r="L596" s="68"/>
      <c r="M596" s="68"/>
      <c r="O596" s="68"/>
      <c r="R596" s="68"/>
    </row>
    <row r="597" ht="15.75" customHeight="1">
      <c r="E597" s="68"/>
      <c r="J597" s="68"/>
      <c r="L597" s="68"/>
      <c r="M597" s="68"/>
      <c r="O597" s="68"/>
      <c r="R597" s="68"/>
    </row>
    <row r="598" ht="15.75" customHeight="1">
      <c r="E598" s="68"/>
      <c r="J598" s="68"/>
      <c r="L598" s="68"/>
      <c r="M598" s="68"/>
      <c r="O598" s="68"/>
      <c r="R598" s="68"/>
    </row>
    <row r="599" ht="15.75" customHeight="1">
      <c r="E599" s="68"/>
      <c r="J599" s="68"/>
      <c r="L599" s="68"/>
      <c r="M599" s="68"/>
      <c r="O599" s="68"/>
      <c r="R599" s="68"/>
    </row>
    <row r="600" ht="15.75" customHeight="1">
      <c r="E600" s="68"/>
      <c r="J600" s="68"/>
      <c r="L600" s="68"/>
      <c r="M600" s="68"/>
      <c r="O600" s="68"/>
      <c r="R600" s="68"/>
    </row>
    <row r="601" ht="15.75" customHeight="1">
      <c r="E601" s="68"/>
      <c r="J601" s="68"/>
      <c r="L601" s="68"/>
      <c r="M601" s="68"/>
      <c r="O601" s="68"/>
      <c r="R601" s="68"/>
    </row>
    <row r="602" ht="15.75" customHeight="1">
      <c r="E602" s="68"/>
      <c r="J602" s="68"/>
      <c r="L602" s="68"/>
      <c r="M602" s="68"/>
      <c r="O602" s="68"/>
      <c r="R602" s="68"/>
    </row>
    <row r="603" ht="15.75" customHeight="1">
      <c r="E603" s="68"/>
      <c r="J603" s="68"/>
      <c r="L603" s="68"/>
      <c r="M603" s="68"/>
      <c r="O603" s="68"/>
      <c r="R603" s="68"/>
    </row>
    <row r="604" ht="15.75" customHeight="1">
      <c r="E604" s="68"/>
      <c r="J604" s="68"/>
      <c r="L604" s="68"/>
      <c r="M604" s="68"/>
      <c r="O604" s="68"/>
      <c r="R604" s="68"/>
    </row>
    <row r="605" ht="15.75" customHeight="1">
      <c r="E605" s="68"/>
      <c r="J605" s="68"/>
      <c r="L605" s="68"/>
      <c r="M605" s="68"/>
      <c r="O605" s="68"/>
      <c r="R605" s="68"/>
    </row>
    <row r="606" ht="15.75" customHeight="1">
      <c r="E606" s="68"/>
      <c r="J606" s="68"/>
      <c r="L606" s="68"/>
      <c r="M606" s="68"/>
      <c r="O606" s="68"/>
      <c r="R606" s="68"/>
    </row>
    <row r="607" ht="15.75" customHeight="1">
      <c r="E607" s="68"/>
      <c r="J607" s="68"/>
      <c r="L607" s="68"/>
      <c r="M607" s="68"/>
      <c r="O607" s="68"/>
      <c r="R607" s="68"/>
    </row>
    <row r="608" ht="15.75" customHeight="1">
      <c r="E608" s="68"/>
      <c r="J608" s="68"/>
      <c r="L608" s="68"/>
      <c r="M608" s="68"/>
      <c r="O608" s="68"/>
      <c r="R608" s="68"/>
    </row>
    <row r="609" ht="15.75" customHeight="1">
      <c r="E609" s="68"/>
      <c r="J609" s="68"/>
      <c r="L609" s="68"/>
      <c r="M609" s="68"/>
      <c r="O609" s="68"/>
      <c r="R609" s="68"/>
    </row>
    <row r="610" ht="15.75" customHeight="1">
      <c r="E610" s="68"/>
      <c r="J610" s="68"/>
      <c r="L610" s="68"/>
      <c r="M610" s="68"/>
      <c r="O610" s="68"/>
      <c r="R610" s="68"/>
    </row>
    <row r="611" ht="15.75" customHeight="1">
      <c r="E611" s="68"/>
      <c r="J611" s="68"/>
      <c r="L611" s="68"/>
      <c r="M611" s="68"/>
      <c r="O611" s="68"/>
      <c r="R611" s="68"/>
    </row>
    <row r="612" ht="15.75" customHeight="1">
      <c r="E612" s="68"/>
      <c r="J612" s="68"/>
      <c r="L612" s="68"/>
      <c r="M612" s="68"/>
      <c r="O612" s="68"/>
      <c r="R612" s="68"/>
    </row>
    <row r="613" ht="15.75" customHeight="1">
      <c r="E613" s="68"/>
      <c r="J613" s="68"/>
      <c r="L613" s="68"/>
      <c r="M613" s="68"/>
      <c r="O613" s="68"/>
      <c r="R613" s="68"/>
    </row>
    <row r="614" ht="15.75" customHeight="1">
      <c r="E614" s="68"/>
      <c r="J614" s="68"/>
      <c r="L614" s="68"/>
      <c r="M614" s="68"/>
      <c r="O614" s="68"/>
      <c r="R614" s="68"/>
    </row>
    <row r="615" ht="15.75" customHeight="1">
      <c r="E615" s="68"/>
      <c r="J615" s="68"/>
      <c r="L615" s="68"/>
      <c r="M615" s="68"/>
      <c r="O615" s="68"/>
      <c r="R615" s="68"/>
    </row>
    <row r="616" ht="15.75" customHeight="1">
      <c r="E616" s="68"/>
      <c r="J616" s="68"/>
      <c r="L616" s="68"/>
      <c r="M616" s="68"/>
      <c r="O616" s="68"/>
      <c r="R616" s="68"/>
    </row>
    <row r="617" ht="15.75" customHeight="1">
      <c r="E617" s="68"/>
      <c r="J617" s="68"/>
      <c r="L617" s="68"/>
      <c r="M617" s="68"/>
      <c r="O617" s="68"/>
      <c r="R617" s="68"/>
    </row>
    <row r="618" ht="15.75" customHeight="1">
      <c r="E618" s="68"/>
      <c r="J618" s="68"/>
      <c r="L618" s="68"/>
      <c r="M618" s="68"/>
      <c r="O618" s="68"/>
      <c r="R618" s="68"/>
    </row>
    <row r="619" ht="15.75" customHeight="1">
      <c r="E619" s="68"/>
      <c r="J619" s="68"/>
      <c r="L619" s="68"/>
      <c r="M619" s="68"/>
      <c r="O619" s="68"/>
      <c r="R619" s="68"/>
    </row>
    <row r="620" ht="15.75" customHeight="1">
      <c r="E620" s="68"/>
      <c r="J620" s="68"/>
      <c r="L620" s="68"/>
      <c r="M620" s="68"/>
      <c r="O620" s="68"/>
      <c r="R620" s="68"/>
    </row>
    <row r="621" ht="15.75" customHeight="1">
      <c r="E621" s="68"/>
      <c r="J621" s="68"/>
      <c r="L621" s="68"/>
      <c r="M621" s="68"/>
      <c r="O621" s="68"/>
      <c r="R621" s="68"/>
    </row>
    <row r="622" ht="15.75" customHeight="1">
      <c r="E622" s="68"/>
      <c r="J622" s="68"/>
      <c r="L622" s="68"/>
      <c r="M622" s="68"/>
      <c r="O622" s="68"/>
      <c r="R622" s="68"/>
    </row>
    <row r="623" ht="15.75" customHeight="1">
      <c r="E623" s="68"/>
      <c r="J623" s="68"/>
      <c r="L623" s="68"/>
      <c r="M623" s="68"/>
      <c r="O623" s="68"/>
      <c r="R623" s="68"/>
    </row>
    <row r="624" ht="15.75" customHeight="1">
      <c r="E624" s="68"/>
      <c r="J624" s="68"/>
      <c r="L624" s="68"/>
      <c r="M624" s="68"/>
      <c r="O624" s="68"/>
      <c r="R624" s="68"/>
    </row>
    <row r="625" ht="15.75" customHeight="1">
      <c r="E625" s="68"/>
      <c r="J625" s="68"/>
      <c r="L625" s="68"/>
      <c r="M625" s="68"/>
      <c r="O625" s="68"/>
      <c r="R625" s="68"/>
    </row>
    <row r="626" ht="15.75" customHeight="1">
      <c r="E626" s="68"/>
      <c r="J626" s="68"/>
      <c r="L626" s="68"/>
      <c r="M626" s="68"/>
      <c r="O626" s="68"/>
      <c r="R626" s="68"/>
    </row>
    <row r="627" ht="15.75" customHeight="1">
      <c r="E627" s="68"/>
      <c r="J627" s="68"/>
      <c r="L627" s="68"/>
      <c r="M627" s="68"/>
      <c r="O627" s="68"/>
      <c r="R627" s="68"/>
    </row>
    <row r="628" ht="15.75" customHeight="1">
      <c r="E628" s="68"/>
      <c r="J628" s="68"/>
      <c r="L628" s="68"/>
      <c r="M628" s="68"/>
      <c r="O628" s="68"/>
      <c r="R628" s="68"/>
    </row>
    <row r="629" ht="15.75" customHeight="1">
      <c r="E629" s="68"/>
      <c r="J629" s="68"/>
      <c r="L629" s="68"/>
      <c r="M629" s="68"/>
      <c r="O629" s="68"/>
      <c r="R629" s="68"/>
    </row>
    <row r="630" ht="15.75" customHeight="1">
      <c r="E630" s="68"/>
      <c r="J630" s="68"/>
      <c r="L630" s="68"/>
      <c r="M630" s="68"/>
      <c r="O630" s="68"/>
      <c r="R630" s="68"/>
    </row>
    <row r="631" ht="15.75" customHeight="1">
      <c r="E631" s="68"/>
      <c r="J631" s="68"/>
      <c r="L631" s="68"/>
      <c r="M631" s="68"/>
      <c r="O631" s="68"/>
      <c r="R631" s="68"/>
    </row>
    <row r="632" ht="15.75" customHeight="1">
      <c r="E632" s="68"/>
      <c r="J632" s="68"/>
      <c r="L632" s="68"/>
      <c r="M632" s="68"/>
      <c r="O632" s="68"/>
      <c r="R632" s="68"/>
    </row>
    <row r="633" ht="15.75" customHeight="1">
      <c r="E633" s="68"/>
      <c r="J633" s="68"/>
      <c r="L633" s="68"/>
      <c r="M633" s="68"/>
      <c r="O633" s="68"/>
      <c r="R633" s="68"/>
    </row>
    <row r="634" ht="15.75" customHeight="1">
      <c r="E634" s="68"/>
      <c r="J634" s="68"/>
      <c r="L634" s="68"/>
      <c r="M634" s="68"/>
      <c r="O634" s="68"/>
      <c r="R634" s="68"/>
    </row>
    <row r="635" ht="15.75" customHeight="1">
      <c r="E635" s="68"/>
      <c r="J635" s="68"/>
      <c r="L635" s="68"/>
      <c r="M635" s="68"/>
      <c r="O635" s="68"/>
      <c r="R635" s="68"/>
    </row>
    <row r="636" ht="15.75" customHeight="1">
      <c r="E636" s="68"/>
      <c r="J636" s="68"/>
      <c r="L636" s="68"/>
      <c r="M636" s="68"/>
      <c r="O636" s="68"/>
      <c r="R636" s="68"/>
    </row>
    <row r="637" ht="15.75" customHeight="1">
      <c r="E637" s="68"/>
      <c r="J637" s="68"/>
      <c r="L637" s="68"/>
      <c r="M637" s="68"/>
      <c r="O637" s="68"/>
      <c r="R637" s="68"/>
    </row>
    <row r="638" ht="15.75" customHeight="1">
      <c r="E638" s="68"/>
      <c r="J638" s="68"/>
      <c r="L638" s="68"/>
      <c r="M638" s="68"/>
      <c r="O638" s="68"/>
      <c r="R638" s="68"/>
    </row>
    <row r="639" ht="15.75" customHeight="1">
      <c r="E639" s="68"/>
      <c r="J639" s="68"/>
      <c r="L639" s="68"/>
      <c r="M639" s="68"/>
      <c r="O639" s="68"/>
      <c r="R639" s="68"/>
    </row>
    <row r="640" ht="15.75" customHeight="1">
      <c r="E640" s="68"/>
      <c r="J640" s="68"/>
      <c r="L640" s="68"/>
      <c r="M640" s="68"/>
      <c r="O640" s="68"/>
      <c r="R640" s="68"/>
    </row>
    <row r="641" ht="15.75" customHeight="1">
      <c r="E641" s="68"/>
      <c r="J641" s="68"/>
      <c r="L641" s="68"/>
      <c r="M641" s="68"/>
      <c r="O641" s="68"/>
      <c r="R641" s="68"/>
    </row>
    <row r="642" ht="15.75" customHeight="1">
      <c r="E642" s="68"/>
      <c r="J642" s="68"/>
      <c r="L642" s="68"/>
      <c r="M642" s="68"/>
      <c r="O642" s="68"/>
      <c r="R642" s="68"/>
    </row>
    <row r="643" ht="15.75" customHeight="1">
      <c r="E643" s="68"/>
      <c r="J643" s="68"/>
      <c r="L643" s="68"/>
      <c r="M643" s="68"/>
      <c r="O643" s="68"/>
      <c r="R643" s="68"/>
    </row>
    <row r="644" ht="15.75" customHeight="1">
      <c r="E644" s="68"/>
      <c r="J644" s="68"/>
      <c r="L644" s="68"/>
      <c r="M644" s="68"/>
      <c r="O644" s="68"/>
      <c r="R644" s="68"/>
    </row>
    <row r="645" ht="15.75" customHeight="1">
      <c r="E645" s="68"/>
      <c r="J645" s="68"/>
      <c r="L645" s="68"/>
      <c r="M645" s="68"/>
      <c r="O645" s="68"/>
      <c r="R645" s="68"/>
    </row>
    <row r="646" ht="15.75" customHeight="1">
      <c r="E646" s="68"/>
      <c r="J646" s="68"/>
      <c r="L646" s="68"/>
      <c r="M646" s="68"/>
      <c r="O646" s="68"/>
      <c r="R646" s="68"/>
    </row>
    <row r="647" ht="15.75" customHeight="1">
      <c r="E647" s="68"/>
      <c r="J647" s="68"/>
      <c r="L647" s="68"/>
      <c r="M647" s="68"/>
      <c r="O647" s="68"/>
      <c r="R647" s="68"/>
    </row>
    <row r="648" ht="15.75" customHeight="1">
      <c r="E648" s="68"/>
      <c r="J648" s="68"/>
      <c r="L648" s="68"/>
      <c r="M648" s="68"/>
      <c r="O648" s="68"/>
      <c r="R648" s="68"/>
    </row>
    <row r="649" ht="15.75" customHeight="1">
      <c r="E649" s="68"/>
      <c r="J649" s="68"/>
      <c r="L649" s="68"/>
      <c r="M649" s="68"/>
      <c r="O649" s="68"/>
      <c r="R649" s="68"/>
    </row>
    <row r="650" ht="15.75" customHeight="1">
      <c r="E650" s="68"/>
      <c r="J650" s="68"/>
      <c r="L650" s="68"/>
      <c r="M650" s="68"/>
      <c r="O650" s="68"/>
      <c r="R650" s="68"/>
    </row>
    <row r="651" ht="15.75" customHeight="1">
      <c r="E651" s="68"/>
      <c r="J651" s="68"/>
      <c r="L651" s="68"/>
      <c r="M651" s="68"/>
      <c r="O651" s="68"/>
      <c r="R651" s="68"/>
    </row>
    <row r="652" ht="15.75" customHeight="1">
      <c r="E652" s="68"/>
      <c r="J652" s="68"/>
      <c r="L652" s="68"/>
      <c r="M652" s="68"/>
      <c r="O652" s="68"/>
      <c r="R652" s="68"/>
    </row>
    <row r="653" ht="15.75" customHeight="1">
      <c r="E653" s="68"/>
      <c r="J653" s="68"/>
      <c r="L653" s="68"/>
      <c r="M653" s="68"/>
      <c r="O653" s="68"/>
      <c r="R653" s="68"/>
    </row>
    <row r="654" ht="15.75" customHeight="1">
      <c r="E654" s="68"/>
      <c r="J654" s="68"/>
      <c r="L654" s="68"/>
      <c r="M654" s="68"/>
      <c r="O654" s="68"/>
      <c r="R654" s="68"/>
    </row>
    <row r="655" ht="15.75" customHeight="1">
      <c r="E655" s="68"/>
      <c r="J655" s="68"/>
      <c r="L655" s="68"/>
      <c r="M655" s="68"/>
      <c r="O655" s="68"/>
      <c r="R655" s="68"/>
    </row>
    <row r="656" ht="15.75" customHeight="1">
      <c r="E656" s="68"/>
      <c r="J656" s="68"/>
      <c r="L656" s="68"/>
      <c r="M656" s="68"/>
      <c r="O656" s="68"/>
      <c r="R656" s="68"/>
    </row>
    <row r="657" ht="15.75" customHeight="1">
      <c r="E657" s="68"/>
      <c r="J657" s="68"/>
      <c r="L657" s="68"/>
      <c r="M657" s="68"/>
      <c r="O657" s="68"/>
      <c r="R657" s="68"/>
    </row>
    <row r="658" ht="15.75" customHeight="1">
      <c r="E658" s="68"/>
      <c r="J658" s="68"/>
      <c r="L658" s="68"/>
      <c r="M658" s="68"/>
      <c r="O658" s="68"/>
      <c r="R658" s="68"/>
    </row>
    <row r="659" ht="15.75" customHeight="1">
      <c r="E659" s="68"/>
      <c r="J659" s="68"/>
      <c r="L659" s="68"/>
      <c r="M659" s="68"/>
      <c r="O659" s="68"/>
      <c r="R659" s="68"/>
    </row>
    <row r="660" ht="15.75" customHeight="1">
      <c r="E660" s="68"/>
      <c r="J660" s="68"/>
      <c r="L660" s="68"/>
      <c r="M660" s="68"/>
      <c r="O660" s="68"/>
      <c r="R660" s="68"/>
    </row>
    <row r="661" ht="15.75" customHeight="1">
      <c r="E661" s="68"/>
      <c r="J661" s="68"/>
      <c r="L661" s="68"/>
      <c r="M661" s="68"/>
      <c r="O661" s="68"/>
      <c r="R661" s="68"/>
    </row>
    <row r="662" ht="15.75" customHeight="1">
      <c r="E662" s="68"/>
      <c r="J662" s="68"/>
      <c r="L662" s="68"/>
      <c r="M662" s="68"/>
      <c r="O662" s="68"/>
      <c r="R662" s="68"/>
    </row>
    <row r="663" ht="15.75" customHeight="1">
      <c r="E663" s="68"/>
      <c r="J663" s="68"/>
      <c r="L663" s="68"/>
      <c r="M663" s="68"/>
      <c r="O663" s="68"/>
      <c r="R663" s="68"/>
    </row>
    <row r="664" ht="15.75" customHeight="1">
      <c r="E664" s="68"/>
      <c r="J664" s="68"/>
      <c r="L664" s="68"/>
      <c r="M664" s="68"/>
      <c r="O664" s="68"/>
      <c r="R664" s="68"/>
    </row>
    <row r="665" ht="15.75" customHeight="1">
      <c r="E665" s="68"/>
      <c r="J665" s="68"/>
      <c r="L665" s="68"/>
      <c r="M665" s="68"/>
      <c r="O665" s="68"/>
      <c r="R665" s="68"/>
    </row>
    <row r="666" ht="15.75" customHeight="1">
      <c r="E666" s="68"/>
      <c r="J666" s="68"/>
      <c r="L666" s="68"/>
      <c r="M666" s="68"/>
      <c r="O666" s="68"/>
      <c r="R666" s="68"/>
    </row>
    <row r="667" ht="15.75" customHeight="1">
      <c r="E667" s="68"/>
      <c r="J667" s="68"/>
      <c r="L667" s="68"/>
      <c r="M667" s="68"/>
      <c r="O667" s="68"/>
      <c r="R667" s="68"/>
    </row>
    <row r="668" ht="15.75" customHeight="1">
      <c r="E668" s="68"/>
      <c r="J668" s="68"/>
      <c r="L668" s="68"/>
      <c r="M668" s="68"/>
      <c r="O668" s="68"/>
      <c r="R668" s="68"/>
    </row>
    <row r="669" ht="15.75" customHeight="1">
      <c r="E669" s="68"/>
      <c r="J669" s="68"/>
      <c r="L669" s="68"/>
      <c r="M669" s="68"/>
      <c r="O669" s="68"/>
      <c r="R669" s="68"/>
    </row>
    <row r="670" ht="15.75" customHeight="1">
      <c r="E670" s="68"/>
      <c r="J670" s="68"/>
      <c r="L670" s="68"/>
      <c r="M670" s="68"/>
      <c r="O670" s="68"/>
      <c r="R670" s="68"/>
    </row>
    <row r="671" ht="15.75" customHeight="1">
      <c r="E671" s="68"/>
      <c r="J671" s="68"/>
      <c r="L671" s="68"/>
      <c r="M671" s="68"/>
      <c r="O671" s="68"/>
      <c r="R671" s="68"/>
    </row>
    <row r="672" ht="15.75" customHeight="1">
      <c r="E672" s="68"/>
      <c r="J672" s="68"/>
      <c r="L672" s="68"/>
      <c r="M672" s="68"/>
      <c r="O672" s="68"/>
      <c r="R672" s="68"/>
    </row>
    <row r="673" ht="15.75" customHeight="1">
      <c r="E673" s="68"/>
      <c r="J673" s="68"/>
      <c r="L673" s="68"/>
      <c r="M673" s="68"/>
      <c r="O673" s="68"/>
      <c r="R673" s="68"/>
    </row>
    <row r="674" ht="15.75" customHeight="1">
      <c r="E674" s="68"/>
      <c r="J674" s="68"/>
      <c r="L674" s="68"/>
      <c r="M674" s="68"/>
      <c r="O674" s="68"/>
      <c r="R674" s="68"/>
    </row>
    <row r="675" ht="15.75" customHeight="1">
      <c r="E675" s="68"/>
      <c r="J675" s="68"/>
      <c r="L675" s="68"/>
      <c r="M675" s="68"/>
      <c r="O675" s="68"/>
      <c r="R675" s="68"/>
    </row>
    <row r="676" ht="15.75" customHeight="1">
      <c r="E676" s="68"/>
      <c r="J676" s="68"/>
      <c r="L676" s="68"/>
      <c r="M676" s="68"/>
      <c r="O676" s="68"/>
      <c r="R676" s="68"/>
    </row>
    <row r="677" ht="15.75" customHeight="1">
      <c r="E677" s="68"/>
      <c r="J677" s="68"/>
      <c r="L677" s="68"/>
      <c r="M677" s="68"/>
      <c r="O677" s="68"/>
      <c r="R677" s="68"/>
    </row>
    <row r="678" ht="15.75" customHeight="1">
      <c r="E678" s="68"/>
      <c r="J678" s="68"/>
      <c r="L678" s="68"/>
      <c r="M678" s="68"/>
      <c r="O678" s="68"/>
      <c r="R678" s="68"/>
    </row>
    <row r="679" ht="15.75" customHeight="1">
      <c r="E679" s="68"/>
      <c r="J679" s="68"/>
      <c r="L679" s="68"/>
      <c r="M679" s="68"/>
      <c r="O679" s="68"/>
      <c r="R679" s="68"/>
    </row>
    <row r="680" ht="15.75" customHeight="1">
      <c r="E680" s="68"/>
      <c r="J680" s="68"/>
      <c r="L680" s="68"/>
      <c r="M680" s="68"/>
      <c r="O680" s="68"/>
      <c r="R680" s="68"/>
    </row>
    <row r="681" ht="15.75" customHeight="1">
      <c r="E681" s="68"/>
      <c r="J681" s="68"/>
      <c r="L681" s="68"/>
      <c r="M681" s="68"/>
      <c r="O681" s="68"/>
      <c r="R681" s="68"/>
    </row>
    <row r="682" ht="15.75" customHeight="1">
      <c r="E682" s="68"/>
      <c r="J682" s="68"/>
      <c r="L682" s="68"/>
      <c r="M682" s="68"/>
      <c r="O682" s="68"/>
      <c r="R682" s="68"/>
    </row>
    <row r="683" ht="15.75" customHeight="1">
      <c r="E683" s="68"/>
      <c r="J683" s="68"/>
      <c r="L683" s="68"/>
      <c r="M683" s="68"/>
      <c r="O683" s="68"/>
      <c r="R683" s="68"/>
    </row>
    <row r="684" ht="15.75" customHeight="1">
      <c r="E684" s="68"/>
      <c r="J684" s="68"/>
      <c r="L684" s="68"/>
      <c r="M684" s="68"/>
      <c r="O684" s="68"/>
      <c r="R684" s="68"/>
    </row>
    <row r="685" ht="15.75" customHeight="1">
      <c r="E685" s="68"/>
      <c r="J685" s="68"/>
      <c r="L685" s="68"/>
      <c r="M685" s="68"/>
      <c r="O685" s="68"/>
      <c r="R685" s="68"/>
    </row>
    <row r="686" ht="15.75" customHeight="1">
      <c r="E686" s="68"/>
      <c r="J686" s="68"/>
      <c r="L686" s="68"/>
      <c r="M686" s="68"/>
      <c r="O686" s="68"/>
      <c r="R686" s="68"/>
    </row>
    <row r="687" ht="15.75" customHeight="1">
      <c r="E687" s="68"/>
      <c r="J687" s="68"/>
      <c r="L687" s="68"/>
      <c r="M687" s="68"/>
      <c r="O687" s="68"/>
      <c r="R687" s="68"/>
    </row>
    <row r="688" ht="15.75" customHeight="1">
      <c r="E688" s="68"/>
      <c r="J688" s="68"/>
      <c r="L688" s="68"/>
      <c r="M688" s="68"/>
      <c r="O688" s="68"/>
      <c r="R688" s="68"/>
    </row>
    <row r="689" ht="15.75" customHeight="1">
      <c r="E689" s="68"/>
      <c r="J689" s="68"/>
      <c r="L689" s="68"/>
      <c r="M689" s="68"/>
      <c r="O689" s="68"/>
      <c r="R689" s="68"/>
    </row>
    <row r="690" ht="15.75" customHeight="1">
      <c r="E690" s="68"/>
      <c r="J690" s="68"/>
      <c r="L690" s="68"/>
      <c r="M690" s="68"/>
      <c r="O690" s="68"/>
      <c r="R690" s="68"/>
    </row>
    <row r="691" ht="15.75" customHeight="1">
      <c r="E691" s="68"/>
      <c r="J691" s="68"/>
      <c r="L691" s="68"/>
      <c r="M691" s="68"/>
      <c r="O691" s="68"/>
      <c r="R691" s="68"/>
    </row>
    <row r="692" ht="15.75" customHeight="1">
      <c r="E692" s="68"/>
      <c r="J692" s="68"/>
      <c r="L692" s="68"/>
      <c r="M692" s="68"/>
      <c r="O692" s="68"/>
      <c r="R692" s="68"/>
    </row>
    <row r="693" ht="15.75" customHeight="1">
      <c r="E693" s="68"/>
      <c r="J693" s="68"/>
      <c r="L693" s="68"/>
      <c r="M693" s="68"/>
      <c r="O693" s="68"/>
      <c r="R693" s="68"/>
    </row>
    <row r="694" ht="15.75" customHeight="1">
      <c r="E694" s="68"/>
      <c r="J694" s="68"/>
      <c r="L694" s="68"/>
      <c r="M694" s="68"/>
      <c r="O694" s="68"/>
      <c r="R694" s="68"/>
    </row>
    <row r="695" ht="15.75" customHeight="1">
      <c r="E695" s="68"/>
      <c r="J695" s="68"/>
      <c r="L695" s="68"/>
      <c r="M695" s="68"/>
      <c r="O695" s="68"/>
      <c r="R695" s="68"/>
    </row>
    <row r="696" ht="15.75" customHeight="1">
      <c r="E696" s="68"/>
      <c r="J696" s="68"/>
      <c r="L696" s="68"/>
      <c r="M696" s="68"/>
      <c r="O696" s="68"/>
      <c r="R696" s="68"/>
    </row>
    <row r="697" ht="15.75" customHeight="1">
      <c r="E697" s="68"/>
      <c r="J697" s="68"/>
      <c r="L697" s="68"/>
      <c r="M697" s="68"/>
      <c r="O697" s="68"/>
      <c r="R697" s="68"/>
    </row>
    <row r="698" ht="15.75" customHeight="1">
      <c r="E698" s="68"/>
      <c r="J698" s="68"/>
      <c r="L698" s="68"/>
      <c r="M698" s="68"/>
      <c r="O698" s="68"/>
      <c r="R698" s="68"/>
    </row>
    <row r="699" ht="15.75" customHeight="1">
      <c r="E699" s="68"/>
      <c r="J699" s="68"/>
      <c r="L699" s="68"/>
      <c r="M699" s="68"/>
      <c r="O699" s="68"/>
      <c r="R699" s="68"/>
    </row>
    <row r="700" ht="15.75" customHeight="1">
      <c r="E700" s="68"/>
      <c r="J700" s="68"/>
      <c r="L700" s="68"/>
      <c r="M700" s="68"/>
      <c r="O700" s="68"/>
      <c r="R700" s="68"/>
    </row>
    <row r="701" ht="15.75" customHeight="1">
      <c r="E701" s="68"/>
      <c r="J701" s="68"/>
      <c r="L701" s="68"/>
      <c r="M701" s="68"/>
      <c r="O701" s="68"/>
      <c r="R701" s="68"/>
    </row>
    <row r="702" ht="15.75" customHeight="1">
      <c r="E702" s="68"/>
      <c r="J702" s="68"/>
      <c r="L702" s="68"/>
      <c r="M702" s="68"/>
      <c r="O702" s="68"/>
      <c r="R702" s="68"/>
    </row>
    <row r="703" ht="15.75" customHeight="1">
      <c r="E703" s="68"/>
      <c r="J703" s="68"/>
      <c r="L703" s="68"/>
      <c r="M703" s="68"/>
      <c r="O703" s="68"/>
      <c r="R703" s="68"/>
    </row>
    <row r="704" ht="15.75" customHeight="1">
      <c r="E704" s="68"/>
      <c r="J704" s="68"/>
      <c r="L704" s="68"/>
      <c r="M704" s="68"/>
      <c r="O704" s="68"/>
      <c r="R704" s="68"/>
    </row>
    <row r="705" ht="15.75" customHeight="1">
      <c r="E705" s="68"/>
      <c r="J705" s="68"/>
      <c r="L705" s="68"/>
      <c r="M705" s="68"/>
      <c r="O705" s="68"/>
      <c r="R705" s="68"/>
    </row>
    <row r="706" ht="15.75" customHeight="1">
      <c r="E706" s="68"/>
      <c r="J706" s="68"/>
      <c r="L706" s="68"/>
      <c r="M706" s="68"/>
      <c r="O706" s="68"/>
      <c r="R706" s="68"/>
    </row>
    <row r="707" ht="15.75" customHeight="1">
      <c r="E707" s="68"/>
      <c r="J707" s="68"/>
      <c r="L707" s="68"/>
      <c r="M707" s="68"/>
      <c r="O707" s="68"/>
      <c r="R707" s="68"/>
    </row>
    <row r="708" ht="15.75" customHeight="1">
      <c r="E708" s="68"/>
      <c r="J708" s="68"/>
      <c r="L708" s="68"/>
      <c r="M708" s="68"/>
      <c r="O708" s="68"/>
      <c r="R708" s="68"/>
    </row>
    <row r="709" ht="15.75" customHeight="1">
      <c r="E709" s="68"/>
      <c r="J709" s="68"/>
      <c r="L709" s="68"/>
      <c r="M709" s="68"/>
      <c r="O709" s="68"/>
      <c r="R709" s="68"/>
    </row>
    <row r="710" ht="15.75" customHeight="1">
      <c r="E710" s="68"/>
      <c r="J710" s="68"/>
      <c r="L710" s="68"/>
      <c r="M710" s="68"/>
      <c r="O710" s="68"/>
      <c r="R710" s="68"/>
    </row>
    <row r="711" ht="15.75" customHeight="1">
      <c r="E711" s="68"/>
      <c r="J711" s="68"/>
      <c r="L711" s="68"/>
      <c r="M711" s="68"/>
      <c r="O711" s="68"/>
      <c r="R711" s="68"/>
    </row>
    <row r="712" ht="15.75" customHeight="1">
      <c r="E712" s="68"/>
      <c r="J712" s="68"/>
      <c r="L712" s="68"/>
      <c r="M712" s="68"/>
      <c r="O712" s="68"/>
      <c r="R712" s="68"/>
    </row>
    <row r="713" ht="15.75" customHeight="1">
      <c r="E713" s="68"/>
      <c r="J713" s="68"/>
      <c r="L713" s="68"/>
      <c r="M713" s="68"/>
      <c r="O713" s="68"/>
      <c r="R713" s="68"/>
    </row>
    <row r="714" ht="15.75" customHeight="1">
      <c r="E714" s="68"/>
      <c r="J714" s="68"/>
      <c r="L714" s="68"/>
      <c r="M714" s="68"/>
      <c r="O714" s="68"/>
      <c r="R714" s="68"/>
    </row>
    <row r="715" ht="15.75" customHeight="1">
      <c r="E715" s="68"/>
      <c r="J715" s="68"/>
      <c r="L715" s="68"/>
      <c r="M715" s="68"/>
      <c r="O715" s="68"/>
      <c r="R715" s="68"/>
    </row>
    <row r="716" ht="15.75" customHeight="1">
      <c r="E716" s="68"/>
      <c r="J716" s="68"/>
      <c r="L716" s="68"/>
      <c r="M716" s="68"/>
      <c r="O716" s="68"/>
      <c r="R716" s="68"/>
    </row>
    <row r="717" ht="15.75" customHeight="1">
      <c r="E717" s="68"/>
      <c r="J717" s="68"/>
      <c r="L717" s="68"/>
      <c r="M717" s="68"/>
      <c r="O717" s="68"/>
      <c r="R717" s="68"/>
    </row>
    <row r="718" ht="15.75" customHeight="1">
      <c r="E718" s="68"/>
      <c r="J718" s="68"/>
      <c r="L718" s="68"/>
      <c r="M718" s="68"/>
      <c r="O718" s="68"/>
      <c r="R718" s="68"/>
    </row>
    <row r="719" ht="15.75" customHeight="1">
      <c r="E719" s="68"/>
      <c r="J719" s="68"/>
      <c r="L719" s="68"/>
      <c r="M719" s="68"/>
      <c r="O719" s="68"/>
      <c r="R719" s="68"/>
    </row>
    <row r="720" ht="15.75" customHeight="1">
      <c r="E720" s="68"/>
      <c r="J720" s="68"/>
      <c r="L720" s="68"/>
      <c r="M720" s="68"/>
      <c r="O720" s="68"/>
      <c r="R720" s="68"/>
    </row>
    <row r="721" ht="15.75" customHeight="1">
      <c r="E721" s="68"/>
      <c r="J721" s="68"/>
      <c r="L721" s="68"/>
      <c r="M721" s="68"/>
      <c r="O721" s="68"/>
      <c r="R721" s="68"/>
    </row>
    <row r="722" ht="15.75" customHeight="1">
      <c r="E722" s="68"/>
      <c r="J722" s="68"/>
      <c r="L722" s="68"/>
      <c r="M722" s="68"/>
      <c r="O722" s="68"/>
      <c r="R722" s="68"/>
    </row>
    <row r="723" ht="15.75" customHeight="1">
      <c r="E723" s="68"/>
      <c r="J723" s="68"/>
      <c r="L723" s="68"/>
      <c r="M723" s="68"/>
      <c r="O723" s="68"/>
      <c r="R723" s="68"/>
    </row>
    <row r="724" ht="15.75" customHeight="1">
      <c r="E724" s="68"/>
      <c r="J724" s="68"/>
      <c r="L724" s="68"/>
      <c r="M724" s="68"/>
      <c r="O724" s="68"/>
      <c r="R724" s="68"/>
    </row>
    <row r="725" ht="15.75" customHeight="1">
      <c r="E725" s="68"/>
      <c r="J725" s="68"/>
      <c r="L725" s="68"/>
      <c r="M725" s="68"/>
      <c r="O725" s="68"/>
      <c r="R725" s="68"/>
    </row>
    <row r="726" ht="15.75" customHeight="1">
      <c r="E726" s="68"/>
      <c r="J726" s="68"/>
      <c r="L726" s="68"/>
      <c r="M726" s="68"/>
      <c r="O726" s="68"/>
      <c r="R726" s="68"/>
    </row>
    <row r="727" ht="15.75" customHeight="1">
      <c r="E727" s="68"/>
      <c r="J727" s="68"/>
      <c r="L727" s="68"/>
      <c r="M727" s="68"/>
      <c r="O727" s="68"/>
      <c r="R727" s="68"/>
    </row>
    <row r="728" ht="15.75" customHeight="1">
      <c r="E728" s="68"/>
      <c r="J728" s="68"/>
      <c r="L728" s="68"/>
      <c r="M728" s="68"/>
      <c r="O728" s="68"/>
      <c r="R728" s="68"/>
    </row>
    <row r="729" ht="15.75" customHeight="1">
      <c r="E729" s="68"/>
      <c r="J729" s="68"/>
      <c r="L729" s="68"/>
      <c r="M729" s="68"/>
      <c r="O729" s="68"/>
      <c r="R729" s="68"/>
    </row>
    <row r="730" ht="15.75" customHeight="1">
      <c r="E730" s="68"/>
      <c r="J730" s="68"/>
      <c r="L730" s="68"/>
      <c r="M730" s="68"/>
      <c r="O730" s="68"/>
      <c r="R730" s="68"/>
    </row>
    <row r="731" ht="15.75" customHeight="1">
      <c r="E731" s="68"/>
      <c r="J731" s="68"/>
      <c r="L731" s="68"/>
      <c r="M731" s="68"/>
      <c r="O731" s="68"/>
      <c r="R731" s="68"/>
    </row>
    <row r="732" ht="15.75" customHeight="1">
      <c r="E732" s="68"/>
      <c r="J732" s="68"/>
      <c r="L732" s="68"/>
      <c r="M732" s="68"/>
      <c r="O732" s="68"/>
      <c r="R732" s="68"/>
    </row>
    <row r="733" ht="15.75" customHeight="1">
      <c r="E733" s="68"/>
      <c r="J733" s="68"/>
      <c r="L733" s="68"/>
      <c r="M733" s="68"/>
      <c r="O733" s="68"/>
      <c r="R733" s="68"/>
    </row>
    <row r="734" ht="15.75" customHeight="1">
      <c r="E734" s="68"/>
      <c r="J734" s="68"/>
      <c r="L734" s="68"/>
      <c r="M734" s="68"/>
      <c r="O734" s="68"/>
      <c r="R734" s="68"/>
    </row>
    <row r="735" ht="15.75" customHeight="1">
      <c r="E735" s="68"/>
      <c r="J735" s="68"/>
      <c r="L735" s="68"/>
      <c r="M735" s="68"/>
      <c r="O735" s="68"/>
      <c r="R735" s="68"/>
    </row>
    <row r="736" ht="15.75" customHeight="1">
      <c r="E736" s="68"/>
      <c r="J736" s="68"/>
      <c r="L736" s="68"/>
      <c r="M736" s="68"/>
      <c r="O736" s="68"/>
      <c r="R736" s="68"/>
    </row>
    <row r="737" ht="15.75" customHeight="1">
      <c r="E737" s="68"/>
      <c r="J737" s="68"/>
      <c r="L737" s="68"/>
      <c r="M737" s="68"/>
      <c r="O737" s="68"/>
      <c r="R737" s="68"/>
    </row>
    <row r="738" ht="15.75" customHeight="1">
      <c r="E738" s="68"/>
      <c r="J738" s="68"/>
      <c r="L738" s="68"/>
      <c r="M738" s="68"/>
      <c r="O738" s="68"/>
      <c r="R738" s="68"/>
    </row>
    <row r="739" ht="15.75" customHeight="1">
      <c r="E739" s="68"/>
      <c r="J739" s="68"/>
      <c r="L739" s="68"/>
      <c r="M739" s="68"/>
      <c r="O739" s="68"/>
      <c r="R739" s="68"/>
    </row>
    <row r="740" ht="15.75" customHeight="1">
      <c r="E740" s="68"/>
      <c r="J740" s="68"/>
      <c r="L740" s="68"/>
      <c r="M740" s="68"/>
      <c r="O740" s="68"/>
      <c r="R740" s="68"/>
    </row>
    <row r="741" ht="15.75" customHeight="1">
      <c r="E741" s="68"/>
      <c r="J741" s="68"/>
      <c r="L741" s="68"/>
      <c r="M741" s="68"/>
      <c r="O741" s="68"/>
      <c r="R741" s="68"/>
    </row>
    <row r="742" ht="15.75" customHeight="1">
      <c r="E742" s="68"/>
      <c r="J742" s="68"/>
      <c r="L742" s="68"/>
      <c r="M742" s="68"/>
      <c r="O742" s="68"/>
      <c r="R742" s="68"/>
    </row>
    <row r="743" ht="15.75" customHeight="1">
      <c r="E743" s="68"/>
      <c r="J743" s="68"/>
      <c r="L743" s="68"/>
      <c r="M743" s="68"/>
      <c r="O743" s="68"/>
      <c r="R743" s="68"/>
    </row>
    <row r="744" ht="15.75" customHeight="1">
      <c r="E744" s="68"/>
      <c r="J744" s="68"/>
      <c r="L744" s="68"/>
      <c r="M744" s="68"/>
      <c r="O744" s="68"/>
      <c r="R744" s="68"/>
    </row>
    <row r="745" ht="15.75" customHeight="1">
      <c r="E745" s="68"/>
      <c r="J745" s="68"/>
      <c r="L745" s="68"/>
      <c r="M745" s="68"/>
      <c r="O745" s="68"/>
      <c r="R745" s="68"/>
    </row>
    <row r="746" ht="15.75" customHeight="1">
      <c r="E746" s="68"/>
      <c r="J746" s="68"/>
      <c r="L746" s="68"/>
      <c r="M746" s="68"/>
      <c r="O746" s="68"/>
      <c r="R746" s="68"/>
    </row>
    <row r="747" ht="15.75" customHeight="1">
      <c r="E747" s="68"/>
      <c r="J747" s="68"/>
      <c r="L747" s="68"/>
      <c r="M747" s="68"/>
      <c r="O747" s="68"/>
      <c r="R747" s="68"/>
    </row>
    <row r="748" ht="15.75" customHeight="1">
      <c r="E748" s="68"/>
      <c r="J748" s="68"/>
      <c r="L748" s="68"/>
      <c r="M748" s="68"/>
      <c r="O748" s="68"/>
      <c r="R748" s="68"/>
    </row>
    <row r="749" ht="15.75" customHeight="1">
      <c r="E749" s="68"/>
      <c r="J749" s="68"/>
      <c r="L749" s="68"/>
      <c r="M749" s="68"/>
      <c r="O749" s="68"/>
      <c r="R749" s="68"/>
    </row>
    <row r="750" ht="15.75" customHeight="1">
      <c r="E750" s="68"/>
      <c r="J750" s="68"/>
      <c r="L750" s="68"/>
      <c r="M750" s="68"/>
      <c r="O750" s="68"/>
      <c r="R750" s="68"/>
    </row>
    <row r="751" ht="15.75" customHeight="1">
      <c r="E751" s="68"/>
      <c r="J751" s="68"/>
      <c r="L751" s="68"/>
      <c r="M751" s="68"/>
      <c r="O751" s="68"/>
      <c r="R751" s="68"/>
    </row>
    <row r="752" ht="15.75" customHeight="1">
      <c r="E752" s="68"/>
      <c r="J752" s="68"/>
      <c r="L752" s="68"/>
      <c r="M752" s="68"/>
      <c r="O752" s="68"/>
      <c r="R752" s="68"/>
    </row>
    <row r="753" ht="15.75" customHeight="1">
      <c r="E753" s="68"/>
      <c r="J753" s="68"/>
      <c r="L753" s="68"/>
      <c r="M753" s="68"/>
      <c r="O753" s="68"/>
      <c r="R753" s="68"/>
    </row>
    <row r="754" ht="15.75" customHeight="1">
      <c r="E754" s="68"/>
      <c r="J754" s="68"/>
      <c r="L754" s="68"/>
      <c r="M754" s="68"/>
      <c r="O754" s="68"/>
      <c r="R754" s="68"/>
    </row>
    <row r="755" ht="15.75" customHeight="1">
      <c r="E755" s="68"/>
      <c r="J755" s="68"/>
      <c r="L755" s="68"/>
      <c r="M755" s="68"/>
      <c r="O755" s="68"/>
      <c r="R755" s="68"/>
    </row>
    <row r="756" ht="15.75" customHeight="1">
      <c r="E756" s="68"/>
      <c r="J756" s="68"/>
      <c r="L756" s="68"/>
      <c r="M756" s="68"/>
      <c r="O756" s="68"/>
      <c r="R756" s="68"/>
    </row>
    <row r="757" ht="15.75" customHeight="1">
      <c r="E757" s="68"/>
      <c r="J757" s="68"/>
      <c r="L757" s="68"/>
      <c r="M757" s="68"/>
      <c r="O757" s="68"/>
      <c r="R757" s="68"/>
    </row>
    <row r="758" ht="15.75" customHeight="1">
      <c r="E758" s="68"/>
      <c r="J758" s="68"/>
      <c r="L758" s="68"/>
      <c r="M758" s="68"/>
      <c r="O758" s="68"/>
      <c r="R758" s="68"/>
    </row>
    <row r="759" ht="15.75" customHeight="1">
      <c r="E759" s="68"/>
      <c r="J759" s="68"/>
      <c r="L759" s="68"/>
      <c r="M759" s="68"/>
      <c r="O759" s="68"/>
      <c r="R759" s="68"/>
    </row>
    <row r="760" ht="15.75" customHeight="1">
      <c r="E760" s="68"/>
      <c r="J760" s="68"/>
      <c r="L760" s="68"/>
      <c r="M760" s="68"/>
      <c r="O760" s="68"/>
      <c r="R760" s="68"/>
    </row>
    <row r="761" ht="15.75" customHeight="1">
      <c r="E761" s="68"/>
      <c r="J761" s="68"/>
      <c r="L761" s="68"/>
      <c r="M761" s="68"/>
      <c r="O761" s="68"/>
      <c r="R761" s="68"/>
    </row>
    <row r="762" ht="15.75" customHeight="1">
      <c r="E762" s="68"/>
      <c r="J762" s="68"/>
      <c r="L762" s="68"/>
      <c r="M762" s="68"/>
      <c r="O762" s="68"/>
      <c r="R762" s="68"/>
    </row>
    <row r="763" ht="15.75" customHeight="1">
      <c r="E763" s="68"/>
      <c r="J763" s="68"/>
      <c r="L763" s="68"/>
      <c r="M763" s="68"/>
      <c r="O763" s="68"/>
      <c r="R763" s="68"/>
    </row>
    <row r="764" ht="15.75" customHeight="1">
      <c r="E764" s="68"/>
      <c r="J764" s="68"/>
      <c r="L764" s="68"/>
      <c r="M764" s="68"/>
      <c r="O764" s="68"/>
      <c r="R764" s="68"/>
    </row>
    <row r="765" ht="15.75" customHeight="1">
      <c r="E765" s="68"/>
      <c r="J765" s="68"/>
      <c r="L765" s="68"/>
      <c r="M765" s="68"/>
      <c r="O765" s="68"/>
      <c r="R765" s="68"/>
    </row>
    <row r="766" ht="15.75" customHeight="1">
      <c r="E766" s="68"/>
      <c r="J766" s="68"/>
      <c r="L766" s="68"/>
      <c r="M766" s="68"/>
      <c r="O766" s="68"/>
      <c r="R766" s="68"/>
    </row>
    <row r="767" ht="15.75" customHeight="1">
      <c r="E767" s="68"/>
      <c r="J767" s="68"/>
      <c r="L767" s="68"/>
      <c r="M767" s="68"/>
      <c r="O767" s="68"/>
      <c r="R767" s="68"/>
    </row>
    <row r="768" ht="15.75" customHeight="1">
      <c r="E768" s="68"/>
      <c r="J768" s="68"/>
      <c r="L768" s="68"/>
      <c r="M768" s="68"/>
      <c r="O768" s="68"/>
      <c r="R768" s="68"/>
    </row>
    <row r="769" ht="15.75" customHeight="1">
      <c r="E769" s="68"/>
      <c r="J769" s="68"/>
      <c r="L769" s="68"/>
      <c r="M769" s="68"/>
      <c r="O769" s="68"/>
      <c r="R769" s="68"/>
    </row>
    <row r="770" ht="15.75" customHeight="1">
      <c r="E770" s="68"/>
      <c r="J770" s="68"/>
      <c r="L770" s="68"/>
      <c r="M770" s="68"/>
      <c r="O770" s="68"/>
      <c r="R770" s="68"/>
    </row>
    <row r="771" ht="15.75" customHeight="1">
      <c r="E771" s="68"/>
      <c r="J771" s="68"/>
      <c r="L771" s="68"/>
      <c r="M771" s="68"/>
      <c r="O771" s="68"/>
      <c r="R771" s="68"/>
    </row>
    <row r="772" ht="15.75" customHeight="1">
      <c r="E772" s="68"/>
      <c r="J772" s="68"/>
      <c r="L772" s="68"/>
      <c r="M772" s="68"/>
      <c r="O772" s="68"/>
      <c r="R772" s="68"/>
    </row>
    <row r="773" ht="15.75" customHeight="1">
      <c r="E773" s="68"/>
      <c r="J773" s="68"/>
      <c r="L773" s="68"/>
      <c r="M773" s="68"/>
      <c r="O773" s="68"/>
      <c r="R773" s="68"/>
    </row>
    <row r="774" ht="15.75" customHeight="1">
      <c r="E774" s="68"/>
      <c r="J774" s="68"/>
      <c r="L774" s="68"/>
      <c r="M774" s="68"/>
      <c r="O774" s="68"/>
      <c r="R774" s="68"/>
    </row>
    <row r="775" ht="15.75" customHeight="1">
      <c r="E775" s="68"/>
      <c r="J775" s="68"/>
      <c r="L775" s="68"/>
      <c r="M775" s="68"/>
      <c r="O775" s="68"/>
      <c r="R775" s="68"/>
    </row>
    <row r="776" ht="15.75" customHeight="1">
      <c r="E776" s="68"/>
      <c r="J776" s="68"/>
      <c r="L776" s="68"/>
      <c r="M776" s="68"/>
      <c r="O776" s="68"/>
      <c r="R776" s="68"/>
    </row>
    <row r="777" ht="15.75" customHeight="1">
      <c r="E777" s="68"/>
      <c r="J777" s="68"/>
      <c r="L777" s="68"/>
      <c r="M777" s="68"/>
      <c r="O777" s="68"/>
      <c r="R777" s="68"/>
    </row>
    <row r="778" ht="15.75" customHeight="1">
      <c r="E778" s="68"/>
      <c r="J778" s="68"/>
      <c r="L778" s="68"/>
      <c r="M778" s="68"/>
      <c r="O778" s="68"/>
      <c r="R778" s="68"/>
    </row>
    <row r="779" ht="15.75" customHeight="1">
      <c r="E779" s="68"/>
      <c r="J779" s="68"/>
      <c r="L779" s="68"/>
      <c r="M779" s="68"/>
      <c r="O779" s="68"/>
      <c r="R779" s="68"/>
    </row>
    <row r="780" ht="15.75" customHeight="1">
      <c r="E780" s="68"/>
      <c r="J780" s="68"/>
      <c r="L780" s="68"/>
      <c r="M780" s="68"/>
      <c r="O780" s="68"/>
      <c r="R780" s="68"/>
    </row>
    <row r="781" ht="15.75" customHeight="1">
      <c r="E781" s="68"/>
      <c r="J781" s="68"/>
      <c r="L781" s="68"/>
      <c r="M781" s="68"/>
      <c r="O781" s="68"/>
      <c r="R781" s="68"/>
    </row>
    <row r="782" ht="15.75" customHeight="1">
      <c r="E782" s="68"/>
      <c r="J782" s="68"/>
      <c r="L782" s="68"/>
      <c r="M782" s="68"/>
      <c r="O782" s="68"/>
      <c r="R782" s="68"/>
    </row>
    <row r="783" ht="15.75" customHeight="1">
      <c r="E783" s="68"/>
      <c r="J783" s="68"/>
      <c r="L783" s="68"/>
      <c r="M783" s="68"/>
      <c r="O783" s="68"/>
      <c r="R783" s="68"/>
    </row>
    <row r="784" ht="15.75" customHeight="1">
      <c r="E784" s="68"/>
      <c r="J784" s="68"/>
      <c r="L784" s="68"/>
      <c r="M784" s="68"/>
      <c r="O784" s="68"/>
      <c r="R784" s="68"/>
    </row>
    <row r="785" ht="15.75" customHeight="1">
      <c r="E785" s="68"/>
      <c r="J785" s="68"/>
      <c r="L785" s="68"/>
      <c r="M785" s="68"/>
      <c r="O785" s="68"/>
      <c r="R785" s="68"/>
    </row>
    <row r="786" ht="15.75" customHeight="1">
      <c r="E786" s="68"/>
      <c r="J786" s="68"/>
      <c r="L786" s="68"/>
      <c r="M786" s="68"/>
      <c r="O786" s="68"/>
      <c r="R786" s="68"/>
    </row>
    <row r="787" ht="15.75" customHeight="1">
      <c r="E787" s="68"/>
      <c r="J787" s="68"/>
      <c r="L787" s="68"/>
      <c r="M787" s="68"/>
      <c r="O787" s="68"/>
      <c r="R787" s="68"/>
    </row>
    <row r="788" ht="15.75" customHeight="1">
      <c r="E788" s="68"/>
      <c r="J788" s="68"/>
      <c r="L788" s="68"/>
      <c r="M788" s="68"/>
      <c r="O788" s="68"/>
      <c r="R788" s="68"/>
    </row>
    <row r="789" ht="15.75" customHeight="1">
      <c r="E789" s="68"/>
      <c r="J789" s="68"/>
      <c r="L789" s="68"/>
      <c r="M789" s="68"/>
      <c r="O789" s="68"/>
      <c r="R789" s="68"/>
    </row>
    <row r="790" ht="15.75" customHeight="1">
      <c r="E790" s="68"/>
      <c r="J790" s="68"/>
      <c r="L790" s="68"/>
      <c r="M790" s="68"/>
      <c r="O790" s="68"/>
      <c r="R790" s="68"/>
    </row>
    <row r="791" ht="15.75" customHeight="1">
      <c r="E791" s="68"/>
      <c r="J791" s="68"/>
      <c r="L791" s="68"/>
      <c r="M791" s="68"/>
      <c r="O791" s="68"/>
      <c r="R791" s="68"/>
    </row>
    <row r="792" ht="15.75" customHeight="1">
      <c r="E792" s="68"/>
      <c r="J792" s="68"/>
      <c r="L792" s="68"/>
      <c r="M792" s="68"/>
      <c r="O792" s="68"/>
      <c r="R792" s="68"/>
    </row>
    <row r="793" ht="15.75" customHeight="1">
      <c r="E793" s="68"/>
      <c r="J793" s="68"/>
      <c r="L793" s="68"/>
      <c r="M793" s="68"/>
      <c r="O793" s="68"/>
      <c r="R793" s="68"/>
    </row>
    <row r="794" ht="15.75" customHeight="1">
      <c r="E794" s="68"/>
      <c r="J794" s="68"/>
      <c r="L794" s="68"/>
      <c r="M794" s="68"/>
      <c r="O794" s="68"/>
      <c r="R794" s="68"/>
    </row>
    <row r="795" ht="15.75" customHeight="1">
      <c r="E795" s="68"/>
      <c r="J795" s="68"/>
      <c r="L795" s="68"/>
      <c r="M795" s="68"/>
      <c r="O795" s="68"/>
      <c r="R795" s="68"/>
    </row>
    <row r="796" ht="15.75" customHeight="1">
      <c r="E796" s="68"/>
      <c r="J796" s="68"/>
      <c r="L796" s="68"/>
      <c r="M796" s="68"/>
      <c r="O796" s="68"/>
      <c r="R796" s="68"/>
    </row>
    <row r="797" ht="15.75" customHeight="1">
      <c r="E797" s="68"/>
      <c r="J797" s="68"/>
      <c r="L797" s="68"/>
      <c r="M797" s="68"/>
      <c r="O797" s="68"/>
      <c r="R797" s="68"/>
    </row>
    <row r="798" ht="15.75" customHeight="1">
      <c r="E798" s="68"/>
      <c r="J798" s="68"/>
      <c r="L798" s="68"/>
      <c r="M798" s="68"/>
      <c r="O798" s="68"/>
      <c r="R798" s="68"/>
    </row>
    <row r="799" ht="15.75" customHeight="1">
      <c r="E799" s="68"/>
      <c r="J799" s="68"/>
      <c r="L799" s="68"/>
      <c r="M799" s="68"/>
      <c r="O799" s="68"/>
      <c r="R799" s="68"/>
    </row>
    <row r="800" ht="15.75" customHeight="1">
      <c r="E800" s="68"/>
      <c r="J800" s="68"/>
      <c r="L800" s="68"/>
      <c r="M800" s="68"/>
      <c r="O800" s="68"/>
      <c r="R800" s="68"/>
    </row>
    <row r="801" ht="15.75" customHeight="1">
      <c r="E801" s="68"/>
      <c r="J801" s="68"/>
      <c r="L801" s="68"/>
      <c r="M801" s="68"/>
      <c r="O801" s="68"/>
      <c r="R801" s="68"/>
    </row>
    <row r="802" ht="15.75" customHeight="1">
      <c r="E802" s="68"/>
      <c r="J802" s="68"/>
      <c r="L802" s="68"/>
      <c r="M802" s="68"/>
      <c r="O802" s="68"/>
      <c r="R802" s="68"/>
    </row>
    <row r="803" ht="15.75" customHeight="1">
      <c r="E803" s="68"/>
      <c r="J803" s="68"/>
      <c r="L803" s="68"/>
      <c r="M803" s="68"/>
      <c r="O803" s="68"/>
      <c r="R803" s="68"/>
    </row>
    <row r="804" ht="15.75" customHeight="1">
      <c r="E804" s="68"/>
      <c r="J804" s="68"/>
      <c r="L804" s="68"/>
      <c r="M804" s="68"/>
      <c r="O804" s="68"/>
      <c r="R804" s="68"/>
    </row>
    <row r="805" ht="15.75" customHeight="1">
      <c r="E805" s="68"/>
      <c r="J805" s="68"/>
      <c r="L805" s="68"/>
      <c r="M805" s="68"/>
      <c r="O805" s="68"/>
      <c r="R805" s="68"/>
    </row>
    <row r="806" ht="15.75" customHeight="1">
      <c r="E806" s="68"/>
      <c r="J806" s="68"/>
      <c r="L806" s="68"/>
      <c r="M806" s="68"/>
      <c r="O806" s="68"/>
      <c r="R806" s="68"/>
    </row>
    <row r="807" ht="15.75" customHeight="1">
      <c r="E807" s="68"/>
      <c r="J807" s="68"/>
      <c r="L807" s="68"/>
      <c r="M807" s="68"/>
      <c r="O807" s="68"/>
      <c r="R807" s="68"/>
    </row>
    <row r="808" ht="15.75" customHeight="1">
      <c r="E808" s="68"/>
      <c r="J808" s="68"/>
      <c r="L808" s="68"/>
      <c r="M808" s="68"/>
      <c r="O808" s="68"/>
      <c r="R808" s="68"/>
    </row>
    <row r="809" ht="15.75" customHeight="1">
      <c r="E809" s="68"/>
      <c r="J809" s="68"/>
      <c r="L809" s="68"/>
      <c r="M809" s="68"/>
      <c r="O809" s="68"/>
      <c r="R809" s="68"/>
    </row>
    <row r="810" ht="15.75" customHeight="1">
      <c r="E810" s="68"/>
      <c r="J810" s="68"/>
      <c r="L810" s="68"/>
      <c r="M810" s="68"/>
      <c r="O810" s="68"/>
      <c r="R810" s="68"/>
    </row>
    <row r="811" ht="15.75" customHeight="1">
      <c r="E811" s="68"/>
      <c r="J811" s="68"/>
      <c r="L811" s="68"/>
      <c r="M811" s="68"/>
      <c r="O811" s="68"/>
      <c r="R811" s="68"/>
    </row>
    <row r="812" ht="15.75" customHeight="1">
      <c r="E812" s="68"/>
      <c r="J812" s="68"/>
      <c r="L812" s="68"/>
      <c r="M812" s="68"/>
      <c r="O812" s="68"/>
      <c r="R812" s="68"/>
    </row>
    <row r="813" ht="15.75" customHeight="1">
      <c r="E813" s="68"/>
      <c r="J813" s="68"/>
      <c r="L813" s="68"/>
      <c r="M813" s="68"/>
      <c r="O813" s="68"/>
      <c r="R813" s="68"/>
    </row>
    <row r="814" ht="15.75" customHeight="1">
      <c r="E814" s="68"/>
      <c r="J814" s="68"/>
      <c r="L814" s="68"/>
      <c r="M814" s="68"/>
      <c r="O814" s="68"/>
      <c r="R814" s="68"/>
    </row>
    <row r="815" ht="15.75" customHeight="1">
      <c r="E815" s="68"/>
      <c r="J815" s="68"/>
      <c r="L815" s="68"/>
      <c r="M815" s="68"/>
      <c r="O815" s="68"/>
      <c r="R815" s="68"/>
    </row>
    <row r="816" ht="15.75" customHeight="1">
      <c r="E816" s="68"/>
      <c r="J816" s="68"/>
      <c r="L816" s="68"/>
      <c r="M816" s="68"/>
      <c r="O816" s="68"/>
      <c r="R816" s="68"/>
    </row>
    <row r="817" ht="15.75" customHeight="1">
      <c r="E817" s="68"/>
      <c r="J817" s="68"/>
      <c r="L817" s="68"/>
      <c r="M817" s="68"/>
      <c r="O817" s="68"/>
      <c r="R817" s="68"/>
    </row>
    <row r="818" ht="15.75" customHeight="1">
      <c r="E818" s="68"/>
      <c r="J818" s="68"/>
      <c r="L818" s="68"/>
      <c r="M818" s="68"/>
      <c r="O818" s="68"/>
      <c r="R818" s="68"/>
    </row>
    <row r="819" ht="15.75" customHeight="1">
      <c r="E819" s="68"/>
      <c r="J819" s="68"/>
      <c r="L819" s="68"/>
      <c r="M819" s="68"/>
      <c r="O819" s="68"/>
      <c r="R819" s="68"/>
    </row>
    <row r="820" ht="15.75" customHeight="1">
      <c r="E820" s="68"/>
      <c r="J820" s="68"/>
      <c r="L820" s="68"/>
      <c r="M820" s="68"/>
      <c r="O820" s="68"/>
      <c r="R820" s="68"/>
    </row>
    <row r="821" ht="15.75" customHeight="1">
      <c r="E821" s="68"/>
      <c r="J821" s="68"/>
      <c r="L821" s="68"/>
      <c r="M821" s="68"/>
      <c r="O821" s="68"/>
      <c r="R821" s="68"/>
    </row>
    <row r="822" ht="15.75" customHeight="1">
      <c r="E822" s="68"/>
      <c r="J822" s="68"/>
      <c r="L822" s="68"/>
      <c r="M822" s="68"/>
      <c r="O822" s="68"/>
      <c r="R822" s="68"/>
    </row>
    <row r="823" ht="15.75" customHeight="1">
      <c r="E823" s="68"/>
      <c r="J823" s="68"/>
      <c r="L823" s="68"/>
      <c r="M823" s="68"/>
      <c r="O823" s="68"/>
      <c r="R823" s="68"/>
    </row>
    <row r="824" ht="15.75" customHeight="1">
      <c r="E824" s="68"/>
      <c r="J824" s="68"/>
      <c r="L824" s="68"/>
      <c r="M824" s="68"/>
      <c r="O824" s="68"/>
      <c r="R824" s="68"/>
    </row>
    <row r="825" ht="15.75" customHeight="1">
      <c r="E825" s="68"/>
      <c r="J825" s="68"/>
      <c r="L825" s="68"/>
      <c r="M825" s="68"/>
      <c r="O825" s="68"/>
      <c r="R825" s="68"/>
    </row>
    <row r="826" ht="15.75" customHeight="1">
      <c r="E826" s="68"/>
      <c r="J826" s="68"/>
      <c r="L826" s="68"/>
      <c r="M826" s="68"/>
      <c r="O826" s="68"/>
      <c r="R826" s="68"/>
    </row>
    <row r="827" ht="15.75" customHeight="1">
      <c r="E827" s="68"/>
      <c r="J827" s="68"/>
      <c r="L827" s="68"/>
      <c r="M827" s="68"/>
      <c r="O827" s="68"/>
      <c r="R827" s="68"/>
    </row>
    <row r="828" ht="15.75" customHeight="1">
      <c r="E828" s="68"/>
      <c r="J828" s="68"/>
      <c r="L828" s="68"/>
      <c r="M828" s="68"/>
      <c r="O828" s="68"/>
      <c r="R828" s="68"/>
    </row>
    <row r="829" ht="15.75" customHeight="1">
      <c r="E829" s="68"/>
      <c r="J829" s="68"/>
      <c r="L829" s="68"/>
      <c r="M829" s="68"/>
      <c r="O829" s="68"/>
      <c r="R829" s="68"/>
    </row>
    <row r="830" ht="15.75" customHeight="1">
      <c r="E830" s="68"/>
      <c r="J830" s="68"/>
      <c r="L830" s="68"/>
      <c r="M830" s="68"/>
      <c r="O830" s="68"/>
      <c r="R830" s="68"/>
    </row>
    <row r="831" ht="15.75" customHeight="1">
      <c r="E831" s="68"/>
      <c r="J831" s="68"/>
      <c r="L831" s="68"/>
      <c r="M831" s="68"/>
      <c r="O831" s="68"/>
      <c r="R831" s="68"/>
    </row>
    <row r="832" ht="15.75" customHeight="1">
      <c r="E832" s="68"/>
      <c r="J832" s="68"/>
      <c r="L832" s="68"/>
      <c r="M832" s="68"/>
      <c r="O832" s="68"/>
      <c r="R832" s="68"/>
    </row>
    <row r="833" ht="15.75" customHeight="1">
      <c r="E833" s="68"/>
      <c r="J833" s="68"/>
      <c r="L833" s="68"/>
      <c r="M833" s="68"/>
      <c r="O833" s="68"/>
      <c r="R833" s="68"/>
    </row>
    <row r="834" ht="15.75" customHeight="1">
      <c r="E834" s="68"/>
      <c r="J834" s="68"/>
      <c r="L834" s="68"/>
      <c r="M834" s="68"/>
      <c r="O834" s="68"/>
      <c r="R834" s="68"/>
    </row>
    <row r="835" ht="15.75" customHeight="1">
      <c r="E835" s="68"/>
      <c r="J835" s="68"/>
      <c r="L835" s="68"/>
      <c r="M835" s="68"/>
      <c r="O835" s="68"/>
      <c r="R835" s="68"/>
    </row>
    <row r="836" ht="15.75" customHeight="1">
      <c r="E836" s="68"/>
      <c r="J836" s="68"/>
      <c r="L836" s="68"/>
      <c r="M836" s="68"/>
      <c r="O836" s="68"/>
      <c r="R836" s="68"/>
    </row>
    <row r="837" ht="15.75" customHeight="1">
      <c r="E837" s="68"/>
      <c r="J837" s="68"/>
      <c r="L837" s="68"/>
      <c r="M837" s="68"/>
      <c r="O837" s="68"/>
      <c r="R837" s="68"/>
    </row>
    <row r="838" ht="15.75" customHeight="1">
      <c r="E838" s="68"/>
      <c r="J838" s="68"/>
      <c r="L838" s="68"/>
      <c r="M838" s="68"/>
      <c r="O838" s="68"/>
      <c r="R838" s="68"/>
    </row>
    <row r="839" ht="15.75" customHeight="1">
      <c r="E839" s="68"/>
      <c r="J839" s="68"/>
      <c r="L839" s="68"/>
      <c r="M839" s="68"/>
      <c r="O839" s="68"/>
      <c r="R839" s="68"/>
    </row>
    <row r="840" ht="15.75" customHeight="1">
      <c r="E840" s="68"/>
      <c r="J840" s="68"/>
      <c r="L840" s="68"/>
      <c r="M840" s="68"/>
      <c r="O840" s="68"/>
      <c r="R840" s="68"/>
    </row>
    <row r="841" ht="15.75" customHeight="1">
      <c r="E841" s="68"/>
      <c r="J841" s="68"/>
      <c r="L841" s="68"/>
      <c r="M841" s="68"/>
      <c r="O841" s="68"/>
      <c r="R841" s="68"/>
    </row>
    <row r="842" ht="15.75" customHeight="1">
      <c r="E842" s="68"/>
      <c r="J842" s="68"/>
      <c r="L842" s="68"/>
      <c r="M842" s="68"/>
      <c r="O842" s="68"/>
      <c r="R842" s="68"/>
    </row>
    <row r="843" ht="15.75" customHeight="1">
      <c r="E843" s="68"/>
      <c r="J843" s="68"/>
      <c r="L843" s="68"/>
      <c r="M843" s="68"/>
      <c r="O843" s="68"/>
      <c r="R843" s="68"/>
    </row>
    <row r="844" ht="15.75" customHeight="1">
      <c r="E844" s="68"/>
      <c r="J844" s="68"/>
      <c r="L844" s="68"/>
      <c r="M844" s="68"/>
      <c r="O844" s="68"/>
      <c r="R844" s="68"/>
    </row>
    <row r="845" ht="15.75" customHeight="1">
      <c r="E845" s="68"/>
      <c r="J845" s="68"/>
      <c r="L845" s="68"/>
      <c r="M845" s="68"/>
      <c r="O845" s="68"/>
      <c r="R845" s="68"/>
    </row>
    <row r="846" ht="15.75" customHeight="1">
      <c r="E846" s="68"/>
      <c r="J846" s="68"/>
      <c r="L846" s="68"/>
      <c r="M846" s="68"/>
      <c r="O846" s="68"/>
      <c r="R846" s="68"/>
    </row>
    <row r="847" ht="15.75" customHeight="1">
      <c r="E847" s="68"/>
      <c r="J847" s="68"/>
      <c r="L847" s="68"/>
      <c r="M847" s="68"/>
      <c r="O847" s="68"/>
      <c r="R847" s="68"/>
    </row>
    <row r="848" ht="15.75" customHeight="1">
      <c r="E848" s="68"/>
      <c r="J848" s="68"/>
      <c r="L848" s="68"/>
      <c r="M848" s="68"/>
      <c r="O848" s="68"/>
      <c r="R848" s="68"/>
    </row>
    <row r="849" ht="15.75" customHeight="1">
      <c r="E849" s="68"/>
      <c r="J849" s="68"/>
      <c r="L849" s="68"/>
      <c r="M849" s="68"/>
      <c r="O849" s="68"/>
      <c r="R849" s="68"/>
    </row>
    <row r="850" ht="15.75" customHeight="1">
      <c r="E850" s="68"/>
      <c r="J850" s="68"/>
      <c r="L850" s="68"/>
      <c r="M850" s="68"/>
      <c r="O850" s="68"/>
      <c r="R850" s="68"/>
    </row>
    <row r="851" ht="15.75" customHeight="1">
      <c r="E851" s="68"/>
      <c r="J851" s="68"/>
      <c r="L851" s="68"/>
      <c r="M851" s="68"/>
      <c r="O851" s="68"/>
      <c r="R851" s="68"/>
    </row>
    <row r="852" ht="15.75" customHeight="1">
      <c r="E852" s="68"/>
      <c r="J852" s="68"/>
      <c r="L852" s="68"/>
      <c r="M852" s="68"/>
      <c r="O852" s="68"/>
      <c r="R852" s="68"/>
    </row>
    <row r="853" ht="15.75" customHeight="1">
      <c r="E853" s="68"/>
      <c r="J853" s="68"/>
      <c r="L853" s="68"/>
      <c r="M853" s="68"/>
      <c r="O853" s="68"/>
      <c r="R853" s="68"/>
    </row>
    <row r="854" ht="15.75" customHeight="1">
      <c r="E854" s="68"/>
      <c r="J854" s="68"/>
      <c r="L854" s="68"/>
      <c r="M854" s="68"/>
      <c r="O854" s="68"/>
      <c r="R854" s="68"/>
    </row>
    <row r="855" ht="15.75" customHeight="1">
      <c r="E855" s="68"/>
      <c r="J855" s="68"/>
      <c r="L855" s="68"/>
      <c r="M855" s="68"/>
      <c r="O855" s="68"/>
      <c r="R855" s="68"/>
    </row>
    <row r="856" ht="15.75" customHeight="1">
      <c r="E856" s="68"/>
      <c r="J856" s="68"/>
      <c r="L856" s="68"/>
      <c r="M856" s="68"/>
      <c r="O856" s="68"/>
      <c r="R856" s="68"/>
    </row>
    <row r="857" ht="15.75" customHeight="1">
      <c r="E857" s="68"/>
      <c r="J857" s="68"/>
      <c r="L857" s="68"/>
      <c r="M857" s="68"/>
      <c r="O857" s="68"/>
      <c r="R857" s="68"/>
    </row>
    <row r="858" ht="15.75" customHeight="1">
      <c r="E858" s="68"/>
      <c r="J858" s="68"/>
      <c r="L858" s="68"/>
      <c r="M858" s="68"/>
      <c r="O858" s="68"/>
      <c r="R858" s="68"/>
    </row>
    <row r="859" ht="15.75" customHeight="1">
      <c r="E859" s="68"/>
      <c r="J859" s="68"/>
      <c r="L859" s="68"/>
      <c r="M859" s="68"/>
      <c r="O859" s="68"/>
      <c r="R859" s="68"/>
    </row>
    <row r="860" ht="15.75" customHeight="1">
      <c r="E860" s="68"/>
      <c r="J860" s="68"/>
      <c r="L860" s="68"/>
      <c r="M860" s="68"/>
      <c r="O860" s="68"/>
      <c r="R860" s="68"/>
    </row>
    <row r="861" ht="15.75" customHeight="1">
      <c r="E861" s="68"/>
      <c r="J861" s="68"/>
      <c r="L861" s="68"/>
      <c r="M861" s="68"/>
      <c r="O861" s="68"/>
      <c r="R861" s="68"/>
    </row>
    <row r="862" ht="15.75" customHeight="1">
      <c r="E862" s="68"/>
      <c r="J862" s="68"/>
      <c r="L862" s="68"/>
      <c r="M862" s="68"/>
      <c r="O862" s="68"/>
      <c r="R862" s="68"/>
    </row>
    <row r="863" ht="15.75" customHeight="1">
      <c r="E863" s="68"/>
      <c r="J863" s="68"/>
      <c r="L863" s="68"/>
      <c r="M863" s="68"/>
      <c r="O863" s="68"/>
      <c r="R863" s="68"/>
    </row>
    <row r="864" ht="15.75" customHeight="1">
      <c r="E864" s="68"/>
      <c r="J864" s="68"/>
      <c r="L864" s="68"/>
      <c r="M864" s="68"/>
      <c r="O864" s="68"/>
      <c r="R864" s="68"/>
    </row>
    <row r="865" ht="15.75" customHeight="1">
      <c r="E865" s="68"/>
      <c r="J865" s="68"/>
      <c r="L865" s="68"/>
      <c r="M865" s="68"/>
      <c r="O865" s="68"/>
      <c r="R865" s="68"/>
    </row>
    <row r="866" ht="15.75" customHeight="1">
      <c r="E866" s="68"/>
      <c r="J866" s="68"/>
      <c r="L866" s="68"/>
      <c r="M866" s="68"/>
      <c r="O866" s="68"/>
      <c r="R866" s="68"/>
    </row>
    <row r="867" ht="15.75" customHeight="1">
      <c r="E867" s="68"/>
      <c r="J867" s="68"/>
      <c r="L867" s="68"/>
      <c r="M867" s="68"/>
      <c r="O867" s="68"/>
      <c r="R867" s="68"/>
    </row>
    <row r="868" ht="15.75" customHeight="1">
      <c r="E868" s="68"/>
      <c r="J868" s="68"/>
      <c r="L868" s="68"/>
      <c r="M868" s="68"/>
      <c r="O868" s="68"/>
      <c r="R868" s="68"/>
    </row>
    <row r="869" ht="15.75" customHeight="1">
      <c r="E869" s="68"/>
      <c r="J869" s="68"/>
      <c r="L869" s="68"/>
      <c r="M869" s="68"/>
      <c r="O869" s="68"/>
      <c r="R869" s="68"/>
    </row>
    <row r="870" ht="15.75" customHeight="1">
      <c r="E870" s="68"/>
      <c r="J870" s="68"/>
      <c r="L870" s="68"/>
      <c r="M870" s="68"/>
      <c r="O870" s="68"/>
      <c r="R870" s="68"/>
    </row>
    <row r="871" ht="15.75" customHeight="1">
      <c r="E871" s="68"/>
      <c r="J871" s="68"/>
      <c r="L871" s="68"/>
      <c r="M871" s="68"/>
      <c r="O871" s="68"/>
      <c r="R871" s="68"/>
    </row>
    <row r="872" ht="15.75" customHeight="1">
      <c r="E872" s="68"/>
      <c r="J872" s="68"/>
      <c r="L872" s="68"/>
      <c r="M872" s="68"/>
      <c r="O872" s="68"/>
      <c r="R872" s="68"/>
    </row>
    <row r="873" ht="15.75" customHeight="1">
      <c r="E873" s="68"/>
      <c r="J873" s="68"/>
      <c r="L873" s="68"/>
      <c r="M873" s="68"/>
      <c r="O873" s="68"/>
      <c r="R873" s="68"/>
    </row>
    <row r="874" ht="15.75" customHeight="1">
      <c r="E874" s="68"/>
      <c r="J874" s="68"/>
      <c r="L874" s="68"/>
      <c r="M874" s="68"/>
      <c r="O874" s="68"/>
      <c r="R874" s="68"/>
    </row>
    <row r="875" ht="15.75" customHeight="1">
      <c r="E875" s="68"/>
      <c r="J875" s="68"/>
      <c r="L875" s="68"/>
      <c r="M875" s="68"/>
      <c r="O875" s="68"/>
      <c r="R875" s="68"/>
    </row>
    <row r="876" ht="15.75" customHeight="1">
      <c r="E876" s="68"/>
      <c r="J876" s="68"/>
      <c r="L876" s="68"/>
      <c r="M876" s="68"/>
      <c r="O876" s="68"/>
      <c r="R876" s="68"/>
    </row>
    <row r="877" ht="15.75" customHeight="1">
      <c r="E877" s="68"/>
      <c r="J877" s="68"/>
      <c r="L877" s="68"/>
      <c r="M877" s="68"/>
      <c r="O877" s="68"/>
      <c r="R877" s="68"/>
    </row>
    <row r="878" ht="15.75" customHeight="1">
      <c r="E878" s="68"/>
      <c r="J878" s="68"/>
      <c r="L878" s="68"/>
      <c r="M878" s="68"/>
      <c r="O878" s="68"/>
      <c r="R878" s="68"/>
    </row>
    <row r="879" ht="15.75" customHeight="1">
      <c r="E879" s="68"/>
      <c r="J879" s="68"/>
      <c r="L879" s="68"/>
      <c r="M879" s="68"/>
      <c r="O879" s="68"/>
      <c r="R879" s="68"/>
    </row>
    <row r="880" ht="15.75" customHeight="1">
      <c r="E880" s="68"/>
      <c r="J880" s="68"/>
      <c r="L880" s="68"/>
      <c r="M880" s="68"/>
      <c r="O880" s="68"/>
      <c r="R880" s="68"/>
    </row>
    <row r="881" ht="15.75" customHeight="1">
      <c r="E881" s="68"/>
      <c r="J881" s="68"/>
      <c r="L881" s="68"/>
      <c r="M881" s="68"/>
      <c r="O881" s="68"/>
      <c r="R881" s="68"/>
    </row>
    <row r="882" ht="15.75" customHeight="1">
      <c r="E882" s="68"/>
      <c r="J882" s="68"/>
      <c r="L882" s="68"/>
      <c r="M882" s="68"/>
      <c r="O882" s="68"/>
      <c r="R882" s="68"/>
    </row>
    <row r="883" ht="15.75" customHeight="1">
      <c r="E883" s="68"/>
      <c r="J883" s="68"/>
      <c r="L883" s="68"/>
      <c r="M883" s="68"/>
      <c r="O883" s="68"/>
      <c r="R883" s="68"/>
    </row>
    <row r="884" ht="15.75" customHeight="1">
      <c r="E884" s="68"/>
      <c r="J884" s="68"/>
      <c r="L884" s="68"/>
      <c r="M884" s="68"/>
      <c r="O884" s="68"/>
      <c r="R884" s="68"/>
    </row>
    <row r="885" ht="15.75" customHeight="1">
      <c r="E885" s="68"/>
      <c r="J885" s="68"/>
      <c r="L885" s="68"/>
      <c r="M885" s="68"/>
      <c r="O885" s="68"/>
      <c r="R885" s="68"/>
    </row>
    <row r="886" ht="15.75" customHeight="1">
      <c r="E886" s="68"/>
      <c r="J886" s="68"/>
      <c r="L886" s="68"/>
      <c r="M886" s="68"/>
      <c r="O886" s="68"/>
      <c r="R886" s="68"/>
    </row>
    <row r="887" ht="15.75" customHeight="1">
      <c r="E887" s="68"/>
      <c r="J887" s="68"/>
      <c r="L887" s="68"/>
      <c r="M887" s="68"/>
      <c r="O887" s="68"/>
      <c r="R887" s="68"/>
    </row>
    <row r="888" ht="15.75" customHeight="1">
      <c r="E888" s="68"/>
      <c r="J888" s="68"/>
      <c r="L888" s="68"/>
      <c r="M888" s="68"/>
      <c r="O888" s="68"/>
      <c r="R888" s="68"/>
    </row>
    <row r="889" ht="15.75" customHeight="1">
      <c r="E889" s="68"/>
      <c r="J889" s="68"/>
      <c r="L889" s="68"/>
      <c r="M889" s="68"/>
      <c r="O889" s="68"/>
      <c r="R889" s="68"/>
    </row>
    <row r="890" ht="15.75" customHeight="1">
      <c r="E890" s="68"/>
      <c r="J890" s="68"/>
      <c r="L890" s="68"/>
      <c r="M890" s="68"/>
      <c r="O890" s="68"/>
      <c r="R890" s="68"/>
    </row>
    <row r="891" ht="15.75" customHeight="1">
      <c r="E891" s="68"/>
      <c r="J891" s="68"/>
      <c r="L891" s="68"/>
      <c r="M891" s="68"/>
      <c r="O891" s="68"/>
      <c r="R891" s="68"/>
    </row>
    <row r="892" ht="15.75" customHeight="1">
      <c r="E892" s="68"/>
      <c r="J892" s="68"/>
      <c r="L892" s="68"/>
      <c r="M892" s="68"/>
      <c r="O892" s="68"/>
      <c r="R892" s="68"/>
    </row>
    <row r="893" ht="15.75" customHeight="1">
      <c r="E893" s="68"/>
      <c r="J893" s="68"/>
      <c r="L893" s="68"/>
      <c r="M893" s="68"/>
      <c r="O893" s="68"/>
      <c r="R893" s="68"/>
    </row>
    <row r="894" ht="15.75" customHeight="1">
      <c r="E894" s="68"/>
      <c r="J894" s="68"/>
      <c r="L894" s="68"/>
      <c r="M894" s="68"/>
      <c r="O894" s="68"/>
      <c r="R894" s="68"/>
    </row>
    <row r="895" ht="15.75" customHeight="1">
      <c r="E895" s="68"/>
      <c r="J895" s="68"/>
      <c r="L895" s="68"/>
      <c r="M895" s="68"/>
      <c r="O895" s="68"/>
      <c r="R895" s="68"/>
    </row>
    <row r="896" ht="15.75" customHeight="1">
      <c r="E896" s="68"/>
      <c r="J896" s="68"/>
      <c r="L896" s="68"/>
      <c r="M896" s="68"/>
      <c r="O896" s="68"/>
      <c r="R896" s="68"/>
    </row>
    <row r="897" ht="15.75" customHeight="1">
      <c r="E897" s="68"/>
      <c r="J897" s="68"/>
      <c r="L897" s="68"/>
      <c r="M897" s="68"/>
      <c r="O897" s="68"/>
      <c r="R897" s="68"/>
    </row>
    <row r="898" ht="15.75" customHeight="1">
      <c r="E898" s="68"/>
      <c r="J898" s="68"/>
      <c r="L898" s="68"/>
      <c r="M898" s="68"/>
      <c r="O898" s="68"/>
      <c r="R898" s="68"/>
    </row>
    <row r="899" ht="15.75" customHeight="1">
      <c r="E899" s="68"/>
      <c r="J899" s="68"/>
      <c r="L899" s="68"/>
      <c r="M899" s="68"/>
      <c r="O899" s="68"/>
      <c r="R899" s="68"/>
    </row>
    <row r="900" ht="15.75" customHeight="1">
      <c r="E900" s="68"/>
      <c r="J900" s="68"/>
      <c r="L900" s="68"/>
      <c r="M900" s="68"/>
      <c r="O900" s="68"/>
      <c r="R900" s="68"/>
    </row>
    <row r="901" ht="15.75" customHeight="1">
      <c r="E901" s="68"/>
      <c r="J901" s="68"/>
      <c r="L901" s="68"/>
      <c r="M901" s="68"/>
      <c r="O901" s="68"/>
      <c r="R901" s="68"/>
    </row>
    <row r="902" ht="15.75" customHeight="1">
      <c r="E902" s="68"/>
      <c r="J902" s="68"/>
      <c r="L902" s="68"/>
      <c r="M902" s="68"/>
      <c r="O902" s="68"/>
      <c r="R902" s="68"/>
    </row>
    <row r="903" ht="15.75" customHeight="1">
      <c r="E903" s="68"/>
      <c r="J903" s="68"/>
      <c r="L903" s="68"/>
      <c r="M903" s="68"/>
      <c r="O903" s="68"/>
      <c r="R903" s="68"/>
    </row>
    <row r="904" ht="15.75" customHeight="1">
      <c r="E904" s="68"/>
      <c r="J904" s="68"/>
      <c r="L904" s="68"/>
      <c r="M904" s="68"/>
      <c r="O904" s="68"/>
      <c r="R904" s="68"/>
    </row>
    <row r="905" ht="15.75" customHeight="1">
      <c r="E905" s="68"/>
      <c r="J905" s="68"/>
      <c r="L905" s="68"/>
      <c r="M905" s="68"/>
      <c r="O905" s="68"/>
      <c r="R905" s="68"/>
    </row>
    <row r="906" ht="15.75" customHeight="1">
      <c r="E906" s="68"/>
      <c r="J906" s="68"/>
      <c r="L906" s="68"/>
      <c r="M906" s="68"/>
      <c r="O906" s="68"/>
      <c r="R906" s="68"/>
    </row>
    <row r="907" ht="15.75" customHeight="1">
      <c r="E907" s="68"/>
      <c r="J907" s="68"/>
      <c r="L907" s="68"/>
      <c r="M907" s="68"/>
      <c r="O907" s="68"/>
      <c r="R907" s="68"/>
    </row>
    <row r="908" ht="15.75" customHeight="1">
      <c r="E908" s="68"/>
      <c r="J908" s="68"/>
      <c r="L908" s="68"/>
      <c r="M908" s="68"/>
      <c r="O908" s="68"/>
      <c r="R908" s="68"/>
    </row>
    <row r="909" ht="15.75" customHeight="1">
      <c r="E909" s="68"/>
      <c r="J909" s="68"/>
      <c r="L909" s="68"/>
      <c r="M909" s="68"/>
      <c r="O909" s="68"/>
      <c r="R909" s="68"/>
    </row>
    <row r="910" ht="15.75" customHeight="1">
      <c r="E910" s="68"/>
      <c r="J910" s="68"/>
      <c r="L910" s="68"/>
      <c r="M910" s="68"/>
      <c r="O910" s="68"/>
      <c r="R910" s="68"/>
    </row>
    <row r="911" ht="15.75" customHeight="1">
      <c r="E911" s="68"/>
      <c r="J911" s="68"/>
      <c r="L911" s="68"/>
      <c r="M911" s="68"/>
      <c r="O911" s="68"/>
      <c r="R911" s="68"/>
    </row>
    <row r="912" ht="15.75" customHeight="1">
      <c r="E912" s="68"/>
      <c r="J912" s="68"/>
      <c r="L912" s="68"/>
      <c r="M912" s="68"/>
      <c r="O912" s="68"/>
      <c r="R912" s="68"/>
    </row>
    <row r="913" ht="15.75" customHeight="1">
      <c r="E913" s="68"/>
      <c r="J913" s="68"/>
      <c r="L913" s="68"/>
      <c r="M913" s="68"/>
      <c r="O913" s="68"/>
      <c r="R913" s="68"/>
    </row>
    <row r="914" ht="15.75" customHeight="1">
      <c r="E914" s="68"/>
      <c r="J914" s="68"/>
      <c r="L914" s="68"/>
      <c r="M914" s="68"/>
      <c r="O914" s="68"/>
      <c r="R914" s="68"/>
    </row>
    <row r="915" ht="15.75" customHeight="1">
      <c r="E915" s="68"/>
      <c r="J915" s="68"/>
      <c r="L915" s="68"/>
      <c r="M915" s="68"/>
      <c r="O915" s="68"/>
      <c r="R915" s="68"/>
    </row>
    <row r="916" ht="15.75" customHeight="1">
      <c r="E916" s="68"/>
      <c r="J916" s="68"/>
      <c r="L916" s="68"/>
      <c r="M916" s="68"/>
      <c r="O916" s="68"/>
      <c r="R916" s="68"/>
    </row>
    <row r="917" ht="15.75" customHeight="1">
      <c r="E917" s="68"/>
      <c r="J917" s="68"/>
      <c r="L917" s="68"/>
      <c r="M917" s="68"/>
      <c r="O917" s="68"/>
      <c r="R917" s="68"/>
    </row>
    <row r="918" ht="15.75" customHeight="1">
      <c r="E918" s="68"/>
      <c r="J918" s="68"/>
      <c r="L918" s="68"/>
      <c r="M918" s="68"/>
      <c r="O918" s="68"/>
      <c r="R918" s="68"/>
    </row>
    <row r="919" ht="15.75" customHeight="1">
      <c r="E919" s="68"/>
      <c r="J919" s="68"/>
      <c r="L919" s="68"/>
      <c r="M919" s="68"/>
      <c r="O919" s="68"/>
      <c r="R919" s="68"/>
    </row>
    <row r="920" ht="15.75" customHeight="1">
      <c r="E920" s="68"/>
      <c r="J920" s="68"/>
      <c r="L920" s="68"/>
      <c r="M920" s="68"/>
      <c r="O920" s="68"/>
      <c r="R920" s="68"/>
    </row>
    <row r="921" ht="15.75" customHeight="1">
      <c r="E921" s="68"/>
      <c r="J921" s="68"/>
      <c r="L921" s="68"/>
      <c r="M921" s="68"/>
      <c r="O921" s="68"/>
      <c r="R921" s="68"/>
    </row>
    <row r="922" ht="15.75" customHeight="1">
      <c r="E922" s="68"/>
      <c r="J922" s="68"/>
      <c r="L922" s="68"/>
      <c r="M922" s="68"/>
      <c r="O922" s="68"/>
      <c r="R922" s="68"/>
    </row>
    <row r="923" ht="15.75" customHeight="1">
      <c r="E923" s="68"/>
      <c r="J923" s="68"/>
      <c r="L923" s="68"/>
      <c r="M923" s="68"/>
      <c r="O923" s="68"/>
      <c r="R923" s="68"/>
    </row>
    <row r="924" ht="15.75" customHeight="1">
      <c r="E924" s="68"/>
      <c r="J924" s="68"/>
      <c r="L924" s="68"/>
      <c r="M924" s="68"/>
      <c r="O924" s="68"/>
      <c r="R924" s="68"/>
    </row>
    <row r="925" ht="15.75" customHeight="1">
      <c r="E925" s="68"/>
      <c r="J925" s="68"/>
      <c r="L925" s="68"/>
      <c r="M925" s="68"/>
      <c r="O925" s="68"/>
      <c r="R925" s="68"/>
    </row>
    <row r="926" ht="15.75" customHeight="1">
      <c r="E926" s="68"/>
      <c r="J926" s="68"/>
      <c r="L926" s="68"/>
      <c r="M926" s="68"/>
      <c r="O926" s="68"/>
      <c r="R926" s="68"/>
    </row>
    <row r="927" ht="15.75" customHeight="1">
      <c r="E927" s="68"/>
      <c r="J927" s="68"/>
      <c r="L927" s="68"/>
      <c r="M927" s="68"/>
      <c r="O927" s="68"/>
      <c r="R927" s="68"/>
    </row>
    <row r="928" ht="15.75" customHeight="1">
      <c r="E928" s="68"/>
      <c r="J928" s="68"/>
      <c r="L928" s="68"/>
      <c r="M928" s="68"/>
      <c r="O928" s="68"/>
      <c r="R928" s="68"/>
    </row>
    <row r="929" ht="15.75" customHeight="1">
      <c r="E929" s="68"/>
      <c r="J929" s="68"/>
      <c r="L929" s="68"/>
      <c r="M929" s="68"/>
      <c r="O929" s="68"/>
      <c r="R929" s="68"/>
    </row>
    <row r="930" ht="15.75" customHeight="1">
      <c r="E930" s="68"/>
      <c r="J930" s="68"/>
      <c r="L930" s="68"/>
      <c r="M930" s="68"/>
      <c r="O930" s="68"/>
      <c r="R930" s="68"/>
    </row>
    <row r="931" ht="15.75" customHeight="1">
      <c r="E931" s="68"/>
      <c r="J931" s="68"/>
      <c r="L931" s="68"/>
      <c r="M931" s="68"/>
      <c r="O931" s="68"/>
      <c r="R931" s="68"/>
    </row>
    <row r="932" ht="15.75" customHeight="1">
      <c r="E932" s="68"/>
      <c r="J932" s="68"/>
      <c r="L932" s="68"/>
      <c r="M932" s="68"/>
      <c r="O932" s="68"/>
      <c r="R932" s="68"/>
    </row>
    <row r="933" ht="15.75" customHeight="1">
      <c r="E933" s="68"/>
      <c r="J933" s="68"/>
      <c r="L933" s="68"/>
      <c r="M933" s="68"/>
      <c r="O933" s="68"/>
      <c r="R933" s="68"/>
    </row>
    <row r="934" ht="15.75" customHeight="1">
      <c r="E934" s="68"/>
      <c r="J934" s="68"/>
      <c r="L934" s="68"/>
      <c r="M934" s="68"/>
      <c r="O934" s="68"/>
      <c r="R934" s="68"/>
    </row>
    <row r="935" ht="15.75" customHeight="1">
      <c r="E935" s="68"/>
      <c r="J935" s="68"/>
      <c r="L935" s="68"/>
      <c r="M935" s="68"/>
      <c r="O935" s="68"/>
      <c r="R935" s="68"/>
    </row>
    <row r="936" ht="15.75" customHeight="1">
      <c r="E936" s="68"/>
      <c r="J936" s="68"/>
      <c r="L936" s="68"/>
      <c r="M936" s="68"/>
      <c r="O936" s="68"/>
      <c r="R936" s="68"/>
    </row>
    <row r="937" ht="15.75" customHeight="1">
      <c r="E937" s="68"/>
      <c r="J937" s="68"/>
      <c r="L937" s="68"/>
      <c r="M937" s="68"/>
      <c r="O937" s="68"/>
      <c r="R937" s="68"/>
    </row>
    <row r="938" ht="15.75" customHeight="1">
      <c r="E938" s="68"/>
      <c r="J938" s="68"/>
      <c r="L938" s="68"/>
      <c r="M938" s="68"/>
      <c r="O938" s="68"/>
      <c r="R938" s="68"/>
    </row>
    <row r="939" ht="15.75" customHeight="1">
      <c r="E939" s="68"/>
      <c r="J939" s="68"/>
      <c r="L939" s="68"/>
      <c r="M939" s="68"/>
      <c r="O939" s="68"/>
      <c r="R939" s="68"/>
    </row>
    <row r="940" ht="15.75" customHeight="1">
      <c r="E940" s="68"/>
      <c r="J940" s="68"/>
      <c r="L940" s="68"/>
      <c r="M940" s="68"/>
      <c r="O940" s="68"/>
      <c r="R940" s="68"/>
    </row>
    <row r="941" ht="15.75" customHeight="1">
      <c r="E941" s="68"/>
      <c r="J941" s="68"/>
      <c r="L941" s="68"/>
      <c r="M941" s="68"/>
      <c r="O941" s="68"/>
      <c r="R941" s="68"/>
    </row>
    <row r="942" ht="15.75" customHeight="1">
      <c r="E942" s="68"/>
      <c r="J942" s="68"/>
      <c r="L942" s="68"/>
      <c r="M942" s="68"/>
      <c r="O942" s="68"/>
      <c r="R942" s="68"/>
    </row>
    <row r="943" ht="15.75" customHeight="1">
      <c r="E943" s="68"/>
      <c r="J943" s="68"/>
      <c r="L943" s="68"/>
      <c r="M943" s="68"/>
      <c r="O943" s="68"/>
      <c r="R943" s="68"/>
    </row>
    <row r="944" ht="15.75" customHeight="1">
      <c r="E944" s="68"/>
      <c r="J944" s="68"/>
      <c r="L944" s="68"/>
      <c r="M944" s="68"/>
      <c r="O944" s="68"/>
      <c r="R944" s="68"/>
    </row>
    <row r="945" ht="15.75" customHeight="1">
      <c r="E945" s="68"/>
      <c r="J945" s="68"/>
      <c r="L945" s="68"/>
      <c r="M945" s="68"/>
      <c r="O945" s="68"/>
      <c r="R945" s="68"/>
    </row>
    <row r="946" ht="15.75" customHeight="1">
      <c r="E946" s="68"/>
      <c r="J946" s="68"/>
      <c r="L946" s="68"/>
      <c r="M946" s="68"/>
      <c r="O946" s="68"/>
      <c r="R946" s="68"/>
    </row>
    <row r="947" ht="15.75" customHeight="1">
      <c r="E947" s="68"/>
      <c r="J947" s="68"/>
      <c r="L947" s="68"/>
      <c r="M947" s="68"/>
      <c r="O947" s="68"/>
      <c r="R947" s="68"/>
    </row>
    <row r="948" ht="15.75" customHeight="1">
      <c r="E948" s="68"/>
      <c r="J948" s="68"/>
      <c r="L948" s="68"/>
      <c r="M948" s="68"/>
      <c r="O948" s="68"/>
      <c r="R948" s="68"/>
    </row>
    <row r="949" ht="15.75" customHeight="1">
      <c r="E949" s="68"/>
      <c r="J949" s="68"/>
      <c r="L949" s="68"/>
      <c r="M949" s="68"/>
      <c r="O949" s="68"/>
      <c r="R949" s="68"/>
    </row>
    <row r="950" ht="15.75" customHeight="1">
      <c r="E950" s="68"/>
      <c r="J950" s="68"/>
      <c r="L950" s="68"/>
      <c r="M950" s="68"/>
      <c r="O950" s="68"/>
      <c r="R950" s="68"/>
    </row>
    <row r="951" ht="15.75" customHeight="1">
      <c r="E951" s="68"/>
      <c r="J951" s="68"/>
      <c r="L951" s="68"/>
      <c r="M951" s="68"/>
      <c r="O951" s="68"/>
      <c r="R951" s="68"/>
    </row>
    <row r="952" ht="15.75" customHeight="1">
      <c r="E952" s="68"/>
      <c r="J952" s="68"/>
      <c r="L952" s="68"/>
      <c r="M952" s="68"/>
      <c r="O952" s="68"/>
      <c r="R952" s="68"/>
    </row>
    <row r="953" ht="15.75" customHeight="1">
      <c r="E953" s="68"/>
      <c r="J953" s="68"/>
      <c r="L953" s="68"/>
      <c r="M953" s="68"/>
      <c r="O953" s="68"/>
      <c r="R953" s="68"/>
    </row>
    <row r="954" ht="15.75" customHeight="1">
      <c r="E954" s="68"/>
      <c r="J954" s="68"/>
      <c r="L954" s="68"/>
      <c r="M954" s="68"/>
      <c r="O954" s="68"/>
      <c r="R954" s="68"/>
    </row>
    <row r="955" ht="15.75" customHeight="1">
      <c r="E955" s="68"/>
      <c r="J955" s="68"/>
      <c r="L955" s="68"/>
      <c r="M955" s="68"/>
      <c r="O955" s="68"/>
      <c r="R955" s="68"/>
    </row>
    <row r="956" ht="15.75" customHeight="1">
      <c r="E956" s="68"/>
      <c r="J956" s="68"/>
      <c r="L956" s="68"/>
      <c r="M956" s="68"/>
      <c r="O956" s="68"/>
      <c r="R956" s="68"/>
    </row>
    <row r="957" ht="15.75" customHeight="1">
      <c r="E957" s="68"/>
      <c r="J957" s="68"/>
      <c r="L957" s="68"/>
      <c r="M957" s="68"/>
      <c r="O957" s="68"/>
      <c r="R957" s="68"/>
    </row>
    <row r="958" ht="15.75" customHeight="1">
      <c r="E958" s="68"/>
      <c r="J958" s="68"/>
      <c r="L958" s="68"/>
      <c r="M958" s="68"/>
      <c r="O958" s="68"/>
      <c r="R958" s="68"/>
    </row>
    <row r="959" ht="15.75" customHeight="1">
      <c r="E959" s="68"/>
      <c r="J959" s="68"/>
      <c r="L959" s="68"/>
      <c r="M959" s="68"/>
      <c r="O959" s="68"/>
      <c r="R959" s="68"/>
    </row>
    <row r="960" ht="15.75" customHeight="1">
      <c r="E960" s="68"/>
      <c r="J960" s="68"/>
      <c r="L960" s="68"/>
      <c r="M960" s="68"/>
      <c r="O960" s="68"/>
      <c r="R960" s="68"/>
    </row>
    <row r="961" ht="15.75" customHeight="1">
      <c r="E961" s="68"/>
      <c r="J961" s="68"/>
      <c r="L961" s="68"/>
      <c r="M961" s="68"/>
      <c r="O961" s="68"/>
      <c r="R961" s="68"/>
    </row>
    <row r="962" ht="15.75" customHeight="1">
      <c r="E962" s="68"/>
      <c r="J962" s="68"/>
      <c r="L962" s="68"/>
      <c r="M962" s="68"/>
      <c r="O962" s="68"/>
      <c r="R962" s="68"/>
    </row>
    <row r="963" ht="15.75" customHeight="1">
      <c r="E963" s="68"/>
      <c r="J963" s="68"/>
      <c r="L963" s="68"/>
      <c r="M963" s="68"/>
      <c r="O963" s="68"/>
      <c r="R963" s="68"/>
    </row>
    <row r="964" ht="15.75" customHeight="1">
      <c r="E964" s="68"/>
      <c r="J964" s="68"/>
      <c r="L964" s="68"/>
      <c r="M964" s="68"/>
      <c r="O964" s="68"/>
      <c r="R964" s="68"/>
    </row>
    <row r="965" ht="15.75" customHeight="1">
      <c r="E965" s="68"/>
      <c r="J965" s="68"/>
      <c r="L965" s="68"/>
      <c r="M965" s="68"/>
      <c r="O965" s="68"/>
      <c r="R965" s="68"/>
    </row>
    <row r="966" ht="15.75" customHeight="1">
      <c r="E966" s="68"/>
      <c r="J966" s="68"/>
      <c r="L966" s="68"/>
      <c r="M966" s="68"/>
      <c r="O966" s="68"/>
      <c r="R966" s="68"/>
    </row>
    <row r="967" ht="15.75" customHeight="1">
      <c r="E967" s="68"/>
      <c r="J967" s="68"/>
      <c r="L967" s="68"/>
      <c r="M967" s="68"/>
      <c r="O967" s="68"/>
      <c r="R967" s="68"/>
    </row>
    <row r="968" ht="15.75" customHeight="1">
      <c r="E968" s="68"/>
      <c r="J968" s="68"/>
      <c r="L968" s="68"/>
      <c r="M968" s="68"/>
      <c r="O968" s="68"/>
      <c r="R968" s="68"/>
    </row>
    <row r="969" ht="15.75" customHeight="1">
      <c r="E969" s="68"/>
      <c r="J969" s="68"/>
      <c r="L969" s="68"/>
      <c r="M969" s="68"/>
      <c r="O969" s="68"/>
      <c r="R969" s="68"/>
    </row>
    <row r="970" ht="15.75" customHeight="1">
      <c r="E970" s="68"/>
      <c r="J970" s="68"/>
      <c r="L970" s="68"/>
      <c r="M970" s="68"/>
      <c r="O970" s="68"/>
      <c r="R970" s="68"/>
    </row>
    <row r="971" ht="15.75" customHeight="1">
      <c r="E971" s="68"/>
      <c r="J971" s="68"/>
      <c r="L971" s="68"/>
      <c r="M971" s="68"/>
      <c r="O971" s="68"/>
      <c r="R971" s="68"/>
    </row>
    <row r="972" ht="15.75" customHeight="1">
      <c r="E972" s="68"/>
      <c r="J972" s="68"/>
      <c r="L972" s="68"/>
      <c r="M972" s="68"/>
      <c r="O972" s="68"/>
      <c r="R972" s="68"/>
    </row>
    <row r="973" ht="15.75" customHeight="1">
      <c r="E973" s="68"/>
      <c r="J973" s="68"/>
      <c r="L973" s="68"/>
      <c r="M973" s="68"/>
      <c r="O973" s="68"/>
      <c r="R973" s="68"/>
    </row>
    <row r="974" ht="15.75" customHeight="1">
      <c r="E974" s="68"/>
      <c r="J974" s="68"/>
      <c r="L974" s="68"/>
      <c r="M974" s="68"/>
      <c r="O974" s="68"/>
      <c r="R974" s="68"/>
    </row>
    <row r="975" ht="15.75" customHeight="1">
      <c r="E975" s="68"/>
      <c r="J975" s="68"/>
      <c r="L975" s="68"/>
      <c r="M975" s="68"/>
      <c r="O975" s="68"/>
      <c r="R975" s="68"/>
    </row>
    <row r="976" ht="15.75" customHeight="1">
      <c r="E976" s="68"/>
      <c r="J976" s="68"/>
      <c r="L976" s="68"/>
      <c r="M976" s="68"/>
      <c r="O976" s="68"/>
      <c r="R976" s="68"/>
    </row>
    <row r="977" ht="15.75" customHeight="1">
      <c r="E977" s="68"/>
      <c r="J977" s="68"/>
      <c r="L977" s="68"/>
      <c r="M977" s="68"/>
      <c r="O977" s="68"/>
      <c r="R977" s="68"/>
    </row>
    <row r="978" ht="15.75" customHeight="1">
      <c r="E978" s="68"/>
      <c r="J978" s="68"/>
      <c r="L978" s="68"/>
      <c r="M978" s="68"/>
      <c r="O978" s="68"/>
      <c r="R978" s="68"/>
    </row>
    <row r="979" ht="15.75" customHeight="1">
      <c r="E979" s="68"/>
      <c r="J979" s="68"/>
      <c r="L979" s="68"/>
      <c r="M979" s="68"/>
      <c r="O979" s="68"/>
      <c r="R979" s="68"/>
    </row>
    <row r="980" ht="15.75" customHeight="1">
      <c r="E980" s="68"/>
      <c r="J980" s="68"/>
      <c r="L980" s="68"/>
      <c r="M980" s="68"/>
      <c r="O980" s="68"/>
      <c r="R980" s="68"/>
    </row>
    <row r="981" ht="15.75" customHeight="1">
      <c r="E981" s="68"/>
      <c r="J981" s="68"/>
      <c r="L981" s="68"/>
      <c r="M981" s="68"/>
      <c r="O981" s="68"/>
      <c r="R981" s="68"/>
    </row>
    <row r="982" ht="15.75" customHeight="1">
      <c r="E982" s="68"/>
      <c r="J982" s="68"/>
      <c r="L982" s="68"/>
      <c r="M982" s="68"/>
      <c r="O982" s="68"/>
      <c r="R982" s="68"/>
    </row>
    <row r="983" ht="15.75" customHeight="1">
      <c r="E983" s="68"/>
      <c r="J983" s="68"/>
      <c r="L983" s="68"/>
      <c r="M983" s="68"/>
      <c r="O983" s="68"/>
      <c r="R983" s="68"/>
    </row>
    <row r="984" ht="15.75" customHeight="1">
      <c r="E984" s="68"/>
      <c r="J984" s="68"/>
      <c r="L984" s="68"/>
      <c r="M984" s="68"/>
      <c r="O984" s="68"/>
      <c r="R984" s="68"/>
    </row>
    <row r="985" ht="15.75" customHeight="1">
      <c r="E985" s="68"/>
      <c r="J985" s="68"/>
      <c r="L985" s="68"/>
      <c r="M985" s="68"/>
      <c r="O985" s="68"/>
      <c r="R985" s="68"/>
    </row>
    <row r="986" ht="15.75" customHeight="1">
      <c r="E986" s="68"/>
      <c r="J986" s="68"/>
      <c r="L986" s="68"/>
      <c r="M986" s="68"/>
      <c r="O986" s="68"/>
      <c r="R986" s="68"/>
    </row>
    <row r="987" ht="15.75" customHeight="1">
      <c r="E987" s="68"/>
      <c r="J987" s="68"/>
      <c r="L987" s="68"/>
      <c r="M987" s="68"/>
      <c r="O987" s="68"/>
      <c r="R987" s="68"/>
    </row>
    <row r="988" ht="15.75" customHeight="1">
      <c r="E988" s="68"/>
      <c r="J988" s="68"/>
      <c r="L988" s="68"/>
      <c r="M988" s="68"/>
      <c r="O988" s="68"/>
      <c r="R988" s="68"/>
    </row>
    <row r="989" ht="15.75" customHeight="1">
      <c r="E989" s="68"/>
      <c r="J989" s="68"/>
      <c r="L989" s="68"/>
      <c r="M989" s="68"/>
      <c r="O989" s="68"/>
      <c r="R989" s="68"/>
    </row>
    <row r="990" ht="15.75" customHeight="1">
      <c r="E990" s="68"/>
      <c r="J990" s="68"/>
      <c r="L990" s="68"/>
      <c r="M990" s="68"/>
      <c r="O990" s="68"/>
      <c r="R990" s="68"/>
    </row>
    <row r="991" ht="15.75" customHeight="1">
      <c r="E991" s="68"/>
      <c r="J991" s="68"/>
      <c r="L991" s="68"/>
      <c r="M991" s="68"/>
      <c r="O991" s="68"/>
      <c r="R991" s="68"/>
    </row>
    <row r="992" ht="15.75" customHeight="1">
      <c r="E992" s="68"/>
      <c r="J992" s="68"/>
      <c r="L992" s="68"/>
      <c r="M992" s="68"/>
      <c r="O992" s="68"/>
      <c r="R992" s="68"/>
    </row>
    <row r="993" ht="15.75" customHeight="1">
      <c r="E993" s="68"/>
      <c r="J993" s="68"/>
      <c r="L993" s="68"/>
      <c r="M993" s="68"/>
      <c r="O993" s="68"/>
      <c r="R993" s="68"/>
    </row>
    <row r="994" ht="15.75" customHeight="1">
      <c r="E994" s="68"/>
      <c r="J994" s="68"/>
      <c r="L994" s="68"/>
      <c r="M994" s="68"/>
      <c r="O994" s="68"/>
      <c r="R994" s="68"/>
    </row>
    <row r="995" ht="15.75" customHeight="1">
      <c r="E995" s="68"/>
      <c r="J995" s="68"/>
      <c r="L995" s="68"/>
      <c r="M995" s="68"/>
      <c r="O995" s="68"/>
      <c r="R995" s="68"/>
    </row>
    <row r="996" ht="15.75" customHeight="1">
      <c r="E996" s="68"/>
      <c r="J996" s="68"/>
      <c r="L996" s="68"/>
      <c r="M996" s="68"/>
      <c r="O996" s="68"/>
      <c r="R996" s="68"/>
    </row>
    <row r="997" ht="15.75" customHeight="1">
      <c r="E997" s="68"/>
      <c r="J997" s="68"/>
      <c r="L997" s="68"/>
      <c r="M997" s="68"/>
      <c r="O997" s="68"/>
      <c r="R997" s="68"/>
    </row>
    <row r="998" ht="15.75" customHeight="1">
      <c r="E998" s="68"/>
      <c r="J998" s="68"/>
      <c r="L998" s="68"/>
      <c r="M998" s="68"/>
      <c r="O998" s="68"/>
      <c r="R998" s="68"/>
    </row>
    <row r="999" ht="15.75" customHeight="1">
      <c r="E999" s="68"/>
      <c r="J999" s="68"/>
      <c r="L999" s="68"/>
      <c r="M999" s="68"/>
      <c r="O999" s="68"/>
      <c r="R999" s="68"/>
    </row>
    <row r="1000" ht="15.75" customHeight="1">
      <c r="E1000" s="68"/>
      <c r="J1000" s="68"/>
      <c r="L1000" s="68"/>
      <c r="M1000" s="68"/>
      <c r="O1000" s="68"/>
      <c r="R1000" s="68"/>
    </row>
  </sheetData>
  <mergeCells count="13">
    <mergeCell ref="P2:Q2"/>
    <mergeCell ref="P3:Q3"/>
    <mergeCell ref="P1:Q1"/>
    <mergeCell ref="P4:Q4"/>
    <mergeCell ref="P5:Q5"/>
    <mergeCell ref="A1:B1"/>
    <mergeCell ref="J1:K1"/>
    <mergeCell ref="L1:M1"/>
    <mergeCell ref="N1:O1"/>
    <mergeCell ref="A2:B2"/>
    <mergeCell ref="A3:B3"/>
    <mergeCell ref="A4:B4"/>
    <mergeCell ref="A5:B5"/>
  </mergeCells>
  <dataValidations>
    <dataValidation type="list" allowBlank="1" showErrorMessage="1" sqref="E7:E1000">
      <formula1>"UI,API,PL/SQL,DB"</formula1>
    </dataValidation>
    <dataValidation type="list" allowBlank="1" showErrorMessage="1" sqref="M7:M1000">
      <formula1>"High,Medium,Low"</formula1>
    </dataValidation>
    <dataValidation type="list" allowBlank="1" sqref="J7:J1000 R7:R1000">
      <formula1>"PASS,FAIL,NT"</formula1>
    </dataValidation>
    <dataValidation type="list" allowBlank="1" sqref="L7:L1000">
      <formula1>"Critical,High,Medium,Low"</formula1>
    </dataValidation>
    <dataValidation type="list" allowBlank="1" showErrorMessage="1" sqref="O7:O1000">
      <formula1>"Accepted,Rejected"</formula1>
    </dataValidation>
  </dataValidations>
  <drawing r:id="rId1"/>
</worksheet>
</file>