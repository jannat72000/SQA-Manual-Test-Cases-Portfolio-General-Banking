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9245" sheetId="1" r:id="rId5"/>
    <sheet state="visible" name="retest_19245" sheetId="2" r:id="rId6"/>
  </sheets>
  <definedNames/>
  <calcPr/>
</workbook>
</file>

<file path=xl/sharedStrings.xml><?xml version="1.0" encoding="utf-8"?>
<sst xmlns="http://schemas.openxmlformats.org/spreadsheetml/2006/main" count="277" uniqueCount="241">
  <si>
    <t>Product Name</t>
  </si>
  <si>
    <t>Customer ID</t>
  </si>
  <si>
    <t>ABABIL NG</t>
  </si>
  <si>
    <t>Single customer:  4000004473   (Document: Smart NID) Active customer</t>
  </si>
  <si>
    <t>TC Start Date</t>
  </si>
  <si>
    <t>Added--&gt; DD(KYC)</t>
  </si>
  <si>
    <t>https://prnt.sc/yMsZli-maRUG</t>
  </si>
  <si>
    <t>TC Execution Start Date</t>
  </si>
  <si>
    <t>TEST CASE STATUS</t>
  </si>
  <si>
    <t>Severity</t>
  </si>
  <si>
    <t>Single Customer: 4000004476 (Inactive)--&gt; Passport</t>
  </si>
  <si>
    <t>Priority</t>
  </si>
  <si>
    <t>Added--&gt;DD(Nominee)</t>
  </si>
  <si>
    <t>https://prnt.sc/eK6Ne5hUdEDM</t>
  </si>
  <si>
    <t>Added--&gt;FD(Nominee)</t>
  </si>
  <si>
    <t>https://prnt.sc/Qt_p8h8CjDLH</t>
  </si>
  <si>
    <t>Event Name</t>
  </si>
  <si>
    <t>TC End Date</t>
  </si>
  <si>
    <t>Added--&gt;FD(KYC)</t>
  </si>
  <si>
    <t>https://prnt.sc/_Dhhq2nloZyZ</t>
  </si>
  <si>
    <t>TC Execution End Date</t>
  </si>
  <si>
    <t>PASS</t>
  </si>
  <si>
    <t>Added--&gt; RD(Beneficial)</t>
  </si>
  <si>
    <t>https://prnt.sc/Q0tIs-jDNkvL</t>
  </si>
  <si>
    <t xml:space="preserve">Added--&gt;RD(Beneficial + KYC)  </t>
  </si>
  <si>
    <r>
      <rPr>
        <color rgb="FF1155CC"/>
        <u/>
      </rPr>
      <t>https://prnt.sc/vzP_Uhj7rYoK</t>
    </r>
    <r>
      <rPr>
        <color rgb="FF1F1F1F"/>
      </rPr>
      <t xml:space="preserve">    </t>
    </r>
    <r>
      <rPr>
        <color rgb="FF1155CC"/>
        <u/>
      </rPr>
      <t>https://prnt.sc/WdXhsUAh4605</t>
    </r>
    <r>
      <rPr>
        <color rgb="FF1F1F1F"/>
      </rPr>
      <t xml:space="preserve"> </t>
    </r>
  </si>
  <si>
    <t>Critical</t>
  </si>
  <si>
    <t>customer document</t>
  </si>
  <si>
    <t>https://prnt.sc/lJV0T8gniCVz</t>
  </si>
  <si>
    <t>https://prnt.sc/PllsUw7XWVry</t>
  </si>
  <si>
    <t>High</t>
  </si>
  <si>
    <t>Para Form Name</t>
  </si>
  <si>
    <t>Merge Customer Using Database</t>
  </si>
  <si>
    <t>Test Case Developed By</t>
  </si>
  <si>
    <t>Jannat</t>
  </si>
  <si>
    <t>FAIL</t>
  </si>
  <si>
    <t xml:space="preserve">Testing Scope: </t>
  </si>
  <si>
    <t xml:space="preserve"> </t>
  </si>
  <si>
    <t>Scenario: Single Customer Merge (Original Active + Duplicate Inactive)</t>
  </si>
  <si>
    <t xml:space="preserve"> Original Customer: 4000004473 (Active)
Document: Smart NID
DD Account: KYC Added
FD Acc: Nomiee added  RD Acc:Benefical owner added 
                                                                                                 Duplicate Customer: 4000004476 (Inactive)
Document: Passport
DD Account: Nominee Added
FD Account: KYC Added
RD Account: Beneficial Owner + KYC Added</t>
  </si>
  <si>
    <t>Medium</t>
  </si>
  <si>
    <t xml:space="preserve">### Validation Performed
Verified the Single Customer Merge process using one active customer as the original customer and one inactive customer as the duplicate customer.
The following areas were validated after the merge:
* Duplicate customer was successfully merged into the original customer.
* All accounts (DD, FD, and RD) of the duplicate customer were migrated to the original customer.
* Common documents were not duplicated, while unique documents were successfully transferred to the original customer.
* Customer document mapping was updated correctly after the merge.
* Nominee information remained accessible and correctly mapped to the respective accounts.
* Beneficial Owner information remained accessible and correctly mapped without impacting other accounts.
* Existing KYC records remained accessible after the merge.
* KYC update and save operations worked successfully after the merge.
* System Generated Overall Risk Score was verified from the KYC details.
* No duplicate or conflicting KYC records were created for the same account.
* Verified that account-level data integrity was maintained throughout the merge process.  *Confirm Merge: Confirmation with summary and irreversible action warning
</t>
  </si>
  <si>
    <t>as expected  found okay</t>
  </si>
  <si>
    <t>Developer Name (TL)</t>
  </si>
  <si>
    <r>
      <rPr/>
      <t xml:space="preserve">Reference:  </t>
    </r>
    <r>
      <rPr>
        <color rgb="FF1155CC"/>
        <u/>
      </rPr>
      <t>https://prnt.sc/dBkR18jk7K7L</t>
    </r>
    <r>
      <rPr/>
      <t xml:space="preserve">    </t>
    </r>
    <r>
      <rPr>
        <color rgb="FF1155CC"/>
        <u/>
      </rPr>
      <t>https://prnt.sc/t5xt24mdYJIk</t>
    </r>
    <r>
      <rPr/>
      <t xml:space="preserve">   </t>
    </r>
    <r>
      <rPr>
        <color rgb="FF1155CC"/>
        <u/>
      </rPr>
      <t>https://prnt.sc/Pg5azMZ5k1Yz</t>
    </r>
    <r>
      <rPr/>
      <t xml:space="preserve">   </t>
    </r>
    <r>
      <rPr>
        <color rgb="FF1155CC"/>
        <u/>
      </rPr>
      <t>https://prnt.sc/BaRNFa6fd_dO</t>
    </r>
    <r>
      <rPr/>
      <t xml:space="preserve">    </t>
    </r>
    <r>
      <rPr>
        <color rgb="FF1155CC"/>
        <u/>
      </rPr>
      <t>https://prnt.sc/NjdhtiOFNGOO</t>
    </r>
    <r>
      <rPr/>
      <t xml:space="preserve">   </t>
    </r>
    <r>
      <rPr>
        <color rgb="FF1155CC"/>
        <u/>
      </rPr>
      <t>https://prnt.sc/oCDAKbjOLAL2</t>
    </r>
    <r>
      <rPr/>
      <t xml:space="preserve">   </t>
    </r>
    <r>
      <rPr>
        <color rgb="FF1155CC"/>
        <u/>
      </rPr>
      <t>https://prnt.sc/rmDA8k-Q6MY0</t>
    </r>
    <r>
      <rPr/>
      <t xml:space="preserve">    </t>
    </r>
    <r>
      <rPr>
        <color rgb="FF1155CC"/>
        <u/>
      </rPr>
      <t>https://prnt.sc/9J-h_Y5Mfyzl</t>
    </r>
    <r>
      <rPr/>
      <t xml:space="preserve">   </t>
    </r>
    <r>
      <rPr>
        <color rgb="FF1155CC"/>
        <u/>
      </rPr>
      <t>https://prnt.sc/6d-yBuqIUj5-</t>
    </r>
    <r>
      <rPr/>
      <t xml:space="preserve">     </t>
    </r>
    <r>
      <rPr>
        <color rgb="FF1155CC"/>
        <u/>
      </rPr>
      <t>https://prnt.sc/qHvl4z_HMNqt</t>
    </r>
    <r>
      <rPr/>
      <t xml:space="preserve">   </t>
    </r>
    <r>
      <rPr>
        <color rgb="FF1155CC"/>
        <u/>
      </rPr>
      <t>https://prnt.sc/fj7mppPyJozY</t>
    </r>
    <r>
      <rPr/>
      <t xml:space="preserve">   </t>
    </r>
    <r>
      <rPr>
        <color rgb="FF1155CC"/>
        <u/>
      </rPr>
      <t>https://prnt.sc/4U81Dp4iSMnm</t>
    </r>
    <r>
      <rPr/>
      <t xml:space="preserve">   </t>
    </r>
    <r>
      <rPr>
        <color rgb="FF1155CC"/>
        <u/>
      </rPr>
      <t>https://prnt.sc/d_xY6ZsHfs9N</t>
    </r>
    <r>
      <rPr/>
      <t xml:space="preserve">   </t>
    </r>
    <r>
      <rPr>
        <color rgb="FF1155CC"/>
        <u/>
      </rPr>
      <t>https://prnt.sc/_mn30tKgenw3</t>
    </r>
    <r>
      <rPr/>
      <t xml:space="preserve">   </t>
    </r>
    <r>
      <rPr>
        <color rgb="FF1155CC"/>
        <u/>
      </rPr>
      <t>https://prnt.sc/KzPrMsnFXx3V</t>
    </r>
    <r>
      <rPr/>
      <t xml:space="preserve">  </t>
    </r>
    <r>
      <rPr>
        <color rgb="FF1155CC"/>
        <u/>
      </rPr>
      <t>https://prnt.sc/yoXVbcwo3xPb</t>
    </r>
    <r>
      <rPr/>
      <t xml:space="preserve">    </t>
    </r>
    <r>
      <rPr>
        <color rgb="FF1155CC"/>
        <u/>
      </rPr>
      <t>https://prnt.sc/AZtTiZ0SZ1Sr</t>
    </r>
    <r>
      <rPr/>
      <t xml:space="preserve">   </t>
    </r>
    <r>
      <rPr>
        <color rgb="FF1155CC"/>
        <u/>
      </rPr>
      <t>https://prnt.sc/oZVw-Sc6U5Lg</t>
    </r>
    <r>
      <rPr/>
      <t xml:space="preserve">    </t>
    </r>
    <r>
      <rPr>
        <color rgb="FF1155CC"/>
        <u/>
      </rPr>
      <t>https://prnt.sc/5BRNC-b-UK-I</t>
    </r>
    <r>
      <rPr/>
      <t xml:space="preserve">   </t>
    </r>
    <r>
      <rPr>
        <color rgb="FF1155CC"/>
        <u/>
      </rPr>
      <t>https://prnt.sc/fD7dD-WaMfso</t>
    </r>
    <r>
      <rPr/>
      <t xml:space="preserve">   </t>
    </r>
    <r>
      <rPr>
        <color rgb="FF1155CC"/>
        <u/>
      </rPr>
      <t>https://prnt.sc/ncJXOt7AWChe</t>
    </r>
    <r>
      <rPr/>
      <t xml:space="preserve">   </t>
    </r>
    <r>
      <rPr>
        <color rgb="FF1155CC"/>
        <u/>
      </rPr>
      <t>https://prnt.sc/dIxFBttEhI-J</t>
    </r>
    <r>
      <rPr/>
      <t xml:space="preserve"> </t>
    </r>
  </si>
  <si>
    <t>Test Case Reviewed By</t>
  </si>
  <si>
    <t>NT</t>
  </si>
  <si>
    <t>Low</t>
  </si>
  <si>
    <t>Test Executed by</t>
  </si>
  <si>
    <t>MITS ID</t>
  </si>
  <si>
    <t>Joint Customer : 4000004477(Inactive)--&gt;one applicant--&gt;Document: NID</t>
  </si>
  <si>
    <t>DD-&gt;Nominee + Benefical</t>
  </si>
  <si>
    <r>
      <rPr>
        <color rgb="FF1155CC"/>
        <u/>
      </rPr>
      <t>https://prnt.sc/oCCraqag7rxb</t>
    </r>
    <r>
      <rPr>
        <color rgb="FF1F1F1F"/>
      </rPr>
      <t xml:space="preserve">  </t>
    </r>
    <r>
      <rPr>
        <color rgb="FF1155CC"/>
        <u/>
      </rPr>
      <t>https://prnt.sc/9ySYdvEZ0mDu</t>
    </r>
    <r>
      <rPr>
        <color rgb="FF1F1F1F"/>
      </rPr>
      <t xml:space="preserve"> </t>
    </r>
  </si>
  <si>
    <t>TOTAL</t>
  </si>
  <si>
    <t>Joint Customer : 4000004478(active) Two applicant --&gt;Document: Smart  NID  2nd applicant: Birth certificate, NID, TIN, smart Nid</t>
  </si>
  <si>
    <t>DD--&gt;Nominee added</t>
  </si>
  <si>
    <t>Issue Accepted</t>
  </si>
  <si>
    <r>
      <rPr>
        <color rgb="FF1155CC"/>
        <u/>
      </rPr>
      <t>https://prnt.sc/tyOE00ZMEZSs</t>
    </r>
    <r>
      <rPr/>
      <t xml:space="preserve">   </t>
    </r>
    <r>
      <rPr>
        <color rgb="FF1155CC"/>
        <u/>
      </rPr>
      <t>https://prnt.sc/z7gIOFNDfHgN</t>
    </r>
    <r>
      <rPr/>
      <t xml:space="preserve"> </t>
    </r>
  </si>
  <si>
    <t>Req ID</t>
  </si>
  <si>
    <t>Requirement Description</t>
  </si>
  <si>
    <t>FD--&gt;closed</t>
  </si>
  <si>
    <t>FD--&gt;KYC added</t>
  </si>
  <si>
    <t>TC ID</t>
  </si>
  <si>
    <t>https://prnt.sc/CMSrq8veNGut</t>
  </si>
  <si>
    <t>Test Case Description</t>
  </si>
  <si>
    <t>Category</t>
  </si>
  <si>
    <t>Automation TC ID</t>
  </si>
  <si>
    <t>Test Steps</t>
  </si>
  <si>
    <t>Test Data</t>
  </si>
  <si>
    <t>Expected Result</t>
  </si>
  <si>
    <t>Actual Result</t>
  </si>
  <si>
    <t>QA Status</t>
  </si>
  <si>
    <t>Tested By</t>
  </si>
  <si>
    <t>QA Remarks</t>
  </si>
  <si>
    <t>RD--&gt; KYC added</t>
  </si>
  <si>
    <t>https://prnt.sc/ScHm3uEQ3xMV</t>
  </si>
  <si>
    <t>Updated QA Status</t>
  </si>
  <si>
    <t>RD--&gt; Benefical owner added</t>
  </si>
  <si>
    <t>https://prnt.sc/HtxYr76Sg8EA</t>
  </si>
  <si>
    <t>Single Customer</t>
  </si>
  <si>
    <t>Customer doc</t>
  </si>
  <si>
    <t>TC_01</t>
  </si>
  <si>
    <r>
      <rPr/>
      <t xml:space="preserve"> </t>
    </r>
    <r>
      <rPr>
        <color rgb="FF1155CC"/>
        <u/>
      </rPr>
      <t>https://prnt.sc/j4UQ4JMNk6oK</t>
    </r>
  </si>
  <si>
    <t>Verify that when MERGE_CUSTOMER_USING_KAFKA = FALSE, an inactive duplicate single customer is merged with an active original single customer, all accounts, account mappings, and uncommon documents of the duplicate customer are properly transferred to the original customer.</t>
  </si>
  <si>
    <t>Document</t>
  </si>
  <si>
    <r>
      <rPr>
        <color rgb="FF1155CC"/>
        <u/>
      </rPr>
      <t>https://prnt.sc/N__yzH_m40IT</t>
    </r>
    <r>
      <rPr>
        <color rgb="FF1F1F1F"/>
      </rPr>
      <t xml:space="preserve">   </t>
    </r>
    <r>
      <rPr>
        <color rgb="FF1155CC"/>
        <u/>
      </rPr>
      <t>https://prnt.sc/opv-Tia6IVcw</t>
    </r>
    <r>
      <rPr>
        <color rgb="FF1F1F1F"/>
      </rPr>
      <t xml:space="preserve"> </t>
    </r>
  </si>
  <si>
    <t>Original Customer (Active): 4000003968
DD: 2 accounts (Activated + Inactive)
FD: 1 account (Activated)
RD: 2 accounts (Activated + Closed)
Duplicate Customer (Inactive): 4000003969
DD: 1 account (Inactive)
FD: 1 account (Inactive)</t>
  </si>
  <si>
    <t>- Duplicate customer should become inactive after merge.
- All accounts of duplicate customer should be transferred/mapped under the original customer.
- All uncommon documents from duplicate customer should be merged with the original customer.
- Account references should contain the original customer ID after merge.
- No broken mapping or missing document should exist after merge.</t>
  </si>
  <si>
    <t>After merge, the accounts under duplicate customer were successfully transferred to the original customer. Uncommon documents from the duplicate customer were also merged successfully with the original customer. However, account audit/change history still contains the duplicate customer ID instead of the original customer ID.</t>
  </si>
  <si>
    <t>Scenario: Joint Customer Merge (Original Active + Duplicate Inactive)</t>
  </si>
  <si>
    <t>Original Customer: 4000004477 (Inactive)
One Applicant
Applicant Document: NID
DD Account: Nominee + Beneficial Owner Added
FD Account: Closed
RD Account: KYC Added
Customer Document Available
Duplicate Customer: 4000004478 (Active)
Two Applicants
First Applicant Document: Smart NID
Second Applicant Documents: Birth Certificate, NID, TIN, Smart NID
DD Account: Nominee Added
FD Account: KYC Added
RD Account: Beneficial Owner Added
Customer Documents Available</t>
  </si>
  <si>
    <t xml:space="preserve">
### Validation Performed
Verified the Joint Customer Merge process using one inactive customer as the original customer and one active customer as the duplicate customer.
The following validations were performed after the merge:
* Verified the merge confirmation dialog displayed the merge summary and irreversible action warning before confirming the merge.
* Verified the duplicate joint customer was successfully merged into the original customer.
* Verified all DD, FD, and RD accounts of the duplicate customer were reassigned to the original customer.
* Verified common documents were not duplicated, while unique customer and applicant documents were successfully transferred to the original customer.
* Verified customer and applicant document mappings were updated correctly after the merge.
* Verified nominee information remained accessible and correctly mapped to the respective accounts.
* Verified beneficial owner information remained accessible and correctly mapped without affecting other accounts.
* Verified existing KYC records remained accessible after the merge.
* Verified KYC update and save operations worked successfully after the merge.
* Verified the System Generated Overall Risk Score was displayed correctly in the KYC details.
* Verified no duplicate or conflicting KYC records were created for the same account.
* Verified account-level data integrity was maintained after the merge.
* Verified the duplicate customer record was removed and the original customer remained the single reference after the merge.
</t>
  </si>
  <si>
    <t>as expected found okay</t>
  </si>
  <si>
    <r>
      <rPr>
        <color rgb="FF1155CC"/>
        <u/>
      </rPr>
      <t>https://prnt.sc/HtxYr76Sg8EA</t>
    </r>
    <r>
      <rPr>
        <color rgb="FF1F1F1F"/>
      </rPr>
      <t xml:space="preserve">   </t>
    </r>
    <r>
      <rPr>
        <color rgb="FF1155CC"/>
        <u/>
      </rPr>
      <t>https://prnt.sc/CMSrq8veNGut</t>
    </r>
    <r>
      <rPr>
        <color rgb="FF1F1F1F"/>
      </rPr>
      <t xml:space="preserve">  </t>
    </r>
    <r>
      <rPr>
        <color rgb="FF1155CC"/>
        <u/>
      </rPr>
      <t>https://prnt.sc/mPQWM5X8UEkY</t>
    </r>
    <r>
      <rPr>
        <color rgb="FF1F1F1F"/>
      </rPr>
      <t xml:space="preserve">   </t>
    </r>
    <r>
      <rPr>
        <color rgb="FF1155CC"/>
        <u/>
      </rPr>
      <t>https://prnt.sc/_mNNoTF6nsrp</t>
    </r>
    <r>
      <rPr/>
      <t xml:space="preserve">  </t>
    </r>
    <r>
      <rPr>
        <color rgb="FF1155CC"/>
        <u/>
      </rPr>
      <t>https://prnt.sc/Fq7P_k4D-yO6</t>
    </r>
    <r>
      <rPr/>
      <t xml:space="preserve">   </t>
    </r>
    <r>
      <rPr>
        <color rgb="FF1155CC"/>
        <u/>
      </rPr>
      <t>https://prnt.sc/u005RaPf4HK9</t>
    </r>
    <r>
      <rPr/>
      <t xml:space="preserve">   </t>
    </r>
    <r>
      <rPr>
        <color rgb="FF1155CC"/>
        <u/>
      </rPr>
      <t>https://prnt.sc/45i5gm1ByL6R</t>
    </r>
    <r>
      <rPr/>
      <t xml:space="preserve">   </t>
    </r>
    <r>
      <rPr>
        <color rgb="FF1155CC"/>
        <u/>
      </rPr>
      <t>https://prnt.sc/DnZU7d-NpAIu</t>
    </r>
    <r>
      <rPr/>
      <t xml:space="preserve">  </t>
    </r>
    <r>
      <rPr>
        <color rgb="FF1155CC"/>
        <u/>
      </rPr>
      <t>https://prnt.sc/dFdS_6peGsVF</t>
    </r>
    <r>
      <rPr/>
      <t xml:space="preserve">  </t>
    </r>
    <r>
      <rPr>
        <color rgb="FF1155CC"/>
        <u/>
      </rPr>
      <t>https://prnt.sc/g23sXlIGTH2P</t>
    </r>
    <r>
      <rPr/>
      <t xml:space="preserve">   </t>
    </r>
    <r>
      <rPr>
        <color rgb="FF1155CC"/>
        <u/>
      </rPr>
      <t>https://prnt.sc/ZQDja-0fVVHK</t>
    </r>
    <r>
      <rPr/>
      <t xml:space="preserve">   </t>
    </r>
    <r>
      <rPr>
        <color rgb="FF1155CC"/>
        <u/>
      </rPr>
      <t>https://prnt.sc/OPrlDqT30Q54</t>
    </r>
    <r>
      <rPr/>
      <t xml:space="preserve">   </t>
    </r>
    <r>
      <rPr>
        <color rgb="FF1155CC"/>
        <u/>
      </rPr>
      <t>https://prnt.sc/TQCet1NgILWc</t>
    </r>
    <r>
      <rPr/>
      <t xml:space="preserve"> </t>
    </r>
    <r>
      <rPr>
        <color rgb="FF1155CC"/>
        <u/>
      </rPr>
      <t>https://prnt.sc/NYM6CyvPDjV_</t>
    </r>
    <r>
      <rPr/>
      <t xml:space="preserve">   </t>
    </r>
    <r>
      <rPr>
        <color rgb="FF1155CC"/>
        <u/>
      </rPr>
      <t>https://prnt.sc/uxNg_CyGnj9n</t>
    </r>
    <r>
      <rPr/>
      <t xml:space="preserve">   </t>
    </r>
    <r>
      <rPr>
        <color rgb="FF1155CC"/>
        <u/>
      </rPr>
      <t>https://prnt.sc/SDp3UDOSN-cG</t>
    </r>
    <r>
      <rPr/>
      <t xml:space="preserve">   </t>
    </r>
    <r>
      <rPr>
        <color rgb="FF1155CC"/>
        <u/>
      </rPr>
      <t>https://prnt.sc/WzC4lpXRhlI0</t>
    </r>
    <r>
      <rPr/>
      <t xml:space="preserve">   </t>
    </r>
    <r>
      <rPr>
        <color rgb="FF1155CC"/>
        <u/>
      </rPr>
      <t>https://prnt.sc/4S5GKqhK9Z1_</t>
    </r>
    <r>
      <rPr/>
      <t xml:space="preserve">   </t>
    </r>
    <r>
      <rPr>
        <color rgb="FF1155CC"/>
        <u/>
      </rPr>
      <t>https://prnt.sc/_0gSgeN7Amds</t>
    </r>
    <r>
      <rPr/>
      <t xml:space="preserve">   </t>
    </r>
    <r>
      <rPr>
        <color rgb="FF1155CC"/>
        <u/>
      </rPr>
      <t>https://prnt.sc/s4JeY0ZsWuDm</t>
    </r>
    <r>
      <rPr/>
      <t xml:space="preserve"> </t>
    </r>
  </si>
  <si>
    <t>TC_02</t>
  </si>
  <si>
    <t>Verify whether the system allows customer merge when the original customer is inactive and the duplicate customer is activated while MERGE_CUSTOMER_USING_KAFKA = FALSE, and validate account/document merge behavior.</t>
  </si>
  <si>
    <t>Original Customer (Inactive): 4000003971
Duplicate Customer (Activated): 4000003972</t>
  </si>
  <si>
    <t>Expected business decision needs clarification regarding whether an inactive customer should be allowed as the original/retained customer during merge. If merge is allowed, all accounts, mappings, and uncommon documents of the duplicate customer should be properly transferred to the original customer.</t>
  </si>
  <si>
    <t>System allows merge between inactive original customer and activated duplicate customer. Different/uncommon documents from the activated customer are also merged successfully with the inactive original customer.</t>
  </si>
  <si>
    <t>Org.Customer: 4000004239(Inactive) --Document: passport</t>
  </si>
  <si>
    <t>DD</t>
  </si>
  <si>
    <t>Org.Customer: 4000004234(Active)--&gt;Document:passport</t>
  </si>
  <si>
    <t>DD--&gt; KYC</t>
  </si>
  <si>
    <t>RD--&gt;KYC, Nominee &amp; benefical</t>
  </si>
  <si>
    <t>TC_03</t>
  </si>
  <si>
    <t>FD--&gt; Nominee &amp; Benefical added</t>
  </si>
  <si>
    <t>Verify that when MERGE_CUSTOMER_USING_KAFKA = FALSE, a duplicate minor customer containing guardian information and guardian documents is merged with an active major/original customer, guardian relationship and guardian mappings are handled correctly based on customer type validation.</t>
  </si>
  <si>
    <t>Original/Primary Customer (Major &amp; Active): 4000003968
- No guardian
- No guardian documents
Duplicate Customer (Minor): 4000003974
- Guardian exists
- Guardian documents exist</t>
  </si>
  <si>
    <t>- Duplicate customer should become inactive/archive after merge.
- Since the original customer is a major customer, guardian information should not remain linked with the original customer after merge.
- Guardian relationship should not be transferred to the major customer profile.
- Guardian mapping/reference of duplicate customer should be removed/archive properly.
- Guardian documents should not create invalid mapping with the major customer.
- No broken or orphan guardian reference should remain after merge.</t>
  </si>
  <si>
    <t>RD--&gt;</t>
  </si>
  <si>
    <t>After merge, guardian information and guardian-related references from the duplicate minor customer were not retained under the original major customer, as expected. Duplicate customer reference became inactive after merge. Guardian mapping was not replaced under the major customer profile.</t>
  </si>
  <si>
    <t>TC_04</t>
  </si>
  <si>
    <t>Verify that when MERGE_CUSTOMER_USING_KAFKA = FALSE, an inactive duplicate customer without guardian information is merged with an active/original customer containing guardian information, the existing guardian data remains unchanged without overwrite or duplication.</t>
  </si>
  <si>
    <t>Original/Primary Customer (Active): 4000003987
- Guardian exists
- Minor accounts available under customer
Duplicate Customer (Inactive): 4000004007
- No guardian information
- Major accounts available</t>
  </si>
  <si>
    <t>- Existing guardian information of original customer should remain unchanged after merge.
- No guardian overwrite should occur.
- No duplicate guardian should be created.
- Duplicate customer should become undefined/inactive after merge.
- Duplicate customer accounts should be transferred under original customer.
- Duplicate/common documents should not create duplication.
- Uncommon documents from duplicate customer should merge successfully with original customer.
- Minor account guardian mapping should remain intact without overwrite from major customer data.</t>
  </si>
  <si>
    <t>Merge completed successfully. Existing guardian information under active/original customer remained unchanged. Duplicate customer became undefined/inactive after merge. Accounts from duplicate customer were transferred successfully. No guardian overwrite or duplicate guardian creation observed. Uncommon documents from duplicate customer were merged successfully with the original customer.</t>
  </si>
  <si>
    <t>Scenario: Organization Customer Merge (Original Inactive + Duplicate Active)</t>
  </si>
  <si>
    <t>Original Organization Customer: 4000004239 (Inactive)
Document: Passport
DD Account
RD Account: KYC + Nominee + Beneficial Owner Added
Duplicate Organization Customer: 4000004234 (Active)
Document: Passport
DD Account: KYC Added
FD Account: Nominee + Beneficial Owner Added
RD Account</t>
  </si>
  <si>
    <t xml:space="preserve">### Validation Performed
Verified the Organization Customer Merge process using one inactive organization customer as the original customer and one active organization customer as the duplicate customer.
The following validations were performed after the merge:
* Verified the merge confirmation dialog displayed the merge summary and irreversible action warning before confirming the merge.
* Verified the duplicate organization customer was successfully merged into the original customer.
* Verified all DD, FD, and RD accounts of the duplicate customer were successfully migrated to the original customer.
* Verified common documents were not duplicated, while unique documents were successfully transferred to the original customer.
* Verified document mapping was updated correctly to reference the original organization customer.
* Verified nominee information remained accessible and correctly mapped to the respective accounts after the merge.
* Verified beneficial owner information remained accessible and correctly mapped without impacting other accounts.
* Verified existing KYC information remained accessible after the merge.
* Verified KYC update and save operations worked successfully after the merge.
* Verified no duplicate or conflicting KYC records were created for the same account.
* Verified account-level data integrity was maintained after the merge.
* Verified the duplicate organization customer was removed and the original customer remained the single reference after the merge.
</t>
  </si>
  <si>
    <t>TC_05</t>
  </si>
  <si>
    <t>Verify that when MERGE_CUSTOMER_USING_KAFKA = FALSE, both customers contain guardian information and an active duplicate customer is merged with an inactive original customer, the original customer guardian information is retained according to current merge behavior.</t>
  </si>
  <si>
    <t>Original Customer (Inactive): 4000004029
- Guardian B exists
Duplicate Customer (Active): 4000004028
- Guardian A exists</t>
  </si>
  <si>
    <t>- Original customer should remain after merge.
- Duplicate customer should become inactive/merged.
- Guardian information of original customer should remain unchanged.
- Guardian information of duplicate customer should be removed during merge.
- No duplicate guardian mapping should exist after merge.</t>
  </si>
  <si>
    <t>After merge, guardian information under the original/inactive customer remained unchanged. Guardian information under the duplicate/active customer was removed after merge. No duplicate guardian mapping was observed.</t>
  </si>
  <si>
    <r>
      <rPr>
        <color rgb="FF1155CC"/>
        <u/>
      </rPr>
      <t>https://prnt.sc/whsguaUpf_Nj</t>
    </r>
    <r>
      <rPr>
        <color rgb="FF1F1F1F"/>
      </rPr>
      <t xml:space="preserve"> </t>
    </r>
    <r>
      <rPr>
        <color rgb="FF1155CC"/>
        <u/>
      </rPr>
      <t>https://prnt.sc/Ce32nfMoNody</t>
    </r>
    <r>
      <rPr>
        <color rgb="FF1F1F1F"/>
      </rPr>
      <t xml:space="preserve">   </t>
    </r>
    <r>
      <rPr>
        <color rgb="FF1155CC"/>
        <u/>
      </rPr>
      <t>https://prnt.sc/Wnoz73lHzZx8</t>
    </r>
    <r>
      <rPr/>
      <t xml:space="preserve">   </t>
    </r>
    <r>
      <rPr>
        <color rgb="FF1155CC"/>
        <u/>
      </rPr>
      <t>https://prnt.sc/H9sDxHdiFgAi</t>
    </r>
    <r>
      <rPr/>
      <t xml:space="preserve">   </t>
    </r>
    <r>
      <rPr>
        <color rgb="FF1155CC"/>
        <u/>
      </rPr>
      <t>https://prnt.sc/1WpBTa9Lem2C</t>
    </r>
    <r>
      <rPr/>
      <t xml:space="preserve">  </t>
    </r>
    <r>
      <rPr>
        <color rgb="FF1155CC"/>
        <u/>
      </rPr>
      <t>https://prnt.sc/-Hd3PaPN5YUf</t>
    </r>
    <r>
      <rPr/>
      <t xml:space="preserve">  </t>
    </r>
    <r>
      <rPr>
        <color rgb="FF1155CC"/>
        <u/>
      </rPr>
      <t>https://prnt.sc/kLjejIRV8Pcl</t>
    </r>
    <r>
      <rPr/>
      <t xml:space="preserve">   </t>
    </r>
    <r>
      <rPr>
        <color rgb="FF1155CC"/>
        <u/>
      </rPr>
      <t>https://prnt.sc/ETyGD6Si2ntQ</t>
    </r>
    <r>
      <rPr/>
      <t xml:space="preserve">    </t>
    </r>
    <r>
      <rPr>
        <color rgb="FF1155CC"/>
        <u/>
      </rPr>
      <t>https://prnt.sc/I9LomIVTusId</t>
    </r>
    <r>
      <rPr/>
      <t xml:space="preserve">   </t>
    </r>
    <r>
      <rPr>
        <color rgb="FF1155CC"/>
        <u/>
      </rPr>
      <t>https://prnt.sc/ZLTdyLX7AR7K</t>
    </r>
    <r>
      <rPr/>
      <t xml:space="preserve">  </t>
    </r>
    <r>
      <rPr>
        <color rgb="FF1155CC"/>
        <u/>
      </rPr>
      <t>https://prnt.sc/C8wzWK6rK2gV</t>
    </r>
    <r>
      <rPr/>
      <t xml:space="preserve">   </t>
    </r>
    <r>
      <rPr>
        <color rgb="FF1155CC"/>
        <u/>
      </rPr>
      <t>https://prnt.sc/0_Lik-_LkBwq</t>
    </r>
    <r>
      <rPr/>
      <t xml:space="preserve">   </t>
    </r>
    <r>
      <rPr>
        <color rgb="FF1155CC"/>
        <u/>
      </rPr>
      <t>https://prnt.sc/fwSX96On0eVU</t>
    </r>
    <r>
      <rPr/>
      <t xml:space="preserve">  </t>
    </r>
    <r>
      <rPr>
        <color rgb="FF1155CC"/>
        <u/>
      </rPr>
      <t>https://prnt.sc/kUFaSBFRnMQj</t>
    </r>
    <r>
      <rPr/>
      <t xml:space="preserve">   </t>
    </r>
    <r>
      <rPr>
        <color rgb="FF1155CC"/>
        <u/>
      </rPr>
      <t>https://prnt.sc/WotvZBEldoHf</t>
    </r>
    <r>
      <rPr/>
      <t xml:space="preserve">   </t>
    </r>
    <r>
      <rPr>
        <color rgb="FF1155CC"/>
        <u/>
      </rPr>
      <t>https://prnt.sc/GK_JFXtMzYfv</t>
    </r>
    <r>
      <rPr/>
      <t xml:space="preserve">   </t>
    </r>
    <r>
      <rPr>
        <color rgb="FF1155CC"/>
        <u/>
      </rPr>
      <t>https://prnt.sc/YytcmDqrujib</t>
    </r>
    <r>
      <rPr/>
      <t xml:space="preserve">  </t>
    </r>
    <r>
      <rPr>
        <color rgb="FF1155CC"/>
        <u/>
      </rPr>
      <t>https://prnt.sc/Xrdb0J4kKCA8</t>
    </r>
    <r>
      <rPr/>
      <t xml:space="preserve">  </t>
    </r>
    <r>
      <rPr>
        <color rgb="FF1155CC"/>
        <u/>
      </rPr>
      <t>https://prnt.sc/QwcCefiHdz19</t>
    </r>
    <r>
      <rPr/>
      <t xml:space="preserve">  </t>
    </r>
    <r>
      <rPr>
        <color rgb="FF1155CC"/>
        <u/>
      </rPr>
      <t>https://prnt.sc/Kf0Ti8POinRi</t>
    </r>
    <r>
      <rPr/>
      <t xml:space="preserve">  </t>
    </r>
    <r>
      <rPr>
        <color rgb="FF1155CC"/>
        <u/>
      </rPr>
      <t>https://prnt.sc/Ymky2-WHpkvf</t>
    </r>
    <r>
      <rPr/>
      <t xml:space="preserve">  </t>
    </r>
    <r>
      <rPr>
        <color rgb="FF1155CC"/>
        <u/>
      </rPr>
      <t>https://prnt.sc/o4aizsVn0Ks6</t>
    </r>
  </si>
  <si>
    <t>TC_06</t>
  </si>
  <si>
    <t>Verify audit/change history accessibility for inactive installment accounts after customer merge.</t>
  </si>
  <si>
    <t>Audit/change history should remain visible and accessible for inactive installment accounts after merge.</t>
  </si>
  <si>
    <t>Audit/change history is not visible or accessible for inactive installment accounts.</t>
  </si>
  <si>
    <t xml:space="preserve">Only customers of the same type can be merged </t>
  </si>
  <si>
    <r>
      <rPr>
        <color rgb="FF1155CC"/>
        <u/>
      </rPr>
      <t>https://prnt.sc/vpqZZh44aAQA</t>
    </r>
    <r>
      <rPr/>
      <t xml:space="preserve">   </t>
    </r>
    <r>
      <rPr>
        <color rgb="FF1155CC"/>
        <u/>
      </rPr>
      <t>https://prnt.sc/gVo886incbP9</t>
    </r>
    <r>
      <rPr/>
      <t xml:space="preserve">    </t>
    </r>
    <r>
      <rPr>
        <color rgb="FF1155CC"/>
        <u/>
      </rPr>
      <t>https://prnt.sc/ChsZKEvxG51X</t>
    </r>
    <r>
      <rPr/>
      <t xml:space="preserve">    </t>
    </r>
    <r>
      <rPr>
        <color rgb="FF1155CC"/>
        <u/>
      </rPr>
      <t>https://prnt.sc/4gq2LyBEzHah</t>
    </r>
    <r>
      <rPr/>
      <t xml:space="preserve">   </t>
    </r>
    <r>
      <rPr>
        <color rgb="FF1155CC"/>
        <u/>
      </rPr>
      <t>https://prnt.sc/a2h-McuZ_mV8</t>
    </r>
    <r>
      <rPr/>
      <t xml:space="preserve"> </t>
    </r>
  </si>
  <si>
    <r>
      <rPr>
        <rFont val="Arial"/>
      </rPr>
      <t xml:space="preserve">Discussed with Sayed Bhai. The observation has been noted for future consideration and is not considered a blocker at this stage.    </t>
    </r>
    <r>
      <rPr>
        <rFont val="Arial"/>
        <color rgb="FF1155CC"/>
        <u/>
      </rPr>
      <t>https://prnt.sc/csenrQw9-lBk</t>
    </r>
    <r>
      <rPr>
        <rFont val="Arial"/>
      </rPr>
      <t xml:space="preserve"> </t>
    </r>
    <r>
      <rPr>
        <rFont val="Arial"/>
        <color rgb="FF1155CC"/>
        <u/>
      </rPr>
      <t>https://prnt.sc/gkUUfjqkLHFr</t>
    </r>
    <r>
      <rPr>
        <rFont val="Arial"/>
      </rPr>
      <t xml:space="preserve">     </t>
    </r>
    <r>
      <rPr>
        <rFont val="Arial"/>
        <color rgb="FF1155CC"/>
        <u/>
      </rPr>
      <t>https://prnt.sc/KQsrRxmFTJvr</t>
    </r>
    <r>
      <rPr>
        <rFont val="Arial"/>
      </rPr>
      <t xml:space="preserve">  </t>
    </r>
    <r>
      <rPr>
        <rFont val="Arial"/>
        <color rgb="FF1155CC"/>
        <u/>
      </rPr>
      <t>https://prnt.sc/0ew4czKtS1Oc</t>
    </r>
    <r>
      <rPr>
        <rFont val="Arial"/>
      </rPr>
      <t xml:space="preserve">   when kafka=Y </t>
    </r>
    <r>
      <rPr>
        <rFont val="Arial"/>
        <color rgb="FF1155CC"/>
        <u/>
      </rPr>
      <t>https://prnt.sc/oN1egq6JuIHR</t>
    </r>
    <r>
      <rPr>
        <rFont val="Arial"/>
      </rPr>
      <t xml:space="preserve"> </t>
    </r>
  </si>
  <si>
    <t>TC_07</t>
  </si>
  <si>
    <t>Verify that when MERGE_CUSTOMER_USING_KAFKA = FALSE, nominee and beneficial owner information added under active/original customer accounts are not impacted after merging a duplicate customer without nominee and beneficial owner information.</t>
  </si>
  <si>
    <t>Original/Active Customer: 4000003968
- FD Account: 1976000000350 → Nominee added
- DD Account: 1120000000763 → Beneficial Owner added
Duplicate Customer: 4000004047
- No nominee
- No beneficial owner</t>
  </si>
  <si>
    <t>- Merge should complete successfully.
- Existing nominee information under original customer accounts should remain unchanged.
- Existing beneficial owner information under original customer accounts should remain unchanged.
- No impact should occur on other customer accounts after merge.
- Duplicate customer accounts should merge successfully with original customer.
- After merge, beneficial owner should still be addable/editable for transferred accounts if required.</t>
  </si>
  <si>
    <t>Merge completed successfully without impacting nominee or beneficial owner information under the original customer accounts. Other accounts were not affected after merge. Duplicate customer accounts were transferred successfully, and beneficial owner information could still be added after merge.</t>
  </si>
  <si>
    <t xml:space="preserve"> 4000003698 nid
4000002388 Tax
4000002889 passport
</t>
  </si>
  <si>
    <t>TC_08</t>
  </si>
  <si>
    <t>Verify that when MERGE_CUSTOMER_USING_KAFKA = FALSE, nominee and beneficial owner information from a duplicate active customer are transferred correctly after merge with another active/original customer having no nominee or beneficial owner information.</t>
  </si>
  <si>
    <t>Original Customer (Active): 4000004029
- No nominee
- No beneficial owner
Duplicate Customer (Active): 4000003968
- DD Accounts with Beneficial Owner: 6
- FD Accounts with Nominee: 4
- RD Accounts with Nominee: 4</t>
  </si>
  <si>
    <t>- Merge should complete successfully between both active customers.
- Duplicate customer accounts should transfer successfully under original customer.
- Beneficial owner information from duplicate customer accounts should remain accessible after merge.
- Nominee information from duplicate customer accounts should remain accessible after merge.
- Nominee and beneficial owner information should not affect unrelated accounts.
- Common/duplicate documents should not be duplicated after merge.
- Uncommon documents from duplicate customer should merge successfully with original customer.</t>
  </si>
  <si>
    <t>Both active customers merged successfully. Duplicate customer accounts were transferred under the original customer successfully. Beneficial owner and nominee information remained accessible after merge and did not impact unrelated accounts. Common documents were not duplicated, and uncommon documents from the duplicate customer were merged successfully with the original customer.</t>
  </si>
  <si>
    <t>TC_09</t>
  </si>
  <si>
    <t>Verify that when MERGE_CUSTOMER_USING_KAFKA = FALSE, KYC information from a duplicate/inactive customer is handled correctly after merge with an active/original customer having no KYC information.</t>
  </si>
  <si>
    <t>Customer A (Active/Primary): 4000004067
- No KYC
- Financial info available (Monthly Income &amp; Occupation)
- Accounts: DD(2), FD(1), SSP(2)
- Document: NID
Customer B (Inactive/Duplicate): 4000004068
- KYC exists under DD(1) &amp; SSP(2)
- Financial info available (Monthly Income &amp; Occupation)</t>
  </si>
  <si>
    <t>- KYC should be transferred/regenerated properly under original customer after merge.
- Old duplicate customer reference should be removed.
- System should handle KYC mapping correctly after customer replacement.
- Proper validation message should appear if occupation or monthly income information is missing before KYC creation.
- No duplicate KYC record should exist for the same account after merge.</t>
  </si>
  <si>
    <t>After merge, previously added KYC under duplicate customer accounts became inaccessible/deleted. When KYC was added again for the same account, the addition completed successfully. However, after clicking the KYC option again, the following error was displayed:
query did not return a unique result: 2; nested exception is javax.persistence.NonUniqueResultException: query did not return a unique result: 2
This indicates duplicate KYC mapping exists for the same account after customer merge. Proper validation messages were shown when occupation or monthly income information was missing.</t>
  </si>
  <si>
    <r>
      <rPr>
        <rFont val="Arial"/>
        <color rgb="FF1155CC"/>
        <u/>
      </rPr>
      <t>https://prnt.sc/CRBCjY4A0odn</t>
    </r>
    <r>
      <rPr>
        <rFont val="Arial"/>
        <color rgb="FF1F1F1F"/>
      </rPr>
      <t xml:space="preserve">  </t>
    </r>
    <r>
      <rPr>
        <rFont val="Arial"/>
        <color rgb="FF1155CC"/>
        <u/>
      </rPr>
      <t>https://prnt.sc/upRHXFxP3cRm</t>
    </r>
    <r>
      <rPr>
        <rFont val="Arial"/>
        <color rgb="FF1F1F1F"/>
      </rPr>
      <t xml:space="preserve">   </t>
    </r>
    <r>
      <rPr>
        <rFont val="Arial"/>
        <color rgb="FF1155CC"/>
        <u/>
      </rPr>
      <t>https://prnt.sc/-oaRzZNhE2Oh</t>
    </r>
    <r>
      <rPr>
        <rFont val="Arial"/>
      </rPr>
      <t xml:space="preserve">        3.  For the account under the duplicate customer where KYC was previously added, the System Generated Overall Risk Score is not displayed in KYC details after customer merge. However, when the KYC is opened in edit mode, the System Generated Overall Risk Score becomes visible. After modifying any field (such as Address Verification Method or Average Yearly Transaction Worth) and saving the KYC again, the following error is shown: Error! KYC risk score configuration not found.  </t>
    </r>
    <r>
      <rPr>
        <rFont val="Arial"/>
        <color rgb="FF1155CC"/>
        <u/>
      </rPr>
      <t>https://prnt.sc/gLRsJPheByUE</t>
    </r>
    <r>
      <rPr>
        <rFont val="Arial"/>
      </rPr>
      <t xml:space="preserve">  </t>
    </r>
    <r>
      <rPr>
        <rFont val="Arial"/>
        <color rgb="FF1155CC"/>
        <u/>
      </rPr>
      <t>https://prnt.sc/BF1EVcZIwYSb</t>
    </r>
    <r>
      <rPr>
        <rFont val="Arial"/>
      </rPr>
      <t xml:space="preserve">   </t>
    </r>
    <r>
      <rPr>
        <rFont val="Arial"/>
        <color rgb="FF1155CC"/>
        <u/>
      </rPr>
      <t>https://prnt.sc/3E4LLefsn07M</t>
    </r>
    <r>
      <rPr>
        <rFont val="Arial"/>
      </rPr>
      <t xml:space="preserve"> </t>
    </r>
    <r>
      <rPr>
        <rFont val="Arial"/>
        <color rgb="FF1155CC"/>
        <u/>
      </rPr>
      <t>https://prnt.sc/LAzHGTdVeCWt</t>
    </r>
    <r>
      <rPr>
        <rFont val="Arial"/>
      </rPr>
      <t xml:space="preserve">  </t>
    </r>
    <r>
      <rPr>
        <rFont val="Arial"/>
        <color rgb="FF1155CC"/>
        <u/>
      </rPr>
      <t>https://prnt.sc/eb0Jd60KinIc</t>
    </r>
    <r>
      <rPr>
        <rFont val="Arial"/>
      </rPr>
      <t xml:space="preserve">  </t>
    </r>
    <r>
      <rPr>
        <rFont val="Arial"/>
        <color rgb="FF1155CC"/>
        <u/>
      </rPr>
      <t>https://prnt.sc/SeOBBAt-AY_b</t>
    </r>
    <r>
      <rPr>
        <rFont val="Arial"/>
      </rPr>
      <t xml:space="preserve"> </t>
    </r>
  </si>
  <si>
    <t>TC_10</t>
  </si>
  <si>
    <t>Verify that when MERGE_CUSTOMER_USING_KAFKA = FALSE, the system properly handles customer merge where both active customers already contain KYC information.</t>
  </si>
  <si>
    <t>Customer A (Activated): 4000004087
- DD Account KYC exists
- FD Account KYC exists
Customer B (Activated): 4000004088
- DD Account KYC exists
- FD Account KYC exists</t>
  </si>
  <si>
    <t>- System should handle duplicate KYC properly during merge.
- Valid/latest KYC information should remain accessible after merge.
- No duplicate/conflicting KYC should exist for merged accounts.
- Duplicate customer accounts should transfer successfully under original customer.
- Account customer reference should update with original customer ID.
- Audit/change history should also reflect updated/original customer ID correctly.</t>
  </si>
  <si>
    <t>After customer merge, duplicate customer accounts were successfully transferred under the original customer. Existing KYC information remained accessible and no duplicate/conflicting KYC issue was observed. However, although the account customer ID was updated with the original customer ID, the audit/change history still displayed the old duplicate customer ID instead of the updated/original customer ID.</t>
  </si>
  <si>
    <t>Discussed with Sayed Bhai. The observation has been noted for future consideration and is not considered a blocker at this stage.</t>
  </si>
  <si>
    <t>TC_11</t>
  </si>
  <si>
    <t>Verify that when MERGE_CUSTOMER_USING_KAFKA = FALSE, an active customer having KYC information is merged with an inactive customer having no KYC information, no duplicate KYC is generated and KYC functionality remains operational after merge.</t>
  </si>
  <si>
    <t>Customer A (Activated): 4000004107
- KYC exists under DD(1), FD(1), SSP(2)
Customer B (Inactive): 4000004127
- No KYC
- DD(1), FD(1)
- Additional documents available</t>
  </si>
  <si>
    <t>- Existing KYC under original customer accounts should remain unchanged after merge.
- No duplicate KYC should be generated.
- Duplicate customer accounts should transfer successfully under original customer.
- Since duplicate customer had no KYC, KYC creation/update should work successfully for transferred accounts after merge.
- Unique/uncommon documents from duplicate customer should merge successfully with original customer.
- No dependency issue should occur for deleted customer accounts after merge.</t>
  </si>
  <si>
    <t>Merge completed successfully. Existing KYC remained unchanged and no duplicate KYC was generated. Duplicate customer accounts were transferred successfully under the original customer. KYC creation and update functionality worked properly for transferred accounts after merge. Unique documents from the duplicate customer were merged successfully with the original customer. No dependency issue was observed for deleted customer accounts.</t>
  </si>
  <si>
    <t>TC_12</t>
  </si>
  <si>
    <t>Verify that when MERGE_CUSTOMER_USING_KAFKA = FALSE, KYC, guardian information, guardian documents, and account mappings are handled correctly during merge between two activated customers.</t>
  </si>
  <si>
    <t>Customer A (Original/Primary): 4000004167 (Activated)
- No Guardian
- No KYC
- DD(1), FD(1), RD(1)
Customer B (Duplicate): 4000004128 (Activated)
- Guardian exists
- Guardian documents exist
- DD(1) KYC
- FD(2) KYC
- RD(1) KYC</t>
  </si>
  <si>
    <t>- All duplicate customer accounts should move under original customer after merge.
- Existing KYC records from duplicate customer should remain accessible after merge.
- No duplicate/conflicting KYC record should exist for the same account.
- System Generated Overall Risk Score should display properly in KYC details.
- KYC update/save functionality should work successfully after merge.
- Guardian documents should remain accessible after merge.
- Common documents should not create unnecessary duplication.
- Document mappings should point to the original customer after merge.</t>
  </si>
  <si>
    <t>Merge completed successfully. All accounts from the duplicate customer were updated under the original customer. Existing KYC remained accessible after merge and no duplicate KYC record was observed. System Generated Overall Risk Score displayed properly in KYC details, and KYC update/save functionality worked successfully. Guardian documents remained accessible after merge. Common documents were not duplicated unnecessarily, and document mappings pointed correctly to the original customer.</t>
  </si>
  <si>
    <t>Joint Customer</t>
  </si>
  <si>
    <t>TC_13</t>
  </si>
  <si>
    <t>Verify that when MERGE_CUSTOMER_USING_KAFKA = FALSE, an inactive joint customer containing nominee, beneficial owner, KYC, and account information is merged successfully with an active/original joint customer, and all customer mappings, account mappings, KYC, nominee, beneficial owner, document handling, and audit history remain consistent after merge.</t>
  </si>
  <si>
    <t>Original/Primary Joint Customer (Activated): Customer ID: 4000004187
Applicants:
- First Applicant (Individual ID: 300800492) → Smart NID
- Second Applicant (Individual ID: 300800493) → Passport
Accounts:
- DD: 2
- FD: 1
- RD: 2
Duplicate/Inactive Joint Customer: Customer ID: 4000004188
Applicant:
- First Applicant (Individual ID: 300800495) → NID
Accounts &amp; Features:
- DD(1) → Nominee added
- FD(1) → Beneficial Owner added
- KYC added
- RD(1) → Closed</t>
  </si>
  <si>
    <t>- All accounts from duplicate/inactive customer should move successfully under the original/active customer. and applicant should not merge as it original customer 
- Nominee information should remain accessible after merge.
- Nominee mapping should update correctly under original customer.
- No nominee duplication should occur.
- Beneficial owner information should remain accessible after merge.
- Other accounts should not be impacted.
- Beneficial owner update/save functionality should work successfully after merge.
- Duplicate/common documents should not create duplicate entries after merge.
- Uncommon documents from duplicate customer should not merge successfully with original customer.
- Applicant documents should remain accessible after merge.
- Document mapping should point correctly to the original customer.
- KYC should remain accessible after merge.
- System Generated Overall Risk Score should display properly in KYC details.
- No duplicate/conflicting KYC should exist after merge.
- Customer ID replacement should reflect properly in audit/change history.
- Old duplicate customer ID should not remain in audit/change history.
- old duplicate customer ID should not visible in accounts audit/change history sections after merge.</t>
  </si>
  <si>
    <t>Merge completed successfully. All accounts from the inactive joint customer were transferred successfully under the active/original customer and applicant is not merge with original customer. Nominee, beneficial owner, and KYC information remained accessible after merge without duplication or conflicting mapping. KYC System Generated Overall Risk Score displayed properly. Duplicate/common documents were not duplicated, while uncommon documents not merged with the original customer. Applicant documents remained accessible and document is not mappings original customer. Merged account audit history remained accessible, including inactive DD/FD/RD account audit history. However, old duplicate customer ID was still visible in accounts audit/change history sections after merge.</t>
  </si>
  <si>
    <r>
      <rPr>
        <rFont val="Arial"/>
        <color rgb="FF1155CC"/>
        <u/>
      </rPr>
      <t>https://prnt.sc/1evmnyxT-WDH</t>
    </r>
    <r>
      <rPr>
        <rFont val="Arial"/>
        <color rgb="FF1F1F1F"/>
      </rPr>
      <t xml:space="preserve">  </t>
    </r>
    <r>
      <rPr>
        <rFont val="Arial"/>
        <color rgb="FF1155CC"/>
        <u/>
      </rPr>
      <t>https://prnt.sc/bIaHHnRHpYwY</t>
    </r>
    <r>
      <rPr>
        <rFont val="Arial"/>
      </rPr>
      <t xml:space="preserve">   </t>
    </r>
    <r>
      <rPr>
        <rFont val="Arial"/>
        <color rgb="FF1155CC"/>
        <u/>
      </rPr>
      <t>https://prnt.sc/p3HOGLXMR_hU</t>
    </r>
    <r>
      <rPr>
        <rFont val="Arial"/>
      </rPr>
      <t xml:space="preserve"> </t>
    </r>
    <r>
      <rPr>
        <rFont val="Arial"/>
        <color rgb="FF1155CC"/>
        <u/>
      </rPr>
      <t>https://prnt.sc/xHL5JeBFM5FI</t>
    </r>
    <r>
      <rPr>
        <rFont val="Arial"/>
      </rPr>
      <t xml:space="preserve">  </t>
    </r>
    <r>
      <rPr>
        <rFont val="Arial"/>
        <color rgb="FF1155CC"/>
        <u/>
      </rPr>
      <t>https://prnt.sc/hDE0J1i6YEpZ</t>
    </r>
    <r>
      <rPr>
        <rFont val="Arial"/>
      </rPr>
      <t xml:space="preserve"> </t>
    </r>
    <r>
      <rPr>
        <rFont val="Arial"/>
        <color rgb="FF1155CC"/>
        <u/>
      </rPr>
      <t>https://prnt.sc/0wfoREnPBfNO</t>
    </r>
    <r>
      <rPr>
        <rFont val="Arial"/>
      </rPr>
      <t xml:space="preserve">  </t>
    </r>
    <r>
      <rPr>
        <rFont val="Arial"/>
        <color rgb="FF1155CC"/>
        <u/>
      </rPr>
      <t>https://prnt.sc/Lyj414na_c0Z</t>
    </r>
    <r>
      <rPr>
        <rFont val="Arial"/>
      </rPr>
      <t xml:space="preserve"> </t>
    </r>
    <r>
      <rPr>
        <rFont val="Arial"/>
        <color rgb="FF1155CC"/>
        <u/>
      </rPr>
      <t>https://prnt.sc/zMqOIEhJuHCm</t>
    </r>
    <r>
      <rPr>
        <rFont val="Arial"/>
      </rPr>
      <t xml:space="preserve">  </t>
    </r>
    <r>
      <rPr>
        <rFont val="Arial"/>
        <color rgb="FF1155CC"/>
        <u/>
      </rPr>
      <t>https://prnt.sc/_4QpOlf--ZGR</t>
    </r>
    <r>
      <rPr>
        <rFont val="Arial"/>
      </rPr>
      <t xml:space="preserve">  </t>
    </r>
    <r>
      <rPr>
        <rFont val="Arial"/>
        <color rgb="FF1155CC"/>
        <u/>
      </rPr>
      <t>https://prnt.sc/fUAxLUJ3jxx3</t>
    </r>
    <r>
      <rPr>
        <rFont val="Arial"/>
      </rPr>
      <t xml:space="preserve">  </t>
    </r>
    <r>
      <rPr>
        <rFont val="Arial"/>
        <color rgb="FF1155CC"/>
        <u/>
      </rPr>
      <t>https://prnt.sc/zBmhtJwQEu9v</t>
    </r>
    <r>
      <rPr>
        <rFont val="Arial"/>
      </rPr>
      <t xml:space="preserve"> </t>
    </r>
  </si>
  <si>
    <t>TC_14</t>
  </si>
  <si>
    <t>Verify that when MERGE_CUSTOMER_USING_KAFKA = FALSE, an active duplicate joint customer containing nominee, beneficial owner, KYC, and account information is merged with an inactive/original joint customer containing applicant documents, all mappings and account-related information are handled correctly after merge.</t>
  </si>
  <si>
    <t>Original Customer (Inactive): Customer ID: 4000004190
Applicants:
• First Applicant (Individual ID: 300800497) → NID &amp; Smart Card
• Second Applicant (Individual ID: 300800498) → Smart NID
Accounts: DD(1), FD(2), RD(1)
Duplicate Customer (Active): Customer ID: 4000004191 
Accounts: document-&gt;1st applicant doc-&gt; passport &amp; NID and 2nd applicant doc-&gt; smart NID
• DD(1) → Nominee Added
• DD(1) → Nominee + KYC Added
• FD(1) → Nominee 
• RD(1) → KYC Added
• RD(1) → Closed
Merge Performed: Active customer merged into inactive/original customer</t>
  </si>
  <si>
    <t xml:space="preserve">• System should follow proper business validation for merging active customer into inactive/original customer.
• All DD/FD/RD accounts of duplicate customer should move successfully under original customer.
• Nominee information should remain accessible after merge.
• KYC information should remain accessible and editable after merge.
• No duplicate/conflicting KYC should be generated.
• System Generated Overall Risk Score should display properly in KYC details.
• Beneficiary/Nominee mapping should update/deleted correctly after merge.
• Duplicate/common documents should not create duplication.
• Uncommon documents should merge successfully with original customer.
• Applicant documents should remain accessible after merge.
• Document mapping should point to original customer.
• Audit/change history should remain accessible for merged accounts.
• Customer ID replacement should reflect properly in audit/change history.
• Old duplicate customer ID should not remain in account audit history.
• Inactive/closed account audit history should remain visible after merge. </t>
  </si>
  <si>
    <t>• Active customer was successfully merged into inactive/original customer.
• All accounts from duplicate customer moved successfully under original customer.
• Nominee and KYC information remained accessible after merge.
• KYC update/save worked successfully after merge.
• No duplicate/conflicting KYC was found.
• Common documents were not duplicated and unique documents not merged as business rules.
• Benefical create/update/deteted sucessfully</t>
  </si>
  <si>
    <r>
      <rPr>
        <rFont val="Arial"/>
        <color rgb="FF1155CC"/>
        <u/>
      </rPr>
      <t>https://prnt.sc/R-se0jH2PAZS</t>
    </r>
    <r>
      <rPr>
        <rFont val="Arial"/>
      </rPr>
      <t xml:space="preserve">  </t>
    </r>
    <r>
      <rPr>
        <rFont val="Arial"/>
        <color rgb="FF1155CC"/>
        <u/>
      </rPr>
      <t>https://prnt.sc/DWR9HRT5rQFw</t>
    </r>
    <r>
      <rPr>
        <rFont val="Arial"/>
      </rPr>
      <t xml:space="preserve">  </t>
    </r>
    <r>
      <rPr>
        <rFont val="Arial"/>
        <color rgb="FF1155CC"/>
        <u/>
      </rPr>
      <t>https://prnt.sc/5vFA19rLF74B</t>
    </r>
    <r>
      <rPr>
        <rFont val="Arial"/>
      </rPr>
      <t xml:space="preserve">  </t>
    </r>
    <r>
      <rPr>
        <rFont val="Arial"/>
        <color rgb="FF1155CC"/>
        <u/>
      </rPr>
      <t>https://prnt.sc/tP3UKp6fDo0O</t>
    </r>
    <r>
      <rPr>
        <rFont val="Arial"/>
      </rPr>
      <t xml:space="preserve">  </t>
    </r>
    <r>
      <rPr>
        <rFont val="Arial"/>
        <color rgb="FF1155CC"/>
        <u/>
      </rPr>
      <t>https://prnt.sc/Fp5S1_XvW0a1</t>
    </r>
    <r>
      <rPr>
        <rFont val="Arial"/>
      </rPr>
      <t xml:space="preserve">  </t>
    </r>
    <r>
      <rPr>
        <rFont val="Arial"/>
        <color rgb="FF1155CC"/>
        <u/>
      </rPr>
      <t>https://prnt.sc/DGoNDhJpZ1p_</t>
    </r>
    <r>
      <rPr>
        <rFont val="Arial"/>
      </rPr>
      <t xml:space="preserve">  </t>
    </r>
    <r>
      <rPr>
        <rFont val="Arial"/>
        <color rgb="FF1155CC"/>
        <u/>
      </rPr>
      <t>https://prnt.sc/MWsDslLRsc5k</t>
    </r>
    <r>
      <rPr>
        <rFont val="Arial"/>
      </rPr>
      <t xml:space="preserve">  </t>
    </r>
    <r>
      <rPr>
        <rFont val="Arial"/>
        <color rgb="FF1155CC"/>
        <u/>
      </rPr>
      <t>https://prnt.sc/ULddgqGRhw_1</t>
    </r>
    <r>
      <rPr>
        <rFont val="Arial"/>
      </rPr>
      <t xml:space="preserve">   </t>
    </r>
    <r>
      <rPr>
        <rFont val="Arial"/>
        <color rgb="FF1155CC"/>
        <u/>
      </rPr>
      <t>https://prnt.sc/O84oUdHavdjQ</t>
    </r>
    <r>
      <rPr>
        <rFont val="Arial"/>
      </rPr>
      <t xml:space="preserve">  </t>
    </r>
    <r>
      <rPr>
        <rFont val="Arial"/>
        <color rgb="FF1155CC"/>
        <u/>
      </rPr>
      <t>https://prnt.sc/HJKPWWJuZndp</t>
    </r>
    <r>
      <rPr>
        <rFont val="Arial"/>
      </rPr>
      <t xml:space="preserve">  </t>
    </r>
    <r>
      <rPr>
        <rFont val="Arial"/>
        <color rgb="FF1155CC"/>
        <u/>
      </rPr>
      <t>https://prnt.sc/rh7ME6qAosrV</t>
    </r>
    <r>
      <rPr>
        <rFont val="Arial"/>
      </rPr>
      <t xml:space="preserve">  </t>
    </r>
    <r>
      <rPr>
        <rFont val="Arial"/>
        <color rgb="FF1155CC"/>
        <u/>
      </rPr>
      <t>https://prnt.sc/vQtI4gC9cnbC</t>
    </r>
    <r>
      <rPr>
        <rFont val="Arial"/>
      </rPr>
      <t xml:space="preserve">    </t>
    </r>
    <r>
      <rPr>
        <rFont val="Arial"/>
        <color rgb="FF1155CC"/>
        <u/>
      </rPr>
      <t>https://prnt.sc/ZXFWXRik9ROD</t>
    </r>
    <r>
      <rPr>
        <rFont val="Arial"/>
      </rPr>
      <t xml:space="preserve">  </t>
    </r>
    <r>
      <rPr>
        <rFont val="Arial"/>
        <color rgb="FF1155CC"/>
        <u/>
      </rPr>
      <t>https://prnt.sc/i9g9Z6h7CDzS</t>
    </r>
    <r>
      <rPr>
        <rFont val="Arial"/>
      </rPr>
      <t xml:space="preserve">  </t>
    </r>
    <r>
      <rPr>
        <rFont val="Arial"/>
        <color rgb="FF1155CC"/>
        <u/>
      </rPr>
      <t>https://prnt.sc/naUV-H2K-XP1</t>
    </r>
    <r>
      <rPr>
        <rFont val="Arial"/>
      </rPr>
      <t xml:space="preserve">   </t>
    </r>
    <r>
      <rPr>
        <rFont val="Arial"/>
        <color rgb="FF1155CC"/>
        <u/>
      </rPr>
      <t>https://prnt.sc/GV3BGOIwP6xH</t>
    </r>
    <r>
      <rPr>
        <rFont val="Arial"/>
      </rPr>
      <t xml:space="preserve">  </t>
    </r>
    <r>
      <rPr>
        <rFont val="Arial"/>
        <color rgb="FF1155CC"/>
        <u/>
      </rPr>
      <t>https://prnt.sc/aC-2Ep_aPbSv</t>
    </r>
    <r>
      <rPr>
        <rFont val="Arial"/>
      </rPr>
      <t xml:space="preserve">   </t>
    </r>
    <r>
      <rPr>
        <rFont val="Arial"/>
        <color rgb="FF1155CC"/>
        <u/>
      </rPr>
      <t>https://prnt.sc/vA-_5TYW32c3</t>
    </r>
    <r>
      <rPr>
        <rFont val="Arial"/>
      </rPr>
      <t xml:space="preserve">   </t>
    </r>
    <r>
      <rPr>
        <rFont val="Arial"/>
        <color rgb="FF1155CC"/>
        <u/>
      </rPr>
      <t>https://prnt.sc/OZwQTKRN0kNA</t>
    </r>
    <r>
      <rPr>
        <rFont val="Arial"/>
      </rPr>
      <t xml:space="preserve">  </t>
    </r>
    <r>
      <rPr>
        <rFont val="Arial"/>
        <color rgb="FF1155CC"/>
        <u/>
      </rPr>
      <t>https://prnt.sc/cH1eFlOujDg5</t>
    </r>
    <r>
      <rPr>
        <rFont val="Arial"/>
      </rPr>
      <t xml:space="preserve">  </t>
    </r>
    <r>
      <rPr>
        <rFont val="Arial"/>
        <color rgb="FF1155CC"/>
        <u/>
      </rPr>
      <t>https://prnt.sc/XX8Z5zB0F4iu</t>
    </r>
    <r>
      <rPr>
        <rFont val="Arial"/>
      </rPr>
      <t xml:space="preserve"> </t>
    </r>
    <r>
      <rPr>
        <rFont val="Arial"/>
        <color rgb="FF1155CC"/>
        <u/>
      </rPr>
      <t>https://prnt.sc/D2iEktSRskmP</t>
    </r>
    <r>
      <rPr>
        <rFont val="Arial"/>
      </rPr>
      <t xml:space="preserve">  </t>
    </r>
    <r>
      <rPr>
        <rFont val="Arial"/>
        <color rgb="FF1155CC"/>
        <u/>
      </rPr>
      <t>https://prnt.sc/Eqs2FF3jJchI</t>
    </r>
    <r>
      <rPr>
        <rFont val="Arial"/>
      </rPr>
      <t xml:space="preserve"> </t>
    </r>
  </si>
  <si>
    <t>TC_15</t>
  </si>
  <si>
    <t>Verify that when both joint customers are active and MERGE_CUSTOMER_USING_KAFKA = FALSE, all accounts, applicant information, nominee, beneficial owner, documents, KYC, and audit mappings are handled correctly after merge.</t>
  </si>
  <si>
    <t>Customer A (Original/Primary - Activated): Customer ID: 4000004208
Applicants:
• First Applicant (Individual ID: 300800515) → Passport
• Second Applicant (Individual ID: 300800516) → Smart NID
Accounts:
• DD(1) → Nominee Added
• FD(1) → Beneficial Owner + KYC Added
• RD(1) → KYC Added
Customer B (Duplicate - Activated): Customer ID: 4000004207
Applicants:
• First Applicant (Individual ID: 300800512) → Smart NID
• Second Applicant (Individual ID: 300800513) → NID, Smart Card
• Third Applicant (Individual ID: 300800514) → Passport
Accounts:
• DD(2) → Nominee &amp; Beneficial Owner Added in Active Account
• FD(1) → Closed
• RD(1) → KYC Added
Merge Performed: Customer B merged into Customer A</t>
  </si>
  <si>
    <t>• All DD/FD/RD accounts from duplicate customer should move successfully under original customer.
• Existing nominee information should remain accessible after merge.
• Beneficial owner information should remain accessible and editable after merge.
• KYC information should remain accessible after merge.
• KYC update/save should work successfully after merge.
• No duplicate/conflicting KYC records should be generated for the same account.
• System Generated Overall Risk Score should display properly in KYC details.
• Closed FD account audit/history should remain accessible after merge.
• Duplicate/common applicant documents should not create unnecessary duplication.
• Unique/uncommon documents should not merge successfully with original customer.
• Applicant document mapping should not point to the original customer after merge.
• Nominee and beneficial owner mappings should update correctly after merge.
• Other accounts should not be impacted due to nominee/beneficial owner mapping.
• Audit/change history should remain accessible for all merged accounts.
• Customer ID replacement should reflect properly in account information and audit history.
• Old duplicate customer ID should not remain in merged account mappings/history.</t>
  </si>
  <si>
    <t xml:space="preserve">• Both active joint customers merged successfully. 
• All DD/FD/RD accounts from duplicate customer moved successfully under original customer.
• Nominee, beneficial owner, and KYC information remained accessible after merge.
• KYC update/save worked successfully after merge without duplicate/conflicting KYC creation.
• System Generated Overall Risk Score displayed properly in KYC details.
• Duplicate documents were not created and also uncommon documents.
• Applicant documents remained accessible after merge. 
• Nominee and beneficial owner mappings worked correctly without impacting other accounts.
• Closed account remained accessible after merge.  </t>
  </si>
  <si>
    <r>
      <rPr>
        <rFont val="Arial"/>
        <color rgb="FF1155CC"/>
        <u/>
      </rPr>
      <t>https://prnt.sc/VFHC5uwOoHmN</t>
    </r>
    <r>
      <rPr>
        <rFont val="Arial"/>
      </rPr>
      <t xml:space="preserve">  </t>
    </r>
    <r>
      <rPr>
        <rFont val="Arial"/>
        <color rgb="FF1155CC"/>
        <u/>
      </rPr>
      <t>https://prnt.sc/IPs-vsrHJQ1d</t>
    </r>
    <r>
      <rPr>
        <rFont val="Arial"/>
      </rPr>
      <t xml:space="preserve">  </t>
    </r>
    <r>
      <rPr>
        <rFont val="Arial"/>
        <color rgb="FF1155CC"/>
        <u/>
      </rPr>
      <t>https://prnt.sc/CV_f0LLuv6yN</t>
    </r>
    <r>
      <rPr>
        <rFont val="Arial"/>
      </rPr>
      <t xml:space="preserve">  </t>
    </r>
    <r>
      <rPr>
        <rFont val="Arial"/>
        <color rgb="FF1155CC"/>
        <u/>
      </rPr>
      <t>https://prnt.sc/bsHRk1sCOvBP</t>
    </r>
    <r>
      <rPr>
        <rFont val="Arial"/>
      </rPr>
      <t xml:space="preserve">  </t>
    </r>
    <r>
      <rPr>
        <rFont val="Arial"/>
        <color rgb="FF1155CC"/>
        <u/>
      </rPr>
      <t>https://prnt.sc/QU5vsxblrPnt</t>
    </r>
    <r>
      <rPr>
        <rFont val="Arial"/>
      </rPr>
      <t xml:space="preserve"> </t>
    </r>
    <r>
      <rPr>
        <rFont val="Arial"/>
        <color rgb="FF1155CC"/>
        <u/>
      </rPr>
      <t>https://prnt.sc/QoX5m3sIti0Q</t>
    </r>
    <r>
      <rPr>
        <rFont val="Arial"/>
      </rPr>
      <t xml:space="preserve">   </t>
    </r>
    <r>
      <rPr>
        <rFont val="Arial"/>
        <color rgb="FF1155CC"/>
        <u/>
      </rPr>
      <t>https://prnt.sc/qX5z7rkfiMs8</t>
    </r>
    <r>
      <rPr>
        <rFont val="Arial"/>
      </rPr>
      <t xml:space="preserve">  </t>
    </r>
    <r>
      <rPr>
        <rFont val="Arial"/>
        <color rgb="FF1155CC"/>
        <u/>
      </rPr>
      <t>https://prnt.sc/Tw38Rlu47l-N</t>
    </r>
    <r>
      <rPr>
        <rFont val="Arial"/>
      </rPr>
      <t xml:space="preserve">  </t>
    </r>
    <r>
      <rPr>
        <rFont val="Arial"/>
        <color rgb="FF1155CC"/>
        <u/>
      </rPr>
      <t>https://prnt.sc/0wg3_MP97Jjh</t>
    </r>
    <r>
      <rPr>
        <rFont val="Arial"/>
      </rPr>
      <t xml:space="preserve">  </t>
    </r>
    <r>
      <rPr>
        <rFont val="Arial"/>
        <color rgb="FF1155CC"/>
        <u/>
      </rPr>
      <t>https://prnt.sc/OLMdRtH0VQki</t>
    </r>
    <r>
      <rPr>
        <rFont val="Arial"/>
      </rPr>
      <t xml:space="preserve"> </t>
    </r>
    <r>
      <rPr>
        <rFont val="Arial"/>
        <color rgb="FF1155CC"/>
        <u/>
      </rPr>
      <t>https://prnt.sc/F1O0UB0ZvXqe</t>
    </r>
    <r>
      <rPr>
        <rFont val="Arial"/>
      </rPr>
      <t xml:space="preserve">  </t>
    </r>
    <r>
      <rPr>
        <rFont val="Arial"/>
        <color rgb="FF1155CC"/>
        <u/>
      </rPr>
      <t>https://prnt.sc/ug860069Hklq</t>
    </r>
    <r>
      <rPr>
        <rFont val="Arial"/>
      </rPr>
      <t xml:space="preserve">  </t>
    </r>
    <r>
      <rPr>
        <rFont val="Arial"/>
        <color rgb="FF1155CC"/>
        <u/>
      </rPr>
      <t>https://prnt.sc/waNnpx0AWWh9</t>
    </r>
    <r>
      <rPr>
        <rFont val="Arial"/>
      </rPr>
      <t xml:space="preserve"> </t>
    </r>
    <r>
      <rPr>
        <rFont val="Arial"/>
        <color rgb="FF1155CC"/>
        <u/>
      </rPr>
      <t>https://prnt.sc/PGvfnZe2lxmO</t>
    </r>
    <r>
      <rPr>
        <rFont val="Arial"/>
      </rPr>
      <t xml:space="preserve">  </t>
    </r>
    <r>
      <rPr>
        <rFont val="Arial"/>
        <color rgb="FF1155CC"/>
        <u/>
      </rPr>
      <t>https://prnt.sc/aLe_cRB6t6jt</t>
    </r>
    <r>
      <rPr>
        <rFont val="Arial"/>
      </rPr>
      <t xml:space="preserve">  </t>
    </r>
    <r>
      <rPr>
        <rFont val="Arial"/>
        <color rgb="FF1155CC"/>
        <u/>
      </rPr>
      <t>https://prnt.sc/QTucuK3Z9ro1</t>
    </r>
    <r>
      <rPr>
        <rFont val="Arial"/>
      </rPr>
      <t xml:space="preserve">  </t>
    </r>
    <r>
      <rPr>
        <rFont val="Arial"/>
        <color rgb="FF1155CC"/>
        <u/>
      </rPr>
      <t>https://prnt.sc/IHtDtAVTSVvP</t>
    </r>
    <r>
      <rPr>
        <rFont val="Arial"/>
      </rPr>
      <t xml:space="preserve">  </t>
    </r>
    <r>
      <rPr>
        <rFont val="Arial"/>
        <color rgb="FF1155CC"/>
        <u/>
      </rPr>
      <t>https://prnt.sc/sY3GzQYSL9tO</t>
    </r>
    <r>
      <rPr>
        <rFont val="Arial"/>
      </rPr>
      <t xml:space="preserve"> </t>
    </r>
  </si>
  <si>
    <t>TC_16</t>
  </si>
  <si>
    <t>Verify that when both joint customers are inactive and MERGE_CUSTOMER_USING_KAFKA = FALSE, all account information, applicant documents, nominee, beneficial owner, KYC, and audit mappings are handled correctly after merge.</t>
  </si>
  <si>
    <t>Customer A (Original/Primary-Inactive): Customer ID: 4000004210
Applicants:
• First Applicant (Individual ID: 300800517)
Accounts:
• DD(1) → KYC Added
• FD(1) → Nominee + Beneficial Owner Added
• RD(1) → KYC Added
Customer B (Duplicate-Inactive): Customer ID: 4000004209
Applicants: No Applicant
• KYC cannot be added because no applicant exists
Accounts:
• DD(1) → Nominee Added
• FD(1) → Nominee + Beneficial Owner Added
• RD(1)</t>
  </si>
  <si>
    <t>• System should allow/handle merge according to business rule for inactive joint customers.
• All DD/FD/RD accounts from duplicate customer should move successfully under original customer.
• Applicant information and applicant documents should remain accessible after merge.
• Nominee information should remain accessible after merge.
• Beneficial owner information should remain accessible and editable after merge.
• KYC information should remain accessible after merge.
• No duplicate/conflicting KYC records should be generated.
• System Generated Overall Risk Score should display properly in KYC details.
• Duplicate/common documents should not create unnecessary duplication.
• Unique/uncommon documents should merge successfully with original customer.
• Applicant/document mappings should point to the original customer after merge.
• Audit/change history should remain accessible for inactive DD/FD/RD accounts after merge.
• Customer ID replacement should reflect properly in account information and audit/change history.
• Old duplicate customer ID should not remain in merged account mappings/history.</t>
  </si>
  <si>
    <t xml:space="preserve">• Both inactive joint customers merged successfully while MERGE_CUSTOMER_USING_KAFKA = FALSE.
• All account information moved successfully under the original customer.
• Applicant documents, nominee, beneficial owner, and KYC information remained accessible after merge.
• No duplicate/conflicting KYC records were found after merge.
• Duplicate documents were not created and also uncommon documents .
</t>
  </si>
  <si>
    <r>
      <rPr>
        <rFont val="Arial"/>
        <color rgb="FF1155CC"/>
        <u/>
      </rPr>
      <t>https://prnt.sc/HnAvcFE4_-E_</t>
    </r>
    <r>
      <rPr>
        <rFont val="Arial"/>
      </rPr>
      <t xml:space="preserve"> </t>
    </r>
    <r>
      <rPr>
        <rFont val="Arial"/>
        <color rgb="FF1155CC"/>
        <u/>
      </rPr>
      <t>https://prnt.sc/DYqRE9e-zaPu</t>
    </r>
    <r>
      <rPr>
        <rFont val="Arial"/>
      </rPr>
      <t xml:space="preserve">  </t>
    </r>
    <r>
      <rPr>
        <rFont val="Arial"/>
        <color rgb="FF1155CC"/>
        <u/>
      </rPr>
      <t>https://prnt.sc/vN13LAnknP2O</t>
    </r>
    <r>
      <rPr>
        <rFont val="Arial"/>
      </rPr>
      <t xml:space="preserve">  </t>
    </r>
    <r>
      <rPr>
        <rFont val="Arial"/>
        <color rgb="FF1155CC"/>
        <u/>
      </rPr>
      <t>https://prnt.sc/JZez1O8pZZoh</t>
    </r>
    <r>
      <rPr>
        <rFont val="Arial"/>
      </rPr>
      <t xml:space="preserve">  </t>
    </r>
    <r>
      <rPr>
        <rFont val="Arial"/>
        <color rgb="FF1155CC"/>
        <u/>
      </rPr>
      <t>https://prnt.sc/_k8avQi__l0N</t>
    </r>
    <r>
      <rPr>
        <rFont val="Arial"/>
      </rPr>
      <t xml:space="preserve">  </t>
    </r>
    <r>
      <rPr>
        <rFont val="Arial"/>
        <color rgb="FF1155CC"/>
        <u/>
      </rPr>
      <t>https://prnt.sc/e6h21G0OY9JH</t>
    </r>
    <r>
      <rPr>
        <rFont val="Arial"/>
      </rPr>
      <t xml:space="preserve">  </t>
    </r>
    <r>
      <rPr>
        <rFont val="Arial"/>
        <color rgb="FF1155CC"/>
        <u/>
      </rPr>
      <t>https://prnt.sc/u6Y6KWWc8tNU</t>
    </r>
    <r>
      <rPr>
        <rFont val="Arial"/>
      </rPr>
      <t xml:space="preserve">  </t>
    </r>
    <r>
      <rPr>
        <rFont val="Arial"/>
        <color rgb="FF1155CC"/>
        <u/>
      </rPr>
      <t>https://prnt.sc/qYQyufOfxhCH</t>
    </r>
    <r>
      <rPr>
        <rFont val="Arial"/>
      </rPr>
      <t xml:space="preserve">  </t>
    </r>
    <r>
      <rPr>
        <rFont val="Arial"/>
        <color rgb="FF1155CC"/>
        <u/>
      </rPr>
      <t>https://prnt.sc/BkV4D3OS_Upt</t>
    </r>
    <r>
      <rPr>
        <rFont val="Arial"/>
      </rPr>
      <t xml:space="preserve">  </t>
    </r>
    <r>
      <rPr>
        <rFont val="Arial"/>
        <color rgb="FF1155CC"/>
        <u/>
      </rPr>
      <t>https://prnt.sc/xsEBWMLxCT8I</t>
    </r>
    <r>
      <rPr>
        <rFont val="Arial"/>
      </rPr>
      <t xml:space="preserve">  </t>
    </r>
    <r>
      <rPr>
        <rFont val="Arial"/>
        <color rgb="FF1155CC"/>
        <u/>
      </rPr>
      <t>https://prnt.sc/5jPM1-79UmTf</t>
    </r>
    <r>
      <rPr>
        <rFont val="Arial"/>
      </rPr>
      <t xml:space="preserve">  </t>
    </r>
    <r>
      <rPr>
        <rFont val="Arial"/>
        <color rgb="FF1155CC"/>
        <u/>
      </rPr>
      <t>https://prnt.sc/3kYHXssoNh20</t>
    </r>
    <r>
      <rPr>
        <rFont val="Arial"/>
      </rPr>
      <t xml:space="preserve">   </t>
    </r>
    <r>
      <rPr>
        <rFont val="Arial"/>
        <color rgb="FF1155CC"/>
        <u/>
      </rPr>
      <t>https://prnt.sc/Y5rkCfnCuU1_</t>
    </r>
    <r>
      <rPr>
        <rFont val="Arial"/>
      </rPr>
      <t xml:space="preserve">  </t>
    </r>
    <r>
      <rPr>
        <rFont val="Arial"/>
        <color rgb="FF1155CC"/>
        <u/>
      </rPr>
      <t>https://prnt.sc/qVaCEJ5PJaJC</t>
    </r>
    <r>
      <rPr>
        <rFont val="Arial"/>
      </rPr>
      <t xml:space="preserve">   </t>
    </r>
    <r>
      <rPr>
        <rFont val="Arial"/>
        <color rgb="FF1155CC"/>
        <u/>
      </rPr>
      <t>https://prnt.sc/QtN9TOaWFjys</t>
    </r>
    <r>
      <rPr>
        <rFont val="Arial"/>
      </rPr>
      <t xml:space="preserve">  </t>
    </r>
    <r>
      <rPr>
        <rFont val="Arial"/>
        <color rgb="FF1155CC"/>
        <u/>
      </rPr>
      <t>https://prnt.sc/p85JHH3eTsNc</t>
    </r>
    <r>
      <rPr>
        <rFont val="Arial"/>
      </rPr>
      <t xml:space="preserve">  </t>
    </r>
    <r>
      <rPr>
        <rFont val="Arial"/>
        <color rgb="FF1155CC"/>
        <u/>
      </rPr>
      <t>https://prnt.sc/4Qkc69JuVddH</t>
    </r>
    <r>
      <rPr>
        <rFont val="Arial"/>
      </rPr>
      <t xml:space="preserve">  </t>
    </r>
    <r>
      <rPr>
        <rFont val="Arial"/>
        <color rgb="FF1155CC"/>
        <u/>
      </rPr>
      <t>https://prnt.sc/b5G6AImCw5ag</t>
    </r>
    <r>
      <rPr>
        <rFont val="Arial"/>
      </rPr>
      <t xml:space="preserve"> </t>
    </r>
  </si>
  <si>
    <t>TC_17</t>
  </si>
  <si>
    <t>Verify Joint Customer Merge with Active Original Customer and Inactive Duplicate Customer having Guardian, KYC, Nominee, and Beneficial Owner Information</t>
  </si>
  <si>
    <t>Customer A (Original/Primary-Active): Customer ID: 4000004212
Applicants:
• First Applicant (Individual ID: 300800520) → Smart NID
• Second Applicant (Individual ID: 300800521) → Passport
Accounts:
• DD(1) → KYC Added
• FD(1) → KYC + Beneficial Owner Added
• RD(1) → Nominee Added
Customer B(Duplicate-Inactive): Customer ID: 4000004211
Applicants:
• First Applicant (Individual ID: 300800518) → Smart NID, Guardian Information Exists
• Second Applicant (Individual ID: 300800519) → NID,
Accounts:
• DD(1) → KYC Added
• FD(1) → Nominee + Beneficial Owner Added
• RD(2) → KYC + Nominee + Beneficial Owner Added</t>
  </si>
  <si>
    <t>• All DD/FD/RD accounts from duplicate customer should move successfully under the original customer.
• Guardian information should not remain accessible and mapped correctly after merge.
• Guardian mapping should not create duplicate/inconsistent guardian records.
• Applicant documents should remain accessible after merge.
• Duplicate/common documents should not create unnecessary duplication.
• Unique/uncommon documents should not merge with original customer.
• Nominee information should remain accessible after merge.
• Beneficial owner information should remain accessible and editable after merge.
• KYC information should remain accessible and editable after merge.
• No duplicate/conflicting KYC records should be generated for the same account.
• System Generated Overall Risk Score should display properly in KYC details.
• Nominee and beneficial owner mappings should update correctly after merge.
• Other accounts should not be impacted due to nominee/beneficial owner mapping updates.
• Customer ID replacement should reflect properly in account information and audit/change history.
• Old duplicate customer ID should not remain in merged account mappings/history.</t>
  </si>
  <si>
    <t>• Joint customer merge completed successfully between inactive and active customers.
• All DD/FD/RD accounts moved successfully under the original customer.
• inactive customer guardian info deleted and Only the applicant's information that was in the original customer will remain.
• Nominee, beneficial owner, and KYC information remained accessible after merge.
• KYC update/save worked successfully without duplicate/conflicting KYC creation.
• System Generated Overall Risk Score displayed properly in KYC details.
• Duplicate documents were not created and also uncommon documents merged successfully.
• Applicant documents and audit/change history remained accessible after merge.</t>
  </si>
  <si>
    <r>
      <rPr>
        <rFont val="Arial"/>
        <color rgb="FF1155CC"/>
        <u/>
      </rPr>
      <t>https://prnt.sc/iO5ax0vun8vD</t>
    </r>
    <r>
      <rPr>
        <rFont val="Arial"/>
      </rPr>
      <t xml:space="preserve">  </t>
    </r>
    <r>
      <rPr>
        <rFont val="Arial"/>
        <color rgb="FF1155CC"/>
        <u/>
      </rPr>
      <t>https://prnt.sc/7y069i1p-NvV</t>
    </r>
    <r>
      <rPr>
        <rFont val="Arial"/>
      </rPr>
      <t xml:space="preserve">   </t>
    </r>
    <r>
      <rPr>
        <rFont val="Arial"/>
        <color rgb="FF1155CC"/>
        <u/>
      </rPr>
      <t>https://prnt.sc/_mySU9h794zQ</t>
    </r>
    <r>
      <rPr>
        <rFont val="Arial"/>
      </rPr>
      <t xml:space="preserve"> </t>
    </r>
    <r>
      <rPr>
        <rFont val="Arial"/>
        <color rgb="FF1155CC"/>
        <u/>
      </rPr>
      <t>https://prnt.sc/r1Gzra1ni4CQ</t>
    </r>
    <r>
      <rPr>
        <rFont val="Arial"/>
      </rPr>
      <t xml:space="preserve">  </t>
    </r>
    <r>
      <rPr>
        <rFont val="Arial"/>
        <color rgb="FF1155CC"/>
        <u/>
      </rPr>
      <t>https://prnt.sc/mJlAtgOAmcyK</t>
    </r>
    <r>
      <rPr>
        <rFont val="Arial"/>
      </rPr>
      <t xml:space="preserve">   </t>
    </r>
    <r>
      <rPr>
        <rFont val="Arial"/>
        <color rgb="FF1155CC"/>
        <u/>
      </rPr>
      <t>https://prnt.sc/ReoGMBT_nFXY</t>
    </r>
    <r>
      <rPr>
        <rFont val="Arial"/>
      </rPr>
      <t xml:space="preserve">   </t>
    </r>
    <r>
      <rPr>
        <rFont val="Arial"/>
        <color rgb="FF1155CC"/>
        <u/>
      </rPr>
      <t>https://prnt.sc/1dh7YhKZAXG9</t>
    </r>
    <r>
      <rPr>
        <rFont val="Arial"/>
      </rPr>
      <t xml:space="preserve">    </t>
    </r>
    <r>
      <rPr>
        <rFont val="Arial"/>
        <color rgb="FF1155CC"/>
        <u/>
      </rPr>
      <t>https://prnt.sc/HQULVq4o9z5h</t>
    </r>
    <r>
      <rPr>
        <rFont val="Arial"/>
      </rPr>
      <t xml:space="preserve">   </t>
    </r>
    <r>
      <rPr>
        <rFont val="Arial"/>
        <color rgb="FF1155CC"/>
        <u/>
      </rPr>
      <t>https://prnt.sc/5dVG29id0jSo</t>
    </r>
    <r>
      <rPr>
        <rFont val="Arial"/>
      </rPr>
      <t xml:space="preserve">   </t>
    </r>
    <r>
      <rPr>
        <rFont val="Arial"/>
        <color rgb="FF1155CC"/>
        <u/>
      </rPr>
      <t>https://prnt.sc/xiqon5Po9rQn</t>
    </r>
    <r>
      <rPr>
        <rFont val="Arial"/>
      </rPr>
      <t xml:space="preserve">   </t>
    </r>
    <r>
      <rPr>
        <rFont val="Arial"/>
        <color rgb="FF1155CC"/>
        <u/>
      </rPr>
      <t>https://prnt.sc/UK5BOgMkxvqg</t>
    </r>
    <r>
      <rPr>
        <rFont val="Arial"/>
      </rPr>
      <t xml:space="preserve">   </t>
    </r>
    <r>
      <rPr>
        <rFont val="Arial"/>
        <color rgb="FF1155CC"/>
        <u/>
      </rPr>
      <t>https://prnt.sc/O7JojkHTzetd</t>
    </r>
    <r>
      <rPr>
        <rFont val="Arial"/>
      </rPr>
      <t xml:space="preserve">   </t>
    </r>
    <r>
      <rPr>
        <rFont val="Arial"/>
        <color rgb="FF1155CC"/>
        <u/>
      </rPr>
      <t>https://prnt.sc/sKnzOmHxjbu5</t>
    </r>
    <r>
      <rPr>
        <rFont val="Arial"/>
      </rPr>
      <t xml:space="preserve">   </t>
    </r>
    <r>
      <rPr>
        <rFont val="Arial"/>
        <color rgb="FF1155CC"/>
        <u/>
      </rPr>
      <t>https://prnt.sc/rLZXrI3XtcpM</t>
    </r>
    <r>
      <rPr>
        <rFont val="Arial"/>
      </rPr>
      <t xml:space="preserve">   </t>
    </r>
    <r>
      <rPr>
        <rFont val="Arial"/>
        <color rgb="FF1155CC"/>
        <u/>
      </rPr>
      <t>https://prnt.sc/Xl2bgGBwqbo_</t>
    </r>
    <r>
      <rPr>
        <rFont val="Arial"/>
      </rPr>
      <t xml:space="preserve">   </t>
    </r>
    <r>
      <rPr>
        <rFont val="Arial"/>
        <color rgb="FF1155CC"/>
        <u/>
      </rPr>
      <t>https://prnt.sc/wcDfVdcTIHPN</t>
    </r>
    <r>
      <rPr>
        <rFont val="Arial"/>
      </rPr>
      <t xml:space="preserve">    </t>
    </r>
    <r>
      <rPr>
        <rFont val="Arial"/>
        <color rgb="FF1155CC"/>
        <u/>
      </rPr>
      <t>https://prnt.sc/1vbgc85znJhm</t>
    </r>
    <r>
      <rPr>
        <rFont val="Arial"/>
      </rPr>
      <t xml:space="preserve">   </t>
    </r>
    <r>
      <rPr>
        <rFont val="Arial"/>
        <color rgb="FF1155CC"/>
        <u/>
      </rPr>
      <t>https://prnt.sc/9MIe9VyVEwnJ</t>
    </r>
    <r>
      <rPr>
        <rFont val="Arial"/>
      </rPr>
      <t xml:space="preserve">    </t>
    </r>
  </si>
  <si>
    <t>TC_18</t>
  </si>
  <si>
    <t>Verify merge between inactive original joint customer and activated duplicate joint customer with guardian, KYC, nominee, beneficial owner, and document validation</t>
  </si>
  <si>
    <t xml:space="preserve">
Customer A (Original/Primary-Inactive): Customer ID: 4000004214
Applicants:
• First Applicant (Individual ID: 300800524) → Smart NID, Guardian Exists
Accounts:
• DD(1) → KYC + Nominee Added
• FD(1) → Beneficial Owner Added
• RD(1) → KYC + Beneficial Owner Added
Customer B (Duplicate/Inactive - Activated): Customer ID: 4000004213
Applicants:
• First Applicant (Individual ID: 300800522) → Smart NID, Smart Card, Guardian Exists
• Second Applicant (Individual ID: 300800523) → NID, 
Accounts:
• DD(2)
• FD(1)
• RD(1)
Note: No KYC, Nominee, or Beneficial Owner exists under these accounts.
</t>
  </si>
  <si>
    <t>• All DD/FD/RD accounts from duplicate customer should move successfully under original customer.
• Guardian information should remain accessible and mapped correctly after merge.
• No duplicate/inconsistent guardian mapping should be created.
• Applicant documents should remain accessible after merge.
• Duplicate/common documents should not create unnecessary duplication.
• Unique/uncommon documents should merge successfully with original customer.
• KYC information from duplicate customer accounts should remain accessible after merge.
• Nominee information should remain accessible after merge.
• Beneficial owner information should remain accessible and editable after merge.
• No duplicate/conflicting KYC records should be generated.
• System Generated Overall Risk Score should display properly in KYC details.
• Nominee and beneficial owner mappings should update correctly after merge.
• Existing accounts under original customer without KYC/Nominee/Beneficial Owner should not be impacted unexpectedly.
• Audit/change history should remain accessible for all merged accounts.
• Customer ID replacement should reflect properly in account information and audit/change history.
• Old duplicate customer ID should not remain in merged account mappings/history.</t>
  </si>
  <si>
    <t>• Joint customer merge completed successfully between active and inactive customers.
• All DD/FD/RD accounts from duplicate customer moved successfully under original customer.
• Guardian information remained accessible and mapping updated correctly after merge.
• KYC, nominee, and beneficial owner information remained accessible after merge.
• KYC update/save worked successfully without duplicate/conflicting KYC creation.
• System Generated Overall Risk Score displayed properly in KYC details.
• Duplicate documents were not created and also uncommon documents  not merged.
• Existing accounts under original customer remained unaffected where no KYC/Nominee/Beneficial Owner existed previously.
•  active customer guardian info deleted and Only the applicant's information that was in the original customer will remain.</t>
  </si>
  <si>
    <r>
      <rPr>
        <rFont val="Arial"/>
        <color rgb="FF1155CC"/>
        <u/>
      </rPr>
      <t>https://prnt.sc/ssHD35UFoeWx</t>
    </r>
    <r>
      <rPr>
        <rFont val="Arial"/>
      </rPr>
      <t xml:space="preserve"> </t>
    </r>
    <r>
      <rPr>
        <rFont val="Arial"/>
        <color rgb="FF1155CC"/>
        <u/>
      </rPr>
      <t>https://prnt.sc/zvVDZxOX8IMe</t>
    </r>
    <r>
      <rPr>
        <rFont val="Arial"/>
      </rPr>
      <t xml:space="preserve">  </t>
    </r>
    <r>
      <rPr>
        <rFont val="Arial"/>
        <color rgb="FF1155CC"/>
        <u/>
      </rPr>
      <t>https://prnt.sc/kpFR8PY47lJ7</t>
    </r>
    <r>
      <rPr>
        <rFont val="Arial"/>
      </rPr>
      <t xml:space="preserve">  </t>
    </r>
    <r>
      <rPr>
        <rFont val="Arial"/>
        <color rgb="FF1155CC"/>
        <u/>
      </rPr>
      <t>https://prnt.sc/9cjP2Lq2kBjI</t>
    </r>
    <r>
      <rPr>
        <rFont val="Arial"/>
      </rPr>
      <t xml:space="preserve">  </t>
    </r>
    <r>
      <rPr>
        <rFont val="Arial"/>
        <color rgb="FF1155CC"/>
        <u/>
      </rPr>
      <t>https://prnt.sc/d7TQHdjwabzB</t>
    </r>
    <r>
      <rPr>
        <rFont val="Arial"/>
      </rPr>
      <t xml:space="preserve">  </t>
    </r>
    <r>
      <rPr>
        <rFont val="Arial"/>
        <color rgb="FF1155CC"/>
        <u/>
      </rPr>
      <t>https://prnt.sc/Ho4Xd_Y1VueB</t>
    </r>
    <r>
      <rPr>
        <rFont val="Arial"/>
      </rPr>
      <t xml:space="preserve">  </t>
    </r>
    <r>
      <rPr>
        <rFont val="Arial"/>
        <color rgb="FF1155CC"/>
        <u/>
      </rPr>
      <t>https://prnt.sc/v4UCqCNOUSdL</t>
    </r>
    <r>
      <rPr>
        <rFont val="Arial"/>
      </rPr>
      <t xml:space="preserve">  </t>
    </r>
    <r>
      <rPr>
        <rFont val="Arial"/>
        <color rgb="FF1155CC"/>
        <u/>
      </rPr>
      <t>https://prnt.sc/DnSXi-itq1fH</t>
    </r>
    <r>
      <rPr>
        <rFont val="Arial"/>
      </rPr>
      <t xml:space="preserve">  </t>
    </r>
    <r>
      <rPr>
        <rFont val="Arial"/>
        <color rgb="FF1155CC"/>
        <u/>
      </rPr>
      <t>https://prnt.sc/i2tVotWsiSnz</t>
    </r>
    <r>
      <rPr>
        <rFont val="Arial"/>
      </rPr>
      <t xml:space="preserve">  </t>
    </r>
    <r>
      <rPr>
        <rFont val="Arial"/>
        <color rgb="FF1155CC"/>
        <u/>
      </rPr>
      <t>https://prnt.sc/SaMzKks-LBVu</t>
    </r>
    <r>
      <rPr>
        <rFont val="Arial"/>
      </rPr>
      <t xml:space="preserve">  </t>
    </r>
    <r>
      <rPr>
        <rFont val="Arial"/>
        <color rgb="FF1155CC"/>
        <u/>
      </rPr>
      <t>https://prnt.sc/fknnkzubJw8R</t>
    </r>
    <r>
      <rPr>
        <rFont val="Arial"/>
      </rPr>
      <t xml:space="preserve">  </t>
    </r>
    <r>
      <rPr>
        <rFont val="Arial"/>
        <color rgb="FF1155CC"/>
        <u/>
      </rPr>
      <t>https://prnt.sc/ZhoJkaz3pok8</t>
    </r>
    <r>
      <rPr>
        <rFont val="Arial"/>
      </rPr>
      <t xml:space="preserve">  </t>
    </r>
    <r>
      <rPr>
        <rFont val="Arial"/>
        <color rgb="FF1155CC"/>
        <u/>
      </rPr>
      <t>https://prnt.sc/ePtjENxKQm91</t>
    </r>
    <r>
      <rPr>
        <rFont val="Arial"/>
      </rPr>
      <t xml:space="preserve">  </t>
    </r>
    <r>
      <rPr>
        <rFont val="Arial"/>
        <color rgb="FF1155CC"/>
        <u/>
      </rPr>
      <t>https://prnt.sc/fY3b7tr29GHr</t>
    </r>
    <r>
      <rPr>
        <rFont val="Arial"/>
      </rPr>
      <t xml:space="preserve">  </t>
    </r>
    <r>
      <rPr>
        <rFont val="Arial"/>
        <color rgb="FF1155CC"/>
        <u/>
      </rPr>
      <t>https://prnt.sc/_mjPV6oIOFn8</t>
    </r>
    <r>
      <rPr>
        <rFont val="Arial"/>
      </rPr>
      <t xml:space="preserve">  </t>
    </r>
    <r>
      <rPr>
        <rFont val="Arial"/>
        <color rgb="FF1155CC"/>
        <u/>
      </rPr>
      <t>https://prnt.sc/fCdAEVt2_J9e</t>
    </r>
    <r>
      <rPr>
        <rFont val="Arial"/>
      </rPr>
      <t xml:space="preserve">  </t>
    </r>
    <r>
      <rPr>
        <rFont val="Arial"/>
        <color rgb="FF1155CC"/>
        <u/>
      </rPr>
      <t>https://prnt.sc/k1t_-HrunXrZ</t>
    </r>
    <r>
      <rPr>
        <rFont val="Arial"/>
      </rPr>
      <t xml:space="preserve">  </t>
    </r>
    <r>
      <rPr>
        <rFont val="Arial"/>
        <color rgb="FF1155CC"/>
        <u/>
      </rPr>
      <t>https://prnt.sc/jir7XvjoqO_3</t>
    </r>
    <r>
      <rPr>
        <rFont val="Arial"/>
      </rPr>
      <t xml:space="preserve">   </t>
    </r>
    <r>
      <rPr>
        <rFont val="Arial"/>
        <color rgb="FF1155CC"/>
        <u/>
      </rPr>
      <t>https://prnt.sc/zRZEU5gBeqDr</t>
    </r>
    <r>
      <rPr>
        <rFont val="Arial"/>
      </rPr>
      <t xml:space="preserve">  </t>
    </r>
    <r>
      <rPr>
        <rFont val="Arial"/>
        <color rgb="FF1155CC"/>
        <u/>
      </rPr>
      <t>https://prnt.sc/YEffjlPcG7fL</t>
    </r>
    <r>
      <rPr>
        <rFont val="Arial"/>
      </rPr>
      <t xml:space="preserve">  </t>
    </r>
    <r>
      <rPr>
        <rFont val="Arial"/>
        <color rgb="FF1155CC"/>
        <u/>
      </rPr>
      <t>https://prnt.sc/KvmaZObOj8yn</t>
    </r>
    <r>
      <rPr>
        <rFont val="Arial"/>
      </rPr>
      <t xml:space="preserve"> </t>
    </r>
    <r>
      <rPr>
        <rFont val="Arial"/>
        <color rgb="FF1155CC"/>
        <u/>
      </rPr>
      <t>https://prnt.sc/kK-F8Vpc4DfZ</t>
    </r>
    <r>
      <rPr>
        <rFont val="Arial"/>
      </rPr>
      <t xml:space="preserve">   </t>
    </r>
    <r>
      <rPr>
        <rFont val="Arial"/>
        <color rgb="FF1155CC"/>
        <u/>
      </rPr>
      <t>https://prnt.sc/EIUUkzDso9NM</t>
    </r>
    <r>
      <rPr>
        <rFont val="Arial"/>
      </rPr>
      <t xml:space="preserve">   </t>
    </r>
    <r>
      <rPr>
        <rFont val="Arial"/>
        <color rgb="FF1155CC"/>
        <u/>
      </rPr>
      <t>https://prnt.sc/0xDyJ4iQGHU7</t>
    </r>
    <r>
      <rPr>
        <rFont val="Arial"/>
      </rPr>
      <t xml:space="preserve">   </t>
    </r>
    <r>
      <rPr>
        <rFont val="Arial"/>
        <color rgb="FF1155CC"/>
        <u/>
      </rPr>
      <t>https://prnt.sc/AhAQLfrKArES</t>
    </r>
    <r>
      <rPr>
        <rFont val="Arial"/>
      </rPr>
      <t xml:space="preserve">    </t>
    </r>
    <r>
      <rPr>
        <rFont val="Arial"/>
        <color rgb="FF1155CC"/>
        <u/>
      </rPr>
      <t>https://prnt.sc/O5SMOltZ0rWx</t>
    </r>
    <r>
      <rPr>
        <rFont val="Arial"/>
      </rPr>
      <t xml:space="preserve">  </t>
    </r>
    <r>
      <rPr>
        <rFont val="Arial"/>
        <color rgb="FF1155CC"/>
        <u/>
      </rPr>
      <t>https://prnt.sc/VJ848feYp9qr</t>
    </r>
    <r>
      <rPr>
        <rFont val="Arial"/>
      </rPr>
      <t xml:space="preserve">  </t>
    </r>
    <r>
      <rPr>
        <rFont val="Arial"/>
        <color rgb="FF1155CC"/>
        <u/>
      </rPr>
      <t>https://prnt.sc/FvwV90fIDhuX</t>
    </r>
    <r>
      <rPr>
        <rFont val="Arial"/>
      </rPr>
      <t xml:space="preserve">  </t>
    </r>
    <r>
      <rPr>
        <rFont val="Arial"/>
        <color rgb="FF1155CC"/>
        <u/>
      </rPr>
      <t>https://prnt.sc/YDfnpWb305D7</t>
    </r>
    <r>
      <rPr>
        <rFont val="Arial"/>
      </rPr>
      <t xml:space="preserve">  </t>
    </r>
    <r>
      <rPr>
        <rFont val="Arial"/>
        <color rgb="FF1155CC"/>
        <u/>
      </rPr>
      <t>https://prnt.sc/utDjjcyICXQc</t>
    </r>
    <r>
      <rPr>
        <rFont val="Arial"/>
      </rPr>
      <t xml:space="preserve">  </t>
    </r>
    <r>
      <rPr>
        <rFont val="Arial"/>
        <color rgb="FF1155CC"/>
        <u/>
      </rPr>
      <t>https://prnt.sc/qqWkqcnDUKzq</t>
    </r>
    <r>
      <rPr>
        <rFont val="Arial"/>
      </rPr>
      <t xml:space="preserve">  </t>
    </r>
    <r>
      <rPr>
        <rFont val="Arial"/>
        <color rgb="FF1155CC"/>
        <u/>
      </rPr>
      <t>https://prnt.sc/dzFrSxIhU1Y0</t>
    </r>
    <r>
      <rPr>
        <rFont val="Arial"/>
      </rPr>
      <t xml:space="preserve">  </t>
    </r>
    <r>
      <rPr>
        <rFont val="Arial"/>
        <color rgb="FF1155CC"/>
        <u/>
      </rPr>
      <t>https://prnt.sc/w3jVK-HMB56C</t>
    </r>
    <r>
      <rPr>
        <rFont val="Arial"/>
      </rPr>
      <t xml:space="preserve">   </t>
    </r>
    <r>
      <rPr>
        <rFont val="Arial"/>
        <color rgb="FF1155CC"/>
        <u/>
      </rPr>
      <t>https://prnt.sc/f45itmrKJ7TS</t>
    </r>
    <r>
      <rPr>
        <rFont val="Arial"/>
      </rPr>
      <t xml:space="preserve">  </t>
    </r>
    <r>
      <rPr>
        <rFont val="Arial"/>
        <color rgb="FF1155CC"/>
        <u/>
      </rPr>
      <t>https://prnt.sc/U0E9Xh1krl5f</t>
    </r>
    <r>
      <rPr>
        <rFont val="Arial"/>
      </rPr>
      <t xml:space="preserve"> </t>
    </r>
  </si>
  <si>
    <t>TC_19</t>
  </si>
  <si>
    <t>Verify that when MERGE_CUSTOMER_USING_KAFKA = N, the system restricts merging between different customer types (e.g., Single Customer and Joint Customer).</t>
  </si>
  <si>
    <t>Customer A: Single Customer (Active/Inactive)
Customer B: Joint Customer (Active/Inactive)
Merge Attempt: Single Customer ↔ Joint Customer</t>
  </si>
  <si>
    <t>• System should validate customer type before merge.
• Merge between different customer types (Single and Joint) should not be allowed.
• Proper validation/error message should be displayed to the user.
• No account, document, guardian, nominee, beneficial owner, or KYC mapping should be updated or transferred.
• No audit/change history should be generated for unsuccessful merge attempts.</t>
  </si>
  <si>
    <t xml:space="preserve">As expected error message show is all customers are not same </t>
  </si>
  <si>
    <r>
      <rPr>
        <rFont val="Arial"/>
        <color rgb="FF1155CC"/>
        <u/>
      </rPr>
      <t>https://prnt.sc/7ME4-6Ms6drU</t>
    </r>
    <r>
      <rPr>
        <rFont val="Arial"/>
      </rPr>
      <t xml:space="preserve">  </t>
    </r>
    <r>
      <rPr>
        <rFont val="Arial"/>
        <color rgb="FF1155CC"/>
        <u/>
      </rPr>
      <t>https://prnt.sc/Y0_k7veogpUQ</t>
    </r>
    <r>
      <rPr>
        <rFont val="Arial"/>
      </rPr>
      <t xml:space="preserve"> </t>
    </r>
  </si>
  <si>
    <t>TC_20</t>
  </si>
  <si>
    <t>Verify KYC Validation Based on Applicant Occupation Information in Joint Customer Accounts</t>
  </si>
  <si>
    <t>Scenario 1:
Joint Customer where First Applicant has no occupation information.
Attempt to add KYC under account.
Scenario 2:
First Applicant has occupation information.
Second Applicant has no occupation information.
Attempt to add KYC under account.</t>
  </si>
  <si>
    <t>• System should not allow KYC creation when the First Applicant does not have occupation information.
• Proper validation/error message should be displayed for missing occupation information.
• System should allow KYC creation when the First Applicant has occupation information, even if the Second Applicant does not have occupation information.
• KYC creation/save should complete successfully in Scenario 2.</t>
  </si>
  <si>
    <t>Organization Customer</t>
  </si>
  <si>
    <t>TC_21</t>
  </si>
  <si>
    <t>Verify merge between active Proprietorship organization customer and inactive Public Ltd. Company customer with KYC, nominee, beneficial owner, document, owner mapping, and audit validation</t>
  </si>
  <si>
    <t>Original/Primary Customer (Active): Customer ID: 4000002874
Organization Type: Proprietorship
Owner Structure: Single Owner, Share Percentage 100%
Documents: NID, Tax Return
Accounts:
• DD(1) → Nominee Added
• FD(1) → KYC Added
• RD(1) → Beneficial Owner Added
Duplicate Customer (Inactive): Customer ID: 4000003688
Organization Type: Public Ltd. Co.
Documents: Passport
Accounts:
• DD(1) → KYC Added
• FD(1) → Nominee Added
• RD(1) → Beneficial Owner Added</t>
  </si>
  <si>
    <t>• All accounts from inactive duplicate customer should merge successfully under active original customer.
• Existing proprietor information and 100% share percentage under original customer should remain unchanged after merge.
• No duplicate owner/proprietor mapping should be created.
• Existing nominee, KYC, and beneficial owner information should remain accessible after merge.
• KYC should remain accessible and update/save should work properly after merge.
• System Generated Overall Risk Score should display properly in KYC details.
• No duplicate/conflicting KYC should be generated for merged accounts.
• Nominee mapping should remain accessible and update correctly after merge.
• Beneficial owner information should remain accessible and no duplicate beneficial owner should be created.
• Duplicate/common documents should not create unnecessary duplication after merge.
• Uncommon documents (Passport, NID, Tax Return) should merge successfully with original customer.
• Document mapping should point to the original customer after merge.
• Old duplicate customer reference should become inactive/undefined after merge.
• Customer ID replacement should reflect properly in audit/change history.
• DD, FD, and RD audit/change history should remain accessible after merge.</t>
  </si>
  <si>
    <t>Successfully merged.
All accounts from inactive Public Ltd. Company customer moved successfully under active Proprietorship customer.
Existing proprietor information and share percentage remained unchanged after merge.
No duplicate owner/proprietor mapping was created.
KYC, nominee, and beneficial owner information remained accessible and update/save worked properly after merge.
System Generated Overall Risk Score displayed properly in KYC details.
No duplicate/conflicting KYC was generated.
Duplicate/common documents were not duplicated and unique documents merged successfully with original customer.
Document mapping pointed correctly to original customer after merge.
Duplicate customer became undefined/inactive after merge.
Audit/change history remained accessible for merged DD, FD, and RD accounts.</t>
  </si>
  <si>
    <r>
      <rPr>
        <rFont val="Arial"/>
        <color rgb="FF1155CC"/>
        <u/>
      </rPr>
      <t>https://prnt.sc/09vai2qW97w7</t>
    </r>
    <r>
      <rPr>
        <rFont val="Arial"/>
        <color rgb="FF1F1F1F"/>
      </rPr>
      <t xml:space="preserve">   </t>
    </r>
    <r>
      <rPr>
        <rFont val="Arial"/>
        <color rgb="FF1155CC"/>
        <u/>
      </rPr>
      <t>https://prnt.sc/jhT8wPOmFdCn</t>
    </r>
    <r>
      <rPr>
        <rFont val="Arial"/>
        <color rgb="FF1F1F1F"/>
      </rPr>
      <t xml:space="preserve">  </t>
    </r>
    <r>
      <rPr>
        <rFont val="Arial"/>
        <color rgb="FF1155CC"/>
        <u/>
      </rPr>
      <t>https://prnt.sc/Ty_P5sq0u8o9</t>
    </r>
    <r>
      <rPr>
        <rFont val="Arial"/>
        <color rgb="FF1F1F1F"/>
      </rPr>
      <t xml:space="preserve">   </t>
    </r>
    <r>
      <rPr>
        <rFont val="Arial"/>
        <color rgb="FF1155CC"/>
        <u/>
      </rPr>
      <t>https://prnt.sc/iighK2RPnBdV</t>
    </r>
    <r>
      <rPr>
        <rFont val="Arial"/>
        <color rgb="FF1F1F1F"/>
      </rPr>
      <t xml:space="preserve"> </t>
    </r>
    <r>
      <rPr>
        <rFont val="Arial"/>
        <color rgb="FF1155CC"/>
        <u/>
      </rPr>
      <t>https://prnt.sc/8snAv0olC0V4</t>
    </r>
    <r>
      <rPr>
        <rFont val="Arial"/>
        <color rgb="FF1F1F1F"/>
      </rPr>
      <t xml:space="preserve">  </t>
    </r>
    <r>
      <rPr>
        <rFont val="Arial"/>
        <color rgb="FF1155CC"/>
        <u/>
      </rPr>
      <t>https://prnt.sc/kyHzuleSmS2v</t>
    </r>
    <r>
      <rPr>
        <rFont val="Arial"/>
        <color rgb="FF1F1F1F"/>
      </rPr>
      <t xml:space="preserve">   </t>
    </r>
    <r>
      <rPr>
        <rFont val="Arial"/>
        <color rgb="FF1155CC"/>
        <u/>
      </rPr>
      <t>https://prnt.sc/2vQKsF4_1VQ6</t>
    </r>
    <r>
      <rPr>
        <rFont val="Arial"/>
        <color rgb="FF1F1F1F"/>
      </rPr>
      <t xml:space="preserve">  </t>
    </r>
    <r>
      <rPr>
        <rFont val="Arial"/>
        <color rgb="FF1155CC"/>
        <u/>
      </rPr>
      <t>https://prnt.sc/3U3ILgFugW88</t>
    </r>
    <r>
      <rPr>
        <rFont val="Arial"/>
        <color rgb="FF1F1F1F"/>
      </rPr>
      <t xml:space="preserve">   </t>
    </r>
    <r>
      <rPr>
        <rFont val="Arial"/>
        <color rgb="FF1155CC"/>
        <u/>
      </rPr>
      <t>https://prnt.sc/9SqK1QskKrW0</t>
    </r>
    <r>
      <rPr>
        <rFont val="Arial"/>
        <color rgb="FF1F1F1F"/>
      </rPr>
      <t xml:space="preserve">    </t>
    </r>
    <r>
      <rPr>
        <rFont val="Arial"/>
        <color rgb="FF1155CC"/>
        <u/>
      </rPr>
      <t>https://prnt.sc/HFp5-PZUaGRT</t>
    </r>
    <r>
      <rPr>
        <rFont val="Arial"/>
        <color rgb="FF1F1F1F"/>
      </rPr>
      <t xml:space="preserve">  </t>
    </r>
    <r>
      <rPr>
        <rFont val="Arial"/>
        <color rgb="FF1155CC"/>
        <u/>
      </rPr>
      <t>https://prnt.sc/QvyObUKIDKFR</t>
    </r>
    <r>
      <rPr>
        <rFont val="Arial"/>
        <color rgb="FF1F1F1F"/>
      </rPr>
      <t xml:space="preserve">  </t>
    </r>
    <r>
      <rPr>
        <rFont val="Arial"/>
        <color rgb="FF1155CC"/>
        <u/>
      </rPr>
      <t>https://prnt.sc/2XQQBcAVm8XT</t>
    </r>
    <r>
      <rPr>
        <rFont val="Arial"/>
        <color rgb="FF1F1F1F"/>
      </rPr>
      <t xml:space="preserve">   </t>
    </r>
    <r>
      <rPr>
        <rFont val="Arial"/>
        <color rgb="FF1155CC"/>
        <u/>
      </rPr>
      <t>https://prnt.sc/LLLbU_-Ij8YS</t>
    </r>
    <r>
      <rPr>
        <rFont val="Arial"/>
        <color rgb="FF1F1F1F"/>
      </rPr>
      <t xml:space="preserve"> </t>
    </r>
  </si>
  <si>
    <t>TC_22</t>
  </si>
  <si>
    <t>Verify merge between inactive Proprietorship organization customer and active Public Ltd. Company customer with KYC, nominee, beneficial owner, owner mapping, document merge, and audit validation</t>
  </si>
  <si>
    <t>Original/Primary Customer (Inactive): Customer ID: 4000004227
Organization Type: Proprietorship
Owner Structure: Single Owner, Share Percentage 100%
Documents: NID
Accounts:
• DD(1) → Nominee Added
• FD(1) → KYC Added
• RD(1) → Beneficial Owner Added
Duplicate Customer (Active): Customer ID: 4000002816
Organization Type: Public Ltd. Co.
Accounts:
• DD(1) → Nominee Added
• FD(1) → KYC Added
• RD(1) → Beneficial Owner Added
Merge Direction: Active customer merged into inactive original customer</t>
  </si>
  <si>
    <t>• System should allow merge between inactive original customer and active duplicate customer as per business configuration.
• All accounts from active duplicate customer should merge successfully under inactive original customer.
• Existing proprietor information and 100% share percentage under original customer should remain unchanged after merge.
• No duplicate owner/proprietor mapping should be created after merge.
• Existing KYC, nominee, and beneficial owner information from both customers should remain accessible after merge.
• No duplicate/conflicting KYC should be generated for merged accounts.
• KYC update/save functionality should work properly after merge.
• System Generated Overall Risk Score should display properly in KYC details.
• Nominee information should remain accessible and correctly mapped after merge.
• Beneficial owner information should remain accessible and no duplicate beneficial owner should be created.
• Duplicate/common documents should not create unnecessary duplication.
• Uncommon documents should merge successfully with original customer.
• Document mapping should point to original customer after merge.
• Old duplicate customer reference should become inactive/undefined after merge.
• Customer ID replacement should reflect properly in audit/change history.
• DD, FD, and RD audit/change history should remain accessible after merge.</t>
  </si>
  <si>
    <t>Successfully merged.
All accounts from active Public Ltd. Company customer moved successfully under inactive Proprietorship customer.
Existing proprietor information and share percentage remained unchanged after merge.
No duplicate owner/proprietor mapping was created.
KYC, nominee, and beneficial owner information remained accessible after merge and update/save worked properly.
System Generated Overall Risk Score displayed properly in KYC details.
No duplicate/conflicting KYC was generated after merge.
Duplicate/common documents were not duplicated and unique documents merged successfully with original customer.
Document mapping pointed correctly to original customer after merge.
Duplicate customer became undefined/inactive after merge.
Audit/change history remained accessible for merged DD, FD, and RD accounts.</t>
  </si>
  <si>
    <r>
      <rPr>
        <rFont val="Arial"/>
        <color rgb="FF1155CC"/>
        <u/>
      </rPr>
      <t>https://prnt.sc/AkaYL4RDphs8</t>
    </r>
    <r>
      <rPr>
        <rFont val="Arial"/>
      </rPr>
      <t xml:space="preserve">  </t>
    </r>
    <r>
      <rPr>
        <rFont val="Arial"/>
        <color rgb="FF1155CC"/>
        <u/>
      </rPr>
      <t>https://prnt.sc/fdrB87pnyQuD</t>
    </r>
    <r>
      <rPr>
        <rFont val="Arial"/>
      </rPr>
      <t xml:space="preserve">  </t>
    </r>
    <r>
      <rPr>
        <rFont val="Arial"/>
        <color rgb="FF1155CC"/>
        <u/>
      </rPr>
      <t>https://prnt.sc/2KBClQvhwMql</t>
    </r>
    <r>
      <rPr>
        <rFont val="Arial"/>
      </rPr>
      <t xml:space="preserve"> </t>
    </r>
    <r>
      <rPr>
        <rFont val="Arial"/>
        <color rgb="FF1155CC"/>
        <u/>
      </rPr>
      <t>https://prnt.sc/QmoQt_Zvk0mN</t>
    </r>
    <r>
      <rPr>
        <rFont val="Arial"/>
      </rPr>
      <t xml:space="preserve">  </t>
    </r>
    <r>
      <rPr>
        <rFont val="Arial"/>
        <color rgb="FF1155CC"/>
        <u/>
      </rPr>
      <t>https://prnt.sc/NkyN7cUH1ud5</t>
    </r>
    <r>
      <rPr>
        <rFont val="Arial"/>
      </rPr>
      <t xml:space="preserve">  </t>
    </r>
    <r>
      <rPr>
        <rFont val="Arial"/>
        <color rgb="FF1155CC"/>
        <u/>
      </rPr>
      <t>https://prnt.sc/ShdeMNtDil8K</t>
    </r>
    <r>
      <rPr>
        <rFont val="Arial"/>
      </rPr>
      <t xml:space="preserve">  </t>
    </r>
    <r>
      <rPr>
        <rFont val="Arial"/>
        <color rgb="FF1155CC"/>
        <u/>
      </rPr>
      <t>https://prnt.sc/boYBFopqveHf</t>
    </r>
    <r>
      <rPr>
        <rFont val="Arial"/>
      </rPr>
      <t xml:space="preserve">  </t>
    </r>
    <r>
      <rPr>
        <rFont val="Arial"/>
        <color rgb="FF1155CC"/>
        <u/>
      </rPr>
      <t>https://prnt.sc/oK2OQgZ07VOw</t>
    </r>
    <r>
      <rPr>
        <rFont val="Arial"/>
      </rPr>
      <t xml:space="preserve">  </t>
    </r>
    <r>
      <rPr>
        <rFont val="Arial"/>
        <color rgb="FF1155CC"/>
        <u/>
      </rPr>
      <t>https://prnt.sc/cnOvCoZ5GdRL</t>
    </r>
    <r>
      <rPr>
        <rFont val="Arial"/>
      </rPr>
      <t xml:space="preserve">  </t>
    </r>
    <r>
      <rPr>
        <rFont val="Arial"/>
        <color rgb="FF1155CC"/>
        <u/>
      </rPr>
      <t>https://prnt.sc/ExlPArfjYdFF</t>
    </r>
    <r>
      <rPr>
        <rFont val="Arial"/>
      </rPr>
      <t xml:space="preserve">  </t>
    </r>
    <r>
      <rPr>
        <rFont val="Arial"/>
        <color rgb="FF1155CC"/>
        <u/>
      </rPr>
      <t>https://prnt.sc/i725QwsZTdiD</t>
    </r>
    <r>
      <rPr>
        <rFont val="Arial"/>
      </rPr>
      <t xml:space="preserve">  </t>
    </r>
    <r>
      <rPr>
        <rFont val="Arial"/>
        <color rgb="FF1155CC"/>
        <u/>
      </rPr>
      <t>https://prnt.sc/IX_8KWYtvN3K</t>
    </r>
    <r>
      <rPr>
        <rFont val="Arial"/>
      </rPr>
      <t xml:space="preserve">   </t>
    </r>
    <r>
      <rPr>
        <rFont val="Arial"/>
        <color rgb="FF1155CC"/>
        <u/>
      </rPr>
      <t>https://prnt.sc/nTLj_YeZXjdM</t>
    </r>
    <r>
      <rPr>
        <rFont val="Arial"/>
      </rPr>
      <t xml:space="preserve">  </t>
    </r>
    <r>
      <rPr>
        <rFont val="Arial"/>
        <color rgb="FF1155CC"/>
        <u/>
      </rPr>
      <t>https://prnt.sc/U-_XwKWHzTgd</t>
    </r>
    <r>
      <rPr>
        <rFont val="Arial"/>
      </rPr>
      <t xml:space="preserve">  </t>
    </r>
    <r>
      <rPr>
        <rFont val="Arial"/>
        <color rgb="FF1155CC"/>
        <u/>
      </rPr>
      <t>https://prnt.sc/LITwwdHY8zJ4</t>
    </r>
    <r>
      <rPr>
        <rFont val="Arial"/>
      </rPr>
      <t xml:space="preserve">  </t>
    </r>
    <r>
      <rPr>
        <rFont val="Arial"/>
        <color rgb="FF1155CC"/>
        <u/>
      </rPr>
      <t>https://prnt.sc/z55z5cVFT4BU</t>
    </r>
    <r>
      <rPr>
        <rFont val="Arial"/>
      </rPr>
      <t xml:space="preserve">  </t>
    </r>
    <r>
      <rPr>
        <rFont val="Arial"/>
        <color rgb="FF1155CC"/>
        <u/>
      </rPr>
      <t>https://prnt.sc/2aV6_9LGkHS2</t>
    </r>
    <r>
      <rPr>
        <rFont val="Arial"/>
      </rPr>
      <t xml:space="preserve">  </t>
    </r>
  </si>
  <si>
    <t>TC_23</t>
  </si>
  <si>
    <t>Verify merge between active and inactive Public Ltd. Company organization customers with KYC, nominee, beneficial owner, document merge, audit history, and duplicate validation</t>
  </si>
  <si>
    <t>Original/Primary Customer (Active): Customer ID: 4000004228
Organization Type: Public Ltd. Co.
Documents: Passport
Accounts:
• DD(2) → Nominee Added &amp; KYC Added
• FD(1) → Beneficial Owner Added
• RD(1) → KYC Added
Duplicate Customer (Inactive): Customer ID: 4000004229
Organization Type: Public Ltd. Co.
Documents: NID
Accounts:
• DD(1) → KYC Added
• FD(1) → Beneficial Owner Added
• RD(1) → Nominee Added
Merge Direction: Inactive customer merged into active original customer</t>
  </si>
  <si>
    <t>• All accounts from inactive duplicate customer should merge successfully under active original customer.
• Existing KYC, nominee, and beneficial owner information should remain accessible after merge.
• No duplicate/conflicting KYC should be generated after merge.
• System Generated Overall Risk Score should display properly in KYC details.
• KYC update/save functionality should work properly after merge.
• Nominee mapping should remain accessible and correctly linked after merge.
• No nominee duplication should occur after merge.
• Beneficial owner information should remain accessible and update/save should work properly.
• No duplicate beneficial owner should be created after merge.
• Duplicate/common documents should not create unnecessary duplication.
• Uncommon documents (Passport, NID) should merge successfully with original customer.
• Document mapping should point to original customer after merge.
• Old duplicate customer reference should become inactive/undefined after merge.
• Customer ID replacement should reflect properly in audit/change history.
• DD, FD, and RD audit/change history should remain accessible after merge.
• Inactive account audit history should remain visible after merge.</t>
  </si>
  <si>
    <t>Successfully merged.
All accounts from inactive duplicate Public Ltd. Company customer moved successfully under active original customer.
KYC, nominee, and beneficial owner information remained accessible after merge.
No duplicate/conflicting KYC, nominee, or beneficial owner was generated after merge.
System Generated Overall Risk Score displayed properly in KYC details and KYC update/save worked successfully.
Nominee and beneficial owner mappings remained accessible and correctly linked after merge.
Duplicate/common documents were not duplicated and uncommon documents merged successfully with original customer.
Document mapping pointed correctly to original customer after merge.
Duplicate customer became undefined/inactive after merge.
Audit/change history remained accessible for merged DD, FD, and RD accounts including inactive account audit history.</t>
  </si>
  <si>
    <r>
      <rPr>
        <rFont val="Arial"/>
        <color rgb="FF1155CC"/>
        <u/>
      </rPr>
      <t>https://prnt.sc/5VF6M9XOSHak</t>
    </r>
    <r>
      <rPr>
        <rFont val="Arial"/>
      </rPr>
      <t xml:space="preserve">  </t>
    </r>
    <r>
      <rPr>
        <rFont val="Arial"/>
        <color rgb="FF1155CC"/>
        <u/>
      </rPr>
      <t>https://prnt.sc/9kuAzQerVJDG</t>
    </r>
    <r>
      <rPr>
        <rFont val="Arial"/>
      </rPr>
      <t xml:space="preserve">  </t>
    </r>
    <r>
      <rPr>
        <rFont val="Arial"/>
        <color rgb="FF1155CC"/>
        <u/>
      </rPr>
      <t>https://prnt.sc/TEH4vM9_FfAD</t>
    </r>
    <r>
      <rPr>
        <rFont val="Arial"/>
      </rPr>
      <t xml:space="preserve">  </t>
    </r>
    <r>
      <rPr>
        <rFont val="Arial"/>
        <color rgb="FF1155CC"/>
        <u/>
      </rPr>
      <t>https://prnt.sc/OlQShzoXrAlH</t>
    </r>
    <r>
      <rPr>
        <rFont val="Arial"/>
      </rPr>
      <t xml:space="preserve">  </t>
    </r>
    <r>
      <rPr>
        <rFont val="Arial"/>
        <color rgb="FF1155CC"/>
        <u/>
      </rPr>
      <t>https://prnt.sc/KKEt0FSwNDox</t>
    </r>
    <r>
      <rPr>
        <rFont val="Arial"/>
      </rPr>
      <t xml:space="preserve">  </t>
    </r>
    <r>
      <rPr>
        <rFont val="Arial"/>
        <color rgb="FF1155CC"/>
        <u/>
      </rPr>
      <t>https://prnt.sc/YjEEK1p3yMEl</t>
    </r>
    <r>
      <rPr>
        <rFont val="Arial"/>
      </rPr>
      <t xml:space="preserve">  </t>
    </r>
    <r>
      <rPr>
        <rFont val="Arial"/>
        <color rgb="FF1155CC"/>
        <u/>
      </rPr>
      <t>https://prnt.sc/3C-d8DbMXF4k</t>
    </r>
    <r>
      <rPr>
        <rFont val="Arial"/>
      </rPr>
      <t xml:space="preserve">  </t>
    </r>
    <r>
      <rPr>
        <rFont val="Arial"/>
        <color rgb="FF1155CC"/>
        <u/>
      </rPr>
      <t>https://prnt.sc/Oh98qYRQf6KQ</t>
    </r>
    <r>
      <rPr>
        <rFont val="Arial"/>
      </rPr>
      <t xml:space="preserve">  </t>
    </r>
    <r>
      <rPr>
        <rFont val="Arial"/>
        <color rgb="FF1155CC"/>
        <u/>
      </rPr>
      <t>https://prnt.sc/tW7B2bFkO-L9</t>
    </r>
    <r>
      <rPr>
        <rFont val="Arial"/>
      </rPr>
      <t xml:space="preserve">  </t>
    </r>
    <r>
      <rPr>
        <rFont val="Arial"/>
        <color rgb="FF1155CC"/>
        <u/>
      </rPr>
      <t>https://prnt.sc/PBk1D7PUvEcu</t>
    </r>
    <r>
      <rPr>
        <rFont val="Arial"/>
      </rPr>
      <t xml:space="preserve">  </t>
    </r>
    <r>
      <rPr>
        <rFont val="Arial"/>
        <color rgb="FF1155CC"/>
        <u/>
      </rPr>
      <t>https://prnt.sc/ERLHX0ec2PO2</t>
    </r>
    <r>
      <rPr>
        <rFont val="Arial"/>
      </rPr>
      <t xml:space="preserve">  </t>
    </r>
    <r>
      <rPr>
        <rFont val="Arial"/>
        <color rgb="FF1155CC"/>
        <u/>
      </rPr>
      <t>https://prnt.sc/lDBQXEyc2EEd</t>
    </r>
    <r>
      <rPr>
        <rFont val="Arial"/>
      </rPr>
      <t xml:space="preserve">   </t>
    </r>
    <r>
      <rPr>
        <rFont val="Arial"/>
        <color rgb="FF1155CC"/>
        <u/>
      </rPr>
      <t>https://prnt.sc/yo3mpUpZ9_VE</t>
    </r>
    <r>
      <rPr>
        <rFont val="Arial"/>
      </rPr>
      <t xml:space="preserve">   </t>
    </r>
    <r>
      <rPr>
        <rFont val="Arial"/>
        <color rgb="FF1155CC"/>
        <u/>
      </rPr>
      <t>https://prnt.sc/7vArsaln5x-S</t>
    </r>
    <r>
      <rPr>
        <rFont val="Arial"/>
      </rPr>
      <t xml:space="preserve">  </t>
    </r>
    <r>
      <rPr>
        <rFont val="Arial"/>
        <color rgb="FF1155CC"/>
        <u/>
      </rPr>
      <t>https://prnt.sc/-_0NPaRXLjLP</t>
    </r>
  </si>
  <si>
    <t>TC_24</t>
  </si>
  <si>
    <t>Verify customer merge between different organization types (Public Ltd. Co. and Private Ltd. Co.) and validate account, owner, document, KYC, nominee, beneficial owner, and audit mapping behavior.</t>
  </si>
  <si>
    <t>Customer A (Original/Primary - Active)
Customer ID: 4000004232
Organization Type: Public Ltd. Co.
Organization Document: NID
DD(1) → KYC + Nominee + Beneficial Owner
FD(1) → Inactive
RD(1) → Closed
Owner Information
Owner Documents:
Birth Certificate
TIN
NID
Credit Card
Customer B (Duplicate - Inactive)
Customer ID: 4000004233
Organization Type: Private Ltd. Co.
Organization Document: Passport
DD(1) → Inactive
FD(1) → Closed
Owner Information
Owner Document:
Smart Card</t>
  </si>
  <si>
    <t xml:space="preserve">
Merge process completes successfully.
Duplicate customer (4000004233) becomes inactive/merged and is no longer accessible independently.
All accounts of duplicate customer are transferred under original customer (4000004232).
Inactive DD account remains accessible after merge.
Closed FD account remains accessible after merge.
Account ownership is updated to the original customer.
Existing KYC under original customer remains accessible and functional.
No duplicate or conflicting KYC records are generated.
Existing nominee information remains accessible after merge.
Existing beneficial owner information remains accessible after merge.
Nominee and beneficial owner mappings remain linked to their respective accounts.
Organization documents are consolidated under the original customer.
Common documents are not duplicated.
Uncommon documents (Passport, Smart Card, Birth Certificate, TIN, Credit Card, etc.) are merged successfully.
Owner documents remain accessible after merge.
Owner-document mapping points to the original customer.
Audit/change history remains accessible for all transferred accounts.
Customer ID references in account mappings are updated to the original customer ID.
No dependency remains with the duplicate customer record.
Organization type conflict (Public Ltd. Co. vs Private Ltd. Co.) follows configured business rules and does not cause data loss.
Customer merge does not impact account status (Inactive remains Inactive, Closed remains Closed).</t>
  </si>
  <si>
    <r>
      <rPr>
        <rFont val="Arial"/>
        <color rgb="FF1155CC"/>
        <u/>
      </rPr>
      <t>https://prnt.sc/B9FJqUC2Txio</t>
    </r>
    <r>
      <rPr>
        <rFont val="Arial"/>
      </rPr>
      <t xml:space="preserve">  </t>
    </r>
    <r>
      <rPr>
        <rFont val="Arial"/>
        <color rgb="FF1155CC"/>
        <u/>
      </rPr>
      <t>https://prnt.sc/Ab0o3cNVXIuq</t>
    </r>
    <r>
      <rPr>
        <rFont val="Arial"/>
      </rPr>
      <t xml:space="preserve">   </t>
    </r>
    <r>
      <rPr>
        <rFont val="Arial"/>
        <color rgb="FF1155CC"/>
        <u/>
      </rPr>
      <t>https://prnt.sc/b-K4lmxQapFB</t>
    </r>
    <r>
      <rPr>
        <rFont val="Arial"/>
      </rPr>
      <t xml:space="preserve">  </t>
    </r>
    <r>
      <rPr>
        <rFont val="Arial"/>
        <color rgb="FF1155CC"/>
        <u/>
      </rPr>
      <t>https://prnt.sc/yrago9EgCNmf</t>
    </r>
    <r>
      <rPr>
        <rFont val="Arial"/>
      </rPr>
      <t xml:space="preserve">  </t>
    </r>
    <r>
      <rPr>
        <rFont val="Arial"/>
        <color rgb="FF1155CC"/>
        <u/>
      </rPr>
      <t>https://prnt.sc/IEN-o6M-ko2W</t>
    </r>
    <r>
      <rPr>
        <rFont val="Arial"/>
      </rPr>
      <t xml:space="preserve">  </t>
    </r>
    <r>
      <rPr>
        <rFont val="Arial"/>
        <color rgb="FF1155CC"/>
        <u/>
      </rPr>
      <t>https://prnt.sc/RG2Q-L8ZvpfG</t>
    </r>
    <r>
      <rPr>
        <rFont val="Arial"/>
      </rPr>
      <t xml:space="preserve">  </t>
    </r>
    <r>
      <rPr>
        <rFont val="Arial"/>
        <color rgb="FF1155CC"/>
        <u/>
      </rPr>
      <t>https://prnt.sc/zAlVziG_SxJA</t>
    </r>
    <r>
      <rPr>
        <rFont val="Arial"/>
      </rPr>
      <t xml:space="preserve">  </t>
    </r>
    <r>
      <rPr>
        <rFont val="Arial"/>
        <color rgb="FF1155CC"/>
        <u/>
      </rPr>
      <t>https://prnt.sc/7kiO44DJgItI</t>
    </r>
    <r>
      <rPr>
        <rFont val="Arial"/>
      </rPr>
      <t xml:space="preserve">  </t>
    </r>
    <r>
      <rPr>
        <rFont val="Arial"/>
        <color rgb="FF1155CC"/>
        <u/>
      </rPr>
      <t>https://prnt.sc/Av24eRXU-P8x</t>
    </r>
    <r>
      <rPr>
        <rFont val="Arial"/>
      </rPr>
      <t xml:space="preserve">  </t>
    </r>
    <r>
      <rPr>
        <rFont val="Arial"/>
        <color rgb="FF1155CC"/>
        <u/>
      </rPr>
      <t>https://prnt.sc/G2XkSDSZBfnN</t>
    </r>
    <r>
      <rPr>
        <rFont val="Arial"/>
      </rPr>
      <t xml:space="preserve"> </t>
    </r>
    <r>
      <rPr>
        <rFont val="Arial"/>
        <color rgb="FF1155CC"/>
        <u/>
      </rPr>
      <t>https://prnt.sc/dIRvLEca_J87</t>
    </r>
    <r>
      <rPr>
        <rFont val="Arial"/>
      </rPr>
      <t xml:space="preserve">  </t>
    </r>
    <r>
      <rPr>
        <rFont val="Arial"/>
        <color rgb="FF1155CC"/>
        <u/>
      </rPr>
      <t>https://prnt.sc/LuDJZYIQ9up_</t>
    </r>
    <r>
      <rPr>
        <rFont val="Arial"/>
      </rPr>
      <t xml:space="preserve">  </t>
    </r>
    <r>
      <rPr>
        <rFont val="Arial"/>
        <color rgb="FF1155CC"/>
        <u/>
      </rPr>
      <t>https://prnt.sc/q6AKd6F1QaJD</t>
    </r>
    <r>
      <rPr>
        <rFont val="Arial"/>
      </rPr>
      <t xml:space="preserve">  </t>
    </r>
    <r>
      <rPr>
        <rFont val="Arial"/>
        <color rgb="FF1155CC"/>
        <u/>
      </rPr>
      <t>https://prnt.sc/rlK8PkdFVp2_</t>
    </r>
    <r>
      <rPr>
        <rFont val="Arial"/>
      </rPr>
      <t xml:space="preserve">  </t>
    </r>
    <r>
      <rPr>
        <rFont val="Arial"/>
        <color rgb="FF1155CC"/>
        <u/>
      </rPr>
      <t>https://prnt.sc/NYNQ4HEPqu2U</t>
    </r>
    <r>
      <rPr>
        <rFont val="Arial"/>
      </rPr>
      <t xml:space="preserve"> </t>
    </r>
  </si>
  <si>
    <t>TC_25</t>
  </si>
  <si>
    <t>Verify that customer merge is restricted between organization customers having different organization types (e.g., Public Ltd. Co., Private Ltd. Co., Proprietorship, Government Organization, etc.).</t>
  </si>
  <si>
    <t>System should prevent the merge operation and display an appropriate validation message when the organization types of the original and duplicate customers are different.</t>
  </si>
  <si>
    <t>System allows customer merge even when the organization types are different.</t>
  </si>
  <si>
    <r>
      <rPr>
        <rFont val="Arial"/>
      </rPr>
      <t xml:space="preserve">Discussed with Sayed Bhai. The observation has been noted for future consideration and is not considered a blocker at this stage.   </t>
    </r>
    <r>
      <rPr>
        <rFont val="Arial"/>
        <color rgb="FF1155CC"/>
        <u/>
      </rPr>
      <t>https://prnt.sc/B9FJqUC2Txio</t>
    </r>
    <r>
      <rPr>
        <rFont val="Arial"/>
      </rPr>
      <t xml:space="preserve">   </t>
    </r>
    <r>
      <rPr>
        <rFont val="Arial"/>
        <color rgb="FF1155CC"/>
        <u/>
      </rPr>
      <t>https://prnt.sc/7kiO44DJgItI</t>
    </r>
    <r>
      <rPr>
        <rFont val="Arial"/>
      </rPr>
      <t xml:space="preserve">  </t>
    </r>
    <r>
      <rPr>
        <rFont val="Arial"/>
        <color rgb="FF1155CC"/>
        <u/>
      </rPr>
      <t>https://prnt.sc/D9xf3UXSNmj0</t>
    </r>
    <r>
      <rPr>
        <rFont val="Arial"/>
      </rPr>
      <t xml:space="preserve">   </t>
    </r>
    <r>
      <rPr>
        <rFont val="Arial"/>
        <color rgb="FF1155CC"/>
        <u/>
      </rPr>
      <t>https://prnt.sc/8ljahkiks4Wb</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</si>
</sst>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color theme="1"/>
      <name val="Arial"/>
      <scheme val="minor"/>
    </font>
    <font>
      <b/>
      <sz val="12.0"/>
      <color theme="1"/>
      <name val="Calibri"/>
    </font>
    <font/>
    <font>
      <sz val="12.0"/>
      <color theme="1"/>
      <name val="Calibri"/>
    </font>
    <font>
      <color theme="1"/>
      <name val="Arial"/>
    </font>
    <font>
      <u/>
      <color rgb="FF0000FF"/>
    </font>
    <font>
      <u/>
      <color rgb="FF0000FF"/>
    </font>
    <font>
      <u/>
      <color rgb="FF0000FF"/>
      <name val="Arial"/>
    </font>
    <font>
      <u/>
      <color rgb="FF0000FF"/>
      <name val="Arial"/>
    </font>
    <font>
      <u/>
      <color rgb="FF0000FF"/>
      <name val="Arial"/>
    </font>
  </fonts>
  <fills count="17">
    <fill>
      <patternFill patternType="none"/>
    </fill>
    <fill>
      <patternFill patternType="lightGray"/>
    </fill>
    <fill>
      <patternFill patternType="solid">
        <fgColor rgb="FFC6D9F0"/>
        <bgColor rgb="FFC6D9F0"/>
      </patternFill>
    </fill>
    <fill>
      <patternFill patternType="solid">
        <fgColor rgb="FFEAEAEA"/>
        <bgColor rgb="FFEAEAEA"/>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wrapText="1"/>
    </xf>
    <xf borderId="0" fillId="0" fontId="1" numFmtId="0" xfId="0" applyAlignment="1" applyFont="1">
      <alignment horizontal="center" readingOrder="0" shrinkToFit="0" vertical="center" wrapText="1"/>
    </xf>
    <xf borderId="2"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left" readingOrder="0" shrinkToFit="0" vertical="center" wrapText="1"/>
    </xf>
    <xf borderId="3" fillId="2" fontId="2" numFmtId="0" xfId="0" applyAlignment="1" applyBorder="1" applyFill="1" applyFont="1">
      <alignment horizontal="center" shrinkToFit="0" wrapText="1"/>
    </xf>
    <xf borderId="0" fillId="0" fontId="1" numFmtId="0" xfId="0" applyAlignment="1" applyFont="1">
      <alignment readingOrder="0" shrinkToFit="0" vertical="center" wrapText="1"/>
    </xf>
    <xf borderId="1" fillId="0" fontId="5" numFmtId="164" xfId="0" applyAlignment="1" applyBorder="1" applyFont="1" applyNumberFormat="1">
      <alignment horizontal="center" readingOrder="0" shrinkToFit="0" vertical="center" wrapText="1"/>
    </xf>
    <xf borderId="3" fillId="0" fontId="5" numFmtId="164" xfId="0" applyAlignment="1" applyBorder="1" applyFont="1" applyNumberFormat="1">
      <alignment shrinkToFit="0" wrapText="1"/>
    </xf>
    <xf borderId="3" fillId="2" fontId="5" numFmtId="0" xfId="0" applyAlignment="1" applyBorder="1" applyFill="1" applyFont="1">
      <alignment shrinkToFit="0" vertical="bottom" wrapText="1"/>
    </xf>
    <xf borderId="3" fillId="0" fontId="5" numFmtId="0" xfId="0" applyAlignment="1" applyBorder="1" applyFont="1">
      <alignment shrinkToFit="0" vertical="bottom" wrapText="1"/>
    </xf>
    <xf borderId="4" fillId="0" fontId="3" numFmtId="0" xfId="0" applyBorder="1" applyFont="1"/>
    <xf borderId="4" fillId="2" fontId="2" numFmtId="0" xfId="0" applyAlignment="1" applyBorder="1" applyFill="1" applyFont="1">
      <alignment horizontal="center" shrinkToFit="0" wrapText="1"/>
    </xf>
    <xf borderId="0" fillId="0" fontId="6" numFmtId="0" xfId="0" applyAlignment="1" applyFont="1">
      <alignment readingOrder="0" shrinkToFit="0" vertical="center" wrapText="1"/>
    </xf>
    <xf borderId="3" fillId="2" fontId="2" numFmtId="0" xfId="0" applyAlignment="1" applyBorder="1" applyFill="1" applyFont="1">
      <alignment horizontal="center" shrinkToFit="0" vertical="bottom" wrapText="1"/>
    </xf>
    <xf borderId="1" fillId="2" fontId="5" numFmtId="0" xfId="0" applyAlignment="1" applyBorder="1" applyFill="1" applyFont="1">
      <alignment shrinkToFit="0" wrapText="1"/>
    </xf>
    <xf borderId="3" fillId="0" fontId="5" numFmtId="0" xfId="0" applyAlignment="1" applyBorder="1" applyFont="1">
      <alignment shrinkToFit="0" wrapText="1"/>
    </xf>
    <xf borderId="0" fillId="0" fontId="5" numFmtId="0" xfId="0" applyAlignment="1" applyFont="1">
      <alignment shrinkToFit="0" wrapText="1"/>
    </xf>
    <xf borderId="0" fillId="3" fontId="5" numFmtId="0" xfId="0" applyAlignment="1" applyFill="1" applyFont="1">
      <alignment shrinkToFit="0" vertical="center" wrapText="1"/>
    </xf>
    <xf borderId="1" fillId="0" fontId="5" numFmtId="164" xfId="0" applyAlignment="1" applyBorder="1" applyFont="1" applyNumberFormat="1">
      <alignment shrinkToFit="0" wrapText="1"/>
    </xf>
    <xf borderId="3" fillId="4" fontId="2" numFmtId="0" xfId="0" applyAlignment="1" applyBorder="1" applyFill="1" applyFont="1">
      <alignment horizontal="center" shrinkToFit="0" wrapText="1"/>
    </xf>
    <xf borderId="0" fillId="0" fontId="7" numFmtId="0" xfId="0" applyAlignment="1" applyFont="1">
      <alignment readingOrder="0" shrinkToFit="0" vertical="center" wrapText="1"/>
    </xf>
    <xf borderId="3" fillId="5" fontId="4" numFmtId="0" xfId="0" applyAlignment="1" applyBorder="1" applyFill="1" applyFont="1">
      <alignment horizontal="center" shrinkToFit="0" wrapText="1"/>
    </xf>
    <xf borderId="3" fillId="6" fontId="2" numFmtId="0" xfId="0" applyAlignment="1" applyBorder="1" applyFill="1" applyFont="1">
      <alignment horizontal="center" shrinkToFit="0" wrapText="1"/>
    </xf>
    <xf borderId="3" fillId="7" fontId="2" numFmtId="0" xfId="0" applyAlignment="1" applyBorder="1" applyFill="1" applyFont="1">
      <alignment horizontal="center" shrinkToFit="0" wrapText="1"/>
    </xf>
    <xf borderId="3" fillId="5" fontId="5"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3" fillId="2" fontId="5" numFmtId="0" xfId="0" applyAlignment="1" applyBorder="1" applyFill="1" applyFont="1">
      <alignment shrinkToFit="0" wrapText="1"/>
    </xf>
    <xf borderId="3" fillId="8" fontId="2" numFmtId="0" xfId="0" applyAlignment="1" applyBorder="1" applyFill="1" applyFont="1">
      <alignment horizontal="center" shrinkToFit="0" wrapText="1"/>
    </xf>
    <xf borderId="3" fillId="5" fontId="5" numFmtId="0" xfId="0" applyAlignment="1" applyBorder="1" applyFill="1" applyFont="1">
      <alignment shrinkToFit="0" vertical="center" wrapText="1"/>
    </xf>
    <xf borderId="1" fillId="0" fontId="5" numFmtId="0" xfId="0" applyAlignment="1" applyBorder="1" applyFont="1">
      <alignment shrinkToFit="0" wrapText="1"/>
    </xf>
    <xf borderId="3" fillId="9" fontId="2" numFmtId="0" xfId="0" applyAlignment="1" applyBorder="1" applyFill="1" applyFont="1">
      <alignment horizontal="center" shrinkToFit="0" wrapText="1"/>
    </xf>
    <xf borderId="3" fillId="10" fontId="2" numFmtId="0" xfId="0" applyAlignment="1" applyBorder="1" applyFill="1" applyFont="1">
      <alignment horizontal="center" shrinkToFit="0" wrapText="1"/>
    </xf>
    <xf borderId="3" fillId="5" fontId="2" numFmtId="0" xfId="0" applyAlignment="1" applyBorder="1" applyFill="1" applyFont="1">
      <alignment horizontal="center" shrinkToFit="0" wrapText="1"/>
    </xf>
    <xf borderId="3" fillId="11" fontId="2" numFmtId="0" xfId="0" applyAlignment="1" applyBorder="1" applyFill="1" applyFont="1">
      <alignment horizontal="center" shrinkToFit="0" wrapText="1"/>
    </xf>
    <xf borderId="3" fillId="12" fontId="2" numFmtId="0" xfId="0" applyAlignment="1" applyBorder="1" applyFill="1" applyFont="1">
      <alignment horizontal="center" shrinkToFit="0" wrapText="1"/>
    </xf>
    <xf borderId="3" fillId="12" fontId="2" numFmtId="0" xfId="0" applyAlignment="1" applyBorder="1" applyFill="1" applyFont="1">
      <alignment horizontal="center" shrinkToFit="0" vertical="center" wrapText="1"/>
    </xf>
    <xf borderId="3" fillId="13" fontId="2" numFmtId="0" xfId="0" applyAlignment="1" applyBorder="1" applyFill="1" applyFont="1">
      <alignment horizontal="center" shrinkToFit="0" wrapText="1"/>
    </xf>
    <xf borderId="3" fillId="13" fontId="2" numFmtId="0" xfId="0" applyAlignment="1" applyBorder="1" applyFill="1" applyFont="1">
      <alignment horizontal="center" readingOrder="0" shrinkToFit="0" wrapText="1"/>
    </xf>
    <xf borderId="3" fillId="0" fontId="5" numFmtId="0" xfId="0" applyAlignment="1" applyBorder="1" applyFont="1">
      <alignment shrinkToFit="0" vertical="center" wrapText="1"/>
    </xf>
    <xf borderId="5" fillId="14" fontId="5" numFmtId="0" xfId="0" applyAlignment="1" applyBorder="1" applyFill="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5" numFmtId="0" xfId="0" applyAlignment="1" applyBorder="1" applyFont="1">
      <alignment horizontal="left" readingOrder="0" shrinkToFit="0" vertical="center" wrapText="1"/>
    </xf>
    <xf borderId="3" fillId="0" fontId="2" numFmtId="0" xfId="0" applyAlignment="1" applyBorder="1" applyFont="1">
      <alignment horizontal="center" shrinkToFit="0" vertical="center" wrapText="1"/>
    </xf>
    <xf borderId="3" fillId="0" fontId="5" numFmtId="0" xfId="0" applyAlignment="1" applyBorder="1" applyFont="1">
      <alignment readingOrder="0" shrinkToFit="0" vertical="center" wrapText="1"/>
    </xf>
    <xf borderId="3" fillId="4" fontId="2" numFmtId="0" xfId="0" applyAlignment="1" applyBorder="1" applyFill="1" applyFont="1">
      <alignment horizontal="center" readingOrder="0" shrinkToFit="0" vertical="center" wrapText="1"/>
    </xf>
    <xf borderId="0" fillId="0" fontId="5" numFmtId="0" xfId="0" applyAlignment="1" applyFont="1">
      <alignment shrinkToFit="0" vertical="center" wrapText="1"/>
    </xf>
    <xf borderId="6" fillId="0" fontId="3" numFmtId="0" xfId="0" applyBorder="1" applyFont="1"/>
    <xf borderId="3" fillId="0" fontId="5" numFmtId="0" xfId="0" applyAlignment="1" applyBorder="1" applyFont="1">
      <alignment horizontal="left" shrinkToFit="0" vertical="center" wrapText="1"/>
    </xf>
    <xf borderId="3" fillId="0" fontId="2" numFmtId="0" xfId="0" applyAlignment="1" applyBorder="1" applyFont="1">
      <alignment horizontal="left" shrinkToFit="0" vertical="center" wrapText="1"/>
    </xf>
    <xf borderId="0" fillId="0" fontId="5" numFmtId="0" xfId="0" applyAlignment="1" applyFont="1">
      <alignment horizontal="left" shrinkToFit="0" vertical="center" wrapText="1"/>
    </xf>
    <xf borderId="3" fillId="6" fontId="5" numFmtId="0" xfId="0" applyAlignment="1" applyBorder="1" applyFill="1" applyFont="1">
      <alignment horizontal="center" readingOrder="0" shrinkToFit="0" vertical="center" wrapText="1"/>
    </xf>
    <xf borderId="3" fillId="0" fontId="8" numFmtId="0" xfId="0" applyAlignment="1" applyBorder="1" applyFont="1">
      <alignment readingOrder="0" shrinkToFit="0" vertical="center" wrapText="1"/>
    </xf>
    <xf borderId="3" fillId="4" fontId="5" numFmtId="0" xfId="0" applyAlignment="1" applyBorder="1" applyFill="1" applyFont="1">
      <alignment horizontal="center" readingOrder="0" shrinkToFit="0" vertical="center" wrapText="1"/>
    </xf>
    <xf borderId="7" fillId="0" fontId="3" numFmtId="0" xfId="0" applyBorder="1" applyFont="1"/>
    <xf borderId="5" fillId="15" fontId="5" numFmtId="0" xfId="0" applyAlignment="1" applyBorder="1" applyFill="1" applyFont="1">
      <alignment horizontal="center" readingOrder="0" shrinkToFit="0" vertical="center" wrapText="1"/>
    </xf>
    <xf borderId="3" fillId="0" fontId="5" numFmtId="0" xfId="0" applyAlignment="1" applyBorder="1" applyFont="1">
      <alignment horizontal="center" shrinkToFit="0" vertical="center" wrapText="1"/>
    </xf>
    <xf borderId="5" fillId="16" fontId="5" numFmtId="0" xfId="0" applyAlignment="1" applyBorder="1" applyFill="1" applyFont="1">
      <alignment horizontal="center" readingOrder="0" shrinkToFit="0" vertical="center" wrapText="1"/>
    </xf>
    <xf borderId="3" fillId="0" fontId="5"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3" fillId="0" fontId="10" numFmtId="0" xfId="0" applyAlignment="1" applyBorder="1" applyFont="1">
      <alignment horizontal="left" readingOrder="0" shrinkToFit="0" vertical="center" wrapText="1"/>
    </xf>
    <xf borderId="3" fillId="0" fontId="5" numFmtId="0" xfId="0" applyAlignment="1" applyBorder="1" applyFont="1">
      <alignment horizontal="center" shrinkToFit="0" wrapText="1"/>
    </xf>
    <xf borderId="0" fillId="0" fontId="5"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AkaYL4RDphs8" TargetMode="External"/><Relationship Id="rId10" Type="http://schemas.openxmlformats.org/officeDocument/2006/relationships/hyperlink" Target="https://prnt.sc/09vai2qW97w7" TargetMode="External"/><Relationship Id="rId13" Type="http://schemas.openxmlformats.org/officeDocument/2006/relationships/hyperlink" Target="https://prnt.sc/B9FJqUC2Txio" TargetMode="External"/><Relationship Id="rId12" Type="http://schemas.openxmlformats.org/officeDocument/2006/relationships/hyperlink" Target="https://prnt.sc/5VF6M9XOSHak" TargetMode="External"/><Relationship Id="rId1" Type="http://schemas.openxmlformats.org/officeDocument/2006/relationships/hyperlink" Target="https://prnt.sc/csenrQw9-lBk" TargetMode="External"/><Relationship Id="rId2" Type="http://schemas.openxmlformats.org/officeDocument/2006/relationships/hyperlink" Target="https://prnt.sc/CRBCjY4A0odn" TargetMode="External"/><Relationship Id="rId3" Type="http://schemas.openxmlformats.org/officeDocument/2006/relationships/hyperlink" Target="https://prnt.sc/1evmnyxT-WDH" TargetMode="External"/><Relationship Id="rId4" Type="http://schemas.openxmlformats.org/officeDocument/2006/relationships/hyperlink" Target="https://prnt.sc/R-se0jH2PAZS" TargetMode="External"/><Relationship Id="rId9" Type="http://schemas.openxmlformats.org/officeDocument/2006/relationships/hyperlink" Target="https://prnt.sc/7ME4-6Ms6drU" TargetMode="External"/><Relationship Id="rId15" Type="http://schemas.openxmlformats.org/officeDocument/2006/relationships/drawing" Target="../drawings/drawing1.xml"/><Relationship Id="rId14" Type="http://schemas.openxmlformats.org/officeDocument/2006/relationships/hyperlink" Target="https://prnt.sc/B9FJqUC2Txio" TargetMode="External"/><Relationship Id="rId5" Type="http://schemas.openxmlformats.org/officeDocument/2006/relationships/hyperlink" Target="https://prnt.sc/VFHC5uwOoHmN" TargetMode="External"/><Relationship Id="rId6" Type="http://schemas.openxmlformats.org/officeDocument/2006/relationships/hyperlink" Target="https://prnt.sc/HnAvcFE4_-E_" TargetMode="External"/><Relationship Id="rId7" Type="http://schemas.openxmlformats.org/officeDocument/2006/relationships/hyperlink" Target="https://prnt.sc/iO5ax0vun8vD" TargetMode="External"/><Relationship Id="rId8" Type="http://schemas.openxmlformats.org/officeDocument/2006/relationships/hyperlink" Target="https://prnt.sc/ssHD35UFoeWx"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prnt.sc/tyOE00ZMEZSs" TargetMode="External"/><Relationship Id="rId10" Type="http://schemas.openxmlformats.org/officeDocument/2006/relationships/hyperlink" Target="https://prnt.sc/oCCraqag7rxb" TargetMode="External"/><Relationship Id="rId13" Type="http://schemas.openxmlformats.org/officeDocument/2006/relationships/hyperlink" Target="https://prnt.sc/ScHm3uEQ3xMV" TargetMode="External"/><Relationship Id="rId12" Type="http://schemas.openxmlformats.org/officeDocument/2006/relationships/hyperlink" Target="https://prnt.sc/CMSrq8veNGut" TargetMode="External"/><Relationship Id="rId1" Type="http://schemas.openxmlformats.org/officeDocument/2006/relationships/hyperlink" Target="https://prnt.sc/yMsZli-maRUG" TargetMode="External"/><Relationship Id="rId2" Type="http://schemas.openxmlformats.org/officeDocument/2006/relationships/hyperlink" Target="https://prnt.sc/eK6Ne5hUdEDM" TargetMode="External"/><Relationship Id="rId3" Type="http://schemas.openxmlformats.org/officeDocument/2006/relationships/hyperlink" Target="https://prnt.sc/Qt_p8h8CjDLH" TargetMode="External"/><Relationship Id="rId4" Type="http://schemas.openxmlformats.org/officeDocument/2006/relationships/hyperlink" Target="https://prnt.sc/_Dhhq2nloZyZ" TargetMode="External"/><Relationship Id="rId9" Type="http://schemas.openxmlformats.org/officeDocument/2006/relationships/hyperlink" Target="https://prnt.sc/dBkR18jk7K7L" TargetMode="External"/><Relationship Id="rId15" Type="http://schemas.openxmlformats.org/officeDocument/2006/relationships/hyperlink" Target="https://prnt.sc/j4UQ4JMNk6oK" TargetMode="External"/><Relationship Id="rId14" Type="http://schemas.openxmlformats.org/officeDocument/2006/relationships/hyperlink" Target="https://prnt.sc/HtxYr76Sg8EA" TargetMode="External"/><Relationship Id="rId17" Type="http://schemas.openxmlformats.org/officeDocument/2006/relationships/hyperlink" Target="https://prnt.sc/HtxYr76Sg8EA" TargetMode="External"/><Relationship Id="rId16" Type="http://schemas.openxmlformats.org/officeDocument/2006/relationships/hyperlink" Target="https://prnt.sc/N__yzH_m40IT" TargetMode="External"/><Relationship Id="rId5" Type="http://schemas.openxmlformats.org/officeDocument/2006/relationships/hyperlink" Target="https://prnt.sc/Q0tIs-jDNkvL" TargetMode="External"/><Relationship Id="rId19" Type="http://schemas.openxmlformats.org/officeDocument/2006/relationships/hyperlink" Target="https://prnt.sc/vpqZZh44aAQA" TargetMode="External"/><Relationship Id="rId6" Type="http://schemas.openxmlformats.org/officeDocument/2006/relationships/hyperlink" Target="https://prnt.sc/vzP_Uhj7rYoK" TargetMode="External"/><Relationship Id="rId18" Type="http://schemas.openxmlformats.org/officeDocument/2006/relationships/hyperlink" Target="https://prnt.sc/whsguaUpf_Nj" TargetMode="External"/><Relationship Id="rId7" Type="http://schemas.openxmlformats.org/officeDocument/2006/relationships/hyperlink" Target="https://prnt.sc/lJV0T8gniCVz" TargetMode="External"/><Relationship Id="rId8" Type="http://schemas.openxmlformats.org/officeDocument/2006/relationships/hyperlink" Target="https://prnt.sc/PllsUw7XWV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88"/>
    <col customWidth="1" min="8" max="8" width="33.0"/>
    <col customWidth="1" min="9" max="9" width="53.0"/>
    <col customWidth="1" min="10" max="10" width="35.13"/>
    <col customWidth="1" min="15" max="15" width="27.88"/>
  </cols>
  <sheetData>
    <row r="1">
      <c r="A1" s="2" t="s">
        <v>0</v>
      </c>
      <c r="B1" s="4"/>
      <c r="C1" s="5" t="s">
        <v>2</v>
      </c>
      <c r="D1" s="7" t="s">
        <v>4</v>
      </c>
      <c r="E1" s="9">
        <v>46147.0</v>
      </c>
      <c r="F1" s="4"/>
      <c r="G1" s="7" t="s">
        <v>7</v>
      </c>
      <c r="H1" s="10"/>
      <c r="I1" s="11"/>
      <c r="J1" s="12"/>
      <c r="K1" s="2" t="s">
        <v>8</v>
      </c>
      <c r="L1" s="13"/>
      <c r="M1" s="14" t="s">
        <v>9</v>
      </c>
      <c r="N1" s="4"/>
      <c r="O1" s="16" t="s">
        <v>11</v>
      </c>
      <c r="P1" s="17"/>
      <c r="Q1" s="4"/>
      <c r="R1" s="18"/>
      <c r="S1" s="19"/>
      <c r="T1" s="19"/>
      <c r="U1" s="19"/>
      <c r="V1" s="19"/>
      <c r="W1" s="19"/>
      <c r="X1" s="19"/>
      <c r="Y1" s="19"/>
      <c r="Z1" s="19"/>
      <c r="AA1" s="19"/>
      <c r="AB1" s="19"/>
      <c r="AC1" s="19"/>
      <c r="AD1" s="19"/>
      <c r="AE1" s="19"/>
      <c r="AF1" s="19"/>
    </row>
    <row r="2">
      <c r="A2" s="2" t="s">
        <v>16</v>
      </c>
      <c r="B2" s="4"/>
      <c r="C2" s="20"/>
      <c r="D2" s="7" t="s">
        <v>17</v>
      </c>
      <c r="E2" s="21"/>
      <c r="F2" s="4"/>
      <c r="G2" s="7" t="s">
        <v>20</v>
      </c>
      <c r="H2" s="10"/>
      <c r="I2" s="11"/>
      <c r="J2" s="12"/>
      <c r="K2" s="22" t="s">
        <v>21</v>
      </c>
      <c r="L2" s="24">
        <f>COUNTIF(K7:K1000, "PASS")</f>
        <v>18</v>
      </c>
      <c r="M2" s="25" t="s">
        <v>26</v>
      </c>
      <c r="N2" s="24">
        <f>COUNTIF(M7:M1000, "Critical")</f>
        <v>0</v>
      </c>
      <c r="O2" s="26" t="s">
        <v>30</v>
      </c>
      <c r="P2" s="17"/>
      <c r="Q2" s="4"/>
      <c r="R2" s="18"/>
      <c r="S2" s="19"/>
      <c r="T2" s="19"/>
      <c r="U2" s="19"/>
      <c r="V2" s="19"/>
      <c r="W2" s="19"/>
      <c r="X2" s="19"/>
      <c r="Y2" s="19"/>
      <c r="Z2" s="19"/>
      <c r="AA2" s="19"/>
      <c r="AB2" s="19"/>
      <c r="AC2" s="19"/>
      <c r="AD2" s="19"/>
      <c r="AE2" s="19"/>
      <c r="AF2" s="19"/>
    </row>
    <row r="3">
      <c r="A3" s="2" t="s">
        <v>31</v>
      </c>
      <c r="B3" s="4"/>
      <c r="C3" s="27" t="s">
        <v>32</v>
      </c>
      <c r="D3" s="7" t="s">
        <v>33</v>
      </c>
      <c r="E3" s="28" t="s">
        <v>34</v>
      </c>
      <c r="F3" s="4"/>
      <c r="G3" s="29"/>
      <c r="H3" s="18"/>
      <c r="I3" s="11"/>
      <c r="J3" s="12"/>
      <c r="K3" s="25" t="s">
        <v>35</v>
      </c>
      <c r="L3" s="24">
        <f>COUNTIF(K7:K1000, "FAIL")</f>
        <v>7</v>
      </c>
      <c r="M3" s="26" t="s">
        <v>30</v>
      </c>
      <c r="N3" s="24">
        <f>COUNTIF(M7:M1000, "High")</f>
        <v>0</v>
      </c>
      <c r="O3" s="30" t="s">
        <v>40</v>
      </c>
      <c r="P3" s="17"/>
      <c r="Q3" s="4"/>
      <c r="R3" s="18"/>
      <c r="S3" s="19"/>
      <c r="T3" s="19"/>
      <c r="U3" s="19"/>
      <c r="V3" s="19"/>
      <c r="W3" s="19"/>
      <c r="X3" s="19"/>
      <c r="Y3" s="19"/>
      <c r="Z3" s="19"/>
      <c r="AA3" s="19"/>
      <c r="AB3" s="19"/>
      <c r="AC3" s="19"/>
      <c r="AD3" s="19"/>
      <c r="AE3" s="19"/>
      <c r="AF3" s="19"/>
    </row>
    <row r="4">
      <c r="A4" s="2" t="s">
        <v>43</v>
      </c>
      <c r="B4" s="4"/>
      <c r="C4" s="31"/>
      <c r="D4" s="7" t="s">
        <v>45</v>
      </c>
      <c r="E4" s="32"/>
      <c r="F4" s="4"/>
      <c r="G4" s="29"/>
      <c r="H4" s="18"/>
      <c r="I4" s="11"/>
      <c r="J4" s="12"/>
      <c r="K4" s="33" t="s">
        <v>46</v>
      </c>
      <c r="L4" s="24">
        <f>COUNTIF(K7:K1000, "NT")</f>
        <v>0</v>
      </c>
      <c r="M4" s="30" t="s">
        <v>40</v>
      </c>
      <c r="N4" s="24">
        <f>COUNTIF(M7:M1000, "Medium")</f>
        <v>0</v>
      </c>
      <c r="O4" s="34" t="s">
        <v>47</v>
      </c>
      <c r="P4" s="17"/>
      <c r="Q4" s="4"/>
      <c r="R4" s="18"/>
      <c r="S4" s="19"/>
      <c r="T4" s="19"/>
      <c r="U4" s="19"/>
      <c r="V4" s="19"/>
      <c r="W4" s="19"/>
      <c r="X4" s="19"/>
      <c r="Y4" s="19"/>
      <c r="Z4" s="19"/>
      <c r="AA4" s="19"/>
      <c r="AB4" s="19"/>
      <c r="AC4" s="19"/>
      <c r="AD4" s="19"/>
      <c r="AE4" s="19"/>
      <c r="AF4" s="19"/>
    </row>
    <row r="5">
      <c r="A5" s="2" t="s">
        <v>48</v>
      </c>
      <c r="B5" s="4"/>
      <c r="C5" s="31"/>
      <c r="D5" s="7" t="s">
        <v>49</v>
      </c>
      <c r="E5" s="28">
        <v>19245.0</v>
      </c>
      <c r="F5" s="4"/>
      <c r="G5" s="29"/>
      <c r="H5" s="18"/>
      <c r="I5" s="11"/>
      <c r="J5" s="12"/>
      <c r="K5" s="35" t="s">
        <v>53</v>
      </c>
      <c r="L5" s="24">
        <f>SUM(L2,L3,L4)</f>
        <v>25</v>
      </c>
      <c r="M5" s="34" t="s">
        <v>47</v>
      </c>
      <c r="N5" s="24">
        <f>COUNTIF(M7:M1001, "Low")</f>
        <v>0</v>
      </c>
      <c r="O5" s="36" t="s">
        <v>56</v>
      </c>
      <c r="P5" s="17"/>
      <c r="Q5" s="4"/>
      <c r="R5" s="18"/>
      <c r="S5" s="19"/>
      <c r="T5" s="19"/>
      <c r="U5" s="19"/>
      <c r="V5" s="19"/>
      <c r="W5" s="19"/>
      <c r="X5" s="19"/>
      <c r="Y5" s="19"/>
      <c r="Z5" s="19"/>
      <c r="AA5" s="19"/>
      <c r="AB5" s="19"/>
      <c r="AC5" s="19"/>
      <c r="AD5" s="19"/>
      <c r="AE5" s="19"/>
      <c r="AF5" s="19"/>
    </row>
    <row r="6">
      <c r="A6" s="37" t="s">
        <v>58</v>
      </c>
      <c r="B6" s="37" t="s">
        <v>59</v>
      </c>
      <c r="C6" s="38" t="s">
        <v>62</v>
      </c>
      <c r="D6" s="37" t="s">
        <v>64</v>
      </c>
      <c r="E6" s="37" t="s">
        <v>65</v>
      </c>
      <c r="F6" s="37" t="s">
        <v>66</v>
      </c>
      <c r="G6" s="37" t="s">
        <v>67</v>
      </c>
      <c r="H6" s="37" t="s">
        <v>68</v>
      </c>
      <c r="I6" s="37" t="s">
        <v>69</v>
      </c>
      <c r="J6" s="37" t="s">
        <v>70</v>
      </c>
      <c r="K6" s="39" t="s">
        <v>71</v>
      </c>
      <c r="L6" s="39" t="s">
        <v>72</v>
      </c>
      <c r="M6" s="37" t="s">
        <v>9</v>
      </c>
      <c r="N6" s="37" t="s">
        <v>11</v>
      </c>
      <c r="O6" s="37" t="s">
        <v>73</v>
      </c>
      <c r="P6" s="40" t="s">
        <v>76</v>
      </c>
      <c r="Q6" s="39"/>
      <c r="R6" s="39"/>
      <c r="S6" s="19"/>
      <c r="T6" s="19"/>
      <c r="U6" s="19"/>
      <c r="V6" s="19"/>
      <c r="W6" s="19"/>
      <c r="X6" s="19"/>
      <c r="Y6" s="19"/>
      <c r="Z6" s="19"/>
      <c r="AA6" s="19"/>
      <c r="AB6" s="19"/>
      <c r="AC6" s="19"/>
      <c r="AD6" s="19"/>
      <c r="AE6" s="19"/>
      <c r="AF6" s="19"/>
    </row>
    <row r="7">
      <c r="A7" s="41"/>
      <c r="B7" s="42" t="s">
        <v>79</v>
      </c>
      <c r="C7" s="43" t="s">
        <v>81</v>
      </c>
      <c r="D7" s="44" t="s">
        <v>83</v>
      </c>
      <c r="E7" s="41"/>
      <c r="F7" s="45"/>
      <c r="G7" s="41"/>
      <c r="H7" s="46" t="s">
        <v>86</v>
      </c>
      <c r="I7" s="46" t="s">
        <v>87</v>
      </c>
      <c r="J7" s="46" t="s">
        <v>88</v>
      </c>
      <c r="K7" s="47" t="s">
        <v>21</v>
      </c>
      <c r="L7" s="41"/>
      <c r="M7" s="45"/>
      <c r="N7" s="45"/>
      <c r="O7" s="41"/>
      <c r="P7" s="41"/>
      <c r="Q7" s="41"/>
      <c r="R7" s="45"/>
      <c r="S7" s="48"/>
      <c r="T7" s="48"/>
      <c r="U7" s="48"/>
      <c r="V7" s="48"/>
      <c r="W7" s="48"/>
      <c r="X7" s="48"/>
      <c r="Y7" s="48"/>
      <c r="Z7" s="48"/>
      <c r="AA7" s="48"/>
      <c r="AB7" s="48"/>
      <c r="AC7" s="48"/>
      <c r="AD7" s="48"/>
      <c r="AE7" s="48"/>
      <c r="AF7" s="48"/>
    </row>
    <row r="8">
      <c r="A8" s="41"/>
      <c r="B8" s="49"/>
      <c r="C8" s="43" t="s">
        <v>94</v>
      </c>
      <c r="D8" s="46" t="s">
        <v>95</v>
      </c>
      <c r="E8" s="41"/>
      <c r="F8" s="45"/>
      <c r="G8" s="41"/>
      <c r="H8" s="46" t="s">
        <v>96</v>
      </c>
      <c r="I8" s="46" t="s">
        <v>97</v>
      </c>
      <c r="J8" s="46" t="s">
        <v>98</v>
      </c>
      <c r="K8" s="47" t="s">
        <v>21</v>
      </c>
      <c r="L8" s="41"/>
      <c r="M8" s="45"/>
      <c r="N8" s="45"/>
      <c r="O8" s="41"/>
      <c r="P8" s="41"/>
      <c r="Q8" s="41"/>
      <c r="R8" s="41"/>
      <c r="S8" s="48"/>
      <c r="T8" s="48"/>
      <c r="U8" s="48"/>
      <c r="V8" s="48"/>
      <c r="W8" s="48"/>
      <c r="X8" s="48"/>
      <c r="Y8" s="48"/>
      <c r="Z8" s="48"/>
      <c r="AA8" s="48"/>
      <c r="AB8" s="48"/>
      <c r="AC8" s="48"/>
      <c r="AD8" s="48"/>
      <c r="AE8" s="48"/>
      <c r="AF8" s="48"/>
    </row>
    <row r="9">
      <c r="A9" s="50"/>
      <c r="B9" s="49"/>
      <c r="C9" s="43" t="s">
        <v>104</v>
      </c>
      <c r="D9" s="44" t="s">
        <v>106</v>
      </c>
      <c r="E9" s="50"/>
      <c r="F9" s="51"/>
      <c r="G9" s="50"/>
      <c r="H9" s="44" t="s">
        <v>107</v>
      </c>
      <c r="I9" s="44" t="s">
        <v>108</v>
      </c>
      <c r="J9" s="44" t="s">
        <v>110</v>
      </c>
      <c r="K9" s="47" t="s">
        <v>21</v>
      </c>
      <c r="L9" s="50"/>
      <c r="M9" s="51"/>
      <c r="N9" s="51"/>
      <c r="O9" s="50"/>
      <c r="P9" s="50"/>
      <c r="Q9" s="50"/>
      <c r="R9" s="50"/>
      <c r="S9" s="52"/>
      <c r="T9" s="52"/>
      <c r="U9" s="52"/>
      <c r="V9" s="52"/>
      <c r="W9" s="52"/>
      <c r="X9" s="52"/>
      <c r="Y9" s="52"/>
      <c r="Z9" s="52"/>
      <c r="AA9" s="52"/>
      <c r="AB9" s="52"/>
      <c r="AC9" s="52"/>
      <c r="AD9" s="52"/>
      <c r="AE9" s="52"/>
      <c r="AF9" s="52"/>
    </row>
    <row r="10">
      <c r="A10" s="41"/>
      <c r="B10" s="49"/>
      <c r="C10" s="43" t="s">
        <v>111</v>
      </c>
      <c r="D10" s="46" t="s">
        <v>112</v>
      </c>
      <c r="E10" s="41"/>
      <c r="F10" s="41"/>
      <c r="G10" s="41"/>
      <c r="H10" s="46" t="s">
        <v>113</v>
      </c>
      <c r="I10" s="46" t="s">
        <v>114</v>
      </c>
      <c r="J10" s="46" t="s">
        <v>115</v>
      </c>
      <c r="K10" s="47" t="s">
        <v>21</v>
      </c>
      <c r="L10" s="41"/>
      <c r="M10" s="45"/>
      <c r="N10" s="41"/>
      <c r="O10" s="41"/>
      <c r="P10" s="41"/>
      <c r="Q10" s="41"/>
      <c r="R10" s="41"/>
      <c r="S10" s="48"/>
      <c r="T10" s="48"/>
      <c r="U10" s="48"/>
      <c r="V10" s="48"/>
      <c r="W10" s="48"/>
      <c r="X10" s="48"/>
      <c r="Y10" s="48"/>
      <c r="Z10" s="48"/>
      <c r="AA10" s="48"/>
      <c r="AB10" s="48"/>
      <c r="AC10" s="48"/>
      <c r="AD10" s="48"/>
      <c r="AE10" s="48"/>
      <c r="AF10" s="48"/>
    </row>
    <row r="11">
      <c r="A11" s="41"/>
      <c r="B11" s="49"/>
      <c r="C11" s="43" t="s">
        <v>119</v>
      </c>
      <c r="D11" s="46" t="s">
        <v>120</v>
      </c>
      <c r="E11" s="41"/>
      <c r="F11" s="41"/>
      <c r="G11" s="41"/>
      <c r="H11" s="46" t="s">
        <v>121</v>
      </c>
      <c r="I11" s="46" t="s">
        <v>122</v>
      </c>
      <c r="J11" s="46" t="s">
        <v>123</v>
      </c>
      <c r="K11" s="47" t="s">
        <v>21</v>
      </c>
      <c r="L11" s="41"/>
      <c r="M11" s="41"/>
      <c r="N11" s="41"/>
      <c r="O11" s="41"/>
      <c r="P11" s="41"/>
      <c r="Q11" s="41"/>
      <c r="R11" s="41"/>
      <c r="S11" s="48"/>
      <c r="T11" s="48"/>
      <c r="U11" s="48"/>
      <c r="V11" s="48"/>
      <c r="W11" s="48"/>
      <c r="X11" s="48"/>
      <c r="Y11" s="48"/>
      <c r="Z11" s="48"/>
      <c r="AA11" s="48"/>
      <c r="AB11" s="48"/>
      <c r="AC11" s="48"/>
      <c r="AD11" s="48"/>
      <c r="AE11" s="48"/>
      <c r="AF11" s="48"/>
    </row>
    <row r="12">
      <c r="A12" s="41"/>
      <c r="B12" s="49"/>
      <c r="C12" s="43" t="s">
        <v>125</v>
      </c>
      <c r="D12" s="46" t="s">
        <v>126</v>
      </c>
      <c r="E12" s="41"/>
      <c r="F12" s="41"/>
      <c r="G12" s="41"/>
      <c r="H12" s="46"/>
      <c r="I12" s="8" t="s">
        <v>127</v>
      </c>
      <c r="J12" s="46" t="s">
        <v>128</v>
      </c>
      <c r="K12" s="53" t="s">
        <v>35</v>
      </c>
      <c r="L12" s="41"/>
      <c r="M12" s="41"/>
      <c r="N12" s="41"/>
      <c r="O12" s="54" t="s">
        <v>131</v>
      </c>
      <c r="P12" s="41"/>
      <c r="Q12" s="41"/>
      <c r="R12" s="41"/>
      <c r="S12" s="48"/>
      <c r="T12" s="48"/>
      <c r="U12" s="48"/>
      <c r="V12" s="48"/>
      <c r="W12" s="48"/>
      <c r="X12" s="48"/>
      <c r="Y12" s="48"/>
      <c r="Z12" s="48"/>
      <c r="AA12" s="48"/>
      <c r="AB12" s="48"/>
      <c r="AC12" s="48"/>
      <c r="AD12" s="48"/>
      <c r="AE12" s="48"/>
      <c r="AF12" s="48"/>
    </row>
    <row r="13">
      <c r="A13" s="41"/>
      <c r="B13" s="49"/>
      <c r="C13" s="43" t="s">
        <v>132</v>
      </c>
      <c r="D13" s="46" t="s">
        <v>133</v>
      </c>
      <c r="E13" s="41"/>
      <c r="F13" s="41"/>
      <c r="G13" s="41"/>
      <c r="H13" s="46" t="s">
        <v>134</v>
      </c>
      <c r="I13" s="46" t="s">
        <v>135</v>
      </c>
      <c r="J13" s="46" t="s">
        <v>136</v>
      </c>
      <c r="K13" s="55" t="s">
        <v>21</v>
      </c>
      <c r="L13" s="41"/>
      <c r="M13" s="41"/>
      <c r="N13" s="41"/>
      <c r="O13" s="41"/>
      <c r="P13" s="41"/>
      <c r="Q13" s="41"/>
      <c r="R13" s="41"/>
      <c r="S13" s="48"/>
      <c r="T13" s="48"/>
      <c r="U13" s="48"/>
      <c r="V13" s="48"/>
      <c r="W13" s="48"/>
      <c r="X13" s="48"/>
      <c r="Y13" s="48"/>
      <c r="Z13" s="48"/>
      <c r="AA13" s="48"/>
      <c r="AB13" s="48"/>
      <c r="AC13" s="48"/>
      <c r="AD13" s="48"/>
      <c r="AE13" s="48"/>
      <c r="AF13" s="48"/>
    </row>
    <row r="14">
      <c r="A14" s="41"/>
      <c r="B14" s="49"/>
      <c r="C14" s="43" t="s">
        <v>138</v>
      </c>
      <c r="D14" s="46" t="s">
        <v>139</v>
      </c>
      <c r="E14" s="41"/>
      <c r="F14" s="41"/>
      <c r="G14" s="41"/>
      <c r="H14" s="46" t="s">
        <v>140</v>
      </c>
      <c r="I14" s="46" t="s">
        <v>141</v>
      </c>
      <c r="J14" s="46" t="s">
        <v>142</v>
      </c>
      <c r="K14" s="55" t="s">
        <v>21</v>
      </c>
      <c r="L14" s="41"/>
      <c r="M14" s="41"/>
      <c r="N14" s="41"/>
      <c r="O14" s="41"/>
      <c r="P14" s="41"/>
      <c r="Q14" s="41"/>
      <c r="R14" s="41"/>
      <c r="S14" s="48"/>
      <c r="T14" s="48"/>
      <c r="U14" s="48"/>
      <c r="V14" s="48"/>
      <c r="W14" s="48"/>
      <c r="X14" s="48"/>
      <c r="Y14" s="48"/>
      <c r="Z14" s="48"/>
      <c r="AA14" s="48"/>
      <c r="AB14" s="48"/>
      <c r="AC14" s="48"/>
      <c r="AD14" s="48"/>
      <c r="AE14" s="48"/>
      <c r="AF14" s="48"/>
    </row>
    <row r="15">
      <c r="A15" s="41"/>
      <c r="B15" s="49"/>
      <c r="C15" s="43" t="s">
        <v>143</v>
      </c>
      <c r="D15" s="46" t="s">
        <v>144</v>
      </c>
      <c r="E15" s="41"/>
      <c r="F15" s="41"/>
      <c r="G15" s="41"/>
      <c r="H15" s="46" t="s">
        <v>145</v>
      </c>
      <c r="I15" s="46" t="s">
        <v>146</v>
      </c>
      <c r="J15" s="46" t="s">
        <v>147</v>
      </c>
      <c r="K15" s="53" t="s">
        <v>35</v>
      </c>
      <c r="L15" s="41"/>
      <c r="M15" s="41"/>
      <c r="N15" s="41"/>
      <c r="O15" s="54" t="s">
        <v>148</v>
      </c>
      <c r="P15" s="41"/>
      <c r="Q15" s="41"/>
      <c r="R15" s="55" t="s">
        <v>21</v>
      </c>
      <c r="S15" s="48"/>
      <c r="T15" s="48"/>
      <c r="U15" s="48"/>
      <c r="V15" s="48"/>
      <c r="W15" s="48"/>
      <c r="X15" s="48"/>
      <c r="Y15" s="48"/>
      <c r="Z15" s="48"/>
      <c r="AA15" s="48"/>
      <c r="AB15" s="48"/>
      <c r="AC15" s="48"/>
      <c r="AD15" s="48"/>
      <c r="AE15" s="48"/>
      <c r="AF15" s="48"/>
    </row>
    <row r="16">
      <c r="A16" s="41"/>
      <c r="B16" s="49"/>
      <c r="C16" s="43" t="s">
        <v>149</v>
      </c>
      <c r="D16" s="46" t="s">
        <v>150</v>
      </c>
      <c r="E16" s="41"/>
      <c r="F16" s="41"/>
      <c r="G16" s="41"/>
      <c r="H16" s="46" t="s">
        <v>151</v>
      </c>
      <c r="I16" s="46" t="s">
        <v>152</v>
      </c>
      <c r="J16" s="46" t="s">
        <v>153</v>
      </c>
      <c r="K16" s="53" t="s">
        <v>35</v>
      </c>
      <c r="L16" s="41"/>
      <c r="M16" s="41"/>
      <c r="N16" s="41"/>
      <c r="O16" s="46" t="s">
        <v>154</v>
      </c>
      <c r="P16" s="41"/>
      <c r="Q16" s="41"/>
      <c r="R16" s="41"/>
      <c r="S16" s="48"/>
      <c r="T16" s="48"/>
      <c r="U16" s="48"/>
      <c r="V16" s="48"/>
      <c r="W16" s="48"/>
      <c r="X16" s="48"/>
      <c r="Y16" s="48"/>
      <c r="Z16" s="48"/>
      <c r="AA16" s="48"/>
      <c r="AB16" s="48"/>
      <c r="AC16" s="48"/>
      <c r="AD16" s="48"/>
      <c r="AE16" s="48"/>
      <c r="AF16" s="48"/>
    </row>
    <row r="17">
      <c r="A17" s="41"/>
      <c r="B17" s="49"/>
      <c r="C17" s="43" t="s">
        <v>155</v>
      </c>
      <c r="D17" s="8" t="s">
        <v>156</v>
      </c>
      <c r="E17" s="41"/>
      <c r="F17" s="41"/>
      <c r="G17" s="41"/>
      <c r="H17" s="46" t="s">
        <v>157</v>
      </c>
      <c r="I17" s="46" t="s">
        <v>158</v>
      </c>
      <c r="J17" s="46" t="s">
        <v>159</v>
      </c>
      <c r="K17" s="55" t="s">
        <v>21</v>
      </c>
      <c r="L17" s="41"/>
      <c r="M17" s="41"/>
      <c r="N17" s="41"/>
      <c r="O17" s="41"/>
      <c r="P17" s="41"/>
      <c r="Q17" s="41"/>
      <c r="R17" s="41"/>
      <c r="S17" s="48"/>
      <c r="T17" s="48"/>
      <c r="U17" s="48"/>
      <c r="V17" s="48"/>
      <c r="W17" s="48"/>
      <c r="X17" s="48"/>
      <c r="Y17" s="48"/>
      <c r="Z17" s="48"/>
      <c r="AA17" s="48"/>
      <c r="AB17" s="48"/>
      <c r="AC17" s="48"/>
      <c r="AD17" s="48"/>
      <c r="AE17" s="48"/>
      <c r="AF17" s="48"/>
    </row>
    <row r="18">
      <c r="A18" s="41"/>
      <c r="B18" s="56"/>
      <c r="C18" s="43" t="s">
        <v>160</v>
      </c>
      <c r="D18" s="46" t="s">
        <v>161</v>
      </c>
      <c r="E18" s="41"/>
      <c r="F18" s="41"/>
      <c r="G18" s="41"/>
      <c r="H18" s="46" t="s">
        <v>162</v>
      </c>
      <c r="I18" s="46" t="s">
        <v>163</v>
      </c>
      <c r="J18" s="46" t="s">
        <v>164</v>
      </c>
      <c r="K18" s="55" t="s">
        <v>21</v>
      </c>
      <c r="L18" s="41"/>
      <c r="M18" s="41"/>
      <c r="N18" s="41"/>
      <c r="O18" s="41"/>
      <c r="P18" s="41"/>
      <c r="Q18" s="41"/>
      <c r="R18" s="41"/>
      <c r="S18" s="48"/>
      <c r="T18" s="48"/>
      <c r="U18" s="48"/>
      <c r="V18" s="48"/>
      <c r="W18" s="48"/>
      <c r="X18" s="48"/>
      <c r="Y18" s="48"/>
      <c r="Z18" s="48"/>
      <c r="AA18" s="48"/>
      <c r="AB18" s="48"/>
      <c r="AC18" s="48"/>
      <c r="AD18" s="48"/>
      <c r="AE18" s="48"/>
      <c r="AF18" s="48"/>
    </row>
    <row r="19">
      <c r="A19" s="41"/>
      <c r="B19" s="57" t="s">
        <v>165</v>
      </c>
      <c r="C19" s="43" t="s">
        <v>166</v>
      </c>
      <c r="D19" s="46" t="s">
        <v>167</v>
      </c>
      <c r="E19" s="41"/>
      <c r="F19" s="41"/>
      <c r="G19" s="41"/>
      <c r="H19" s="46" t="s">
        <v>168</v>
      </c>
      <c r="I19" s="46" t="s">
        <v>169</v>
      </c>
      <c r="J19" s="46" t="s">
        <v>170</v>
      </c>
      <c r="K19" s="55" t="s">
        <v>21</v>
      </c>
      <c r="L19" s="41"/>
      <c r="M19" s="41"/>
      <c r="N19" s="41"/>
      <c r="O19" s="54" t="s">
        <v>171</v>
      </c>
      <c r="P19" s="41"/>
      <c r="Q19" s="41"/>
      <c r="R19" s="41"/>
      <c r="S19" s="48"/>
      <c r="T19" s="48"/>
      <c r="U19" s="48"/>
      <c r="V19" s="48"/>
      <c r="W19" s="48"/>
      <c r="X19" s="48"/>
      <c r="Y19" s="48"/>
      <c r="Z19" s="48"/>
      <c r="AA19" s="48"/>
      <c r="AB19" s="48"/>
      <c r="AC19" s="48"/>
      <c r="AD19" s="48"/>
      <c r="AE19" s="48"/>
      <c r="AF19" s="48"/>
    </row>
    <row r="20">
      <c r="A20" s="41"/>
      <c r="B20" s="49"/>
      <c r="C20" s="43" t="s">
        <v>172</v>
      </c>
      <c r="D20" s="46" t="s">
        <v>173</v>
      </c>
      <c r="E20" s="41"/>
      <c r="F20" s="41"/>
      <c r="G20" s="41"/>
      <c r="H20" s="46" t="s">
        <v>174</v>
      </c>
      <c r="I20" s="46" t="s">
        <v>175</v>
      </c>
      <c r="J20" s="46" t="s">
        <v>176</v>
      </c>
      <c r="K20" s="55" t="s">
        <v>21</v>
      </c>
      <c r="L20" s="41"/>
      <c r="M20" s="41"/>
      <c r="N20" s="41"/>
      <c r="O20" s="54" t="s">
        <v>177</v>
      </c>
      <c r="P20" s="41"/>
      <c r="Q20" s="41"/>
      <c r="R20" s="41"/>
      <c r="S20" s="48"/>
      <c r="T20" s="48"/>
      <c r="U20" s="48"/>
      <c r="V20" s="48"/>
      <c r="W20" s="48"/>
      <c r="X20" s="48"/>
      <c r="Y20" s="48"/>
      <c r="Z20" s="48"/>
      <c r="AA20" s="48"/>
      <c r="AB20" s="48"/>
      <c r="AC20" s="48"/>
      <c r="AD20" s="48"/>
      <c r="AE20" s="48"/>
      <c r="AF20" s="48"/>
    </row>
    <row r="21">
      <c r="A21" s="41"/>
      <c r="B21" s="49"/>
      <c r="C21" s="43" t="s">
        <v>178</v>
      </c>
      <c r="D21" s="46" t="s">
        <v>179</v>
      </c>
      <c r="E21" s="41"/>
      <c r="F21" s="41"/>
      <c r="G21" s="41"/>
      <c r="H21" s="46" t="s">
        <v>180</v>
      </c>
      <c r="I21" s="46" t="s">
        <v>181</v>
      </c>
      <c r="J21" s="46" t="s">
        <v>182</v>
      </c>
      <c r="K21" s="55" t="s">
        <v>21</v>
      </c>
      <c r="L21" s="41"/>
      <c r="M21" s="41"/>
      <c r="N21" s="41"/>
      <c r="O21" s="54" t="s">
        <v>183</v>
      </c>
      <c r="P21" s="41"/>
      <c r="Q21" s="41"/>
      <c r="R21" s="41"/>
      <c r="S21" s="48"/>
      <c r="T21" s="48"/>
      <c r="U21" s="48"/>
      <c r="V21" s="48"/>
      <c r="W21" s="48"/>
      <c r="X21" s="48"/>
      <c r="Y21" s="48"/>
      <c r="Z21" s="48"/>
      <c r="AA21" s="48"/>
      <c r="AB21" s="48"/>
      <c r="AC21" s="48"/>
      <c r="AD21" s="48"/>
      <c r="AE21" s="48"/>
      <c r="AF21" s="48"/>
    </row>
    <row r="22">
      <c r="A22" s="41"/>
      <c r="B22" s="49"/>
      <c r="C22" s="43" t="s">
        <v>184</v>
      </c>
      <c r="D22" s="46" t="s">
        <v>185</v>
      </c>
      <c r="E22" s="41"/>
      <c r="F22" s="41"/>
      <c r="G22" s="41"/>
      <c r="H22" s="46" t="s">
        <v>186</v>
      </c>
      <c r="I22" s="46" t="s">
        <v>187</v>
      </c>
      <c r="J22" s="46" t="s">
        <v>188</v>
      </c>
      <c r="K22" s="55" t="s">
        <v>21</v>
      </c>
      <c r="L22" s="41"/>
      <c r="M22" s="41"/>
      <c r="N22" s="41"/>
      <c r="O22" s="54" t="s">
        <v>189</v>
      </c>
      <c r="P22" s="41"/>
      <c r="Q22" s="41"/>
      <c r="R22" s="41"/>
      <c r="S22" s="48"/>
      <c r="T22" s="48"/>
      <c r="U22" s="48"/>
      <c r="V22" s="48"/>
      <c r="W22" s="48"/>
      <c r="X22" s="48"/>
      <c r="Y22" s="48"/>
      <c r="Z22" s="48"/>
      <c r="AA22" s="48"/>
      <c r="AB22" s="48"/>
      <c r="AC22" s="48"/>
      <c r="AD22" s="48"/>
      <c r="AE22" s="48"/>
      <c r="AF22" s="48"/>
    </row>
    <row r="23">
      <c r="A23" s="41"/>
      <c r="B23" s="49"/>
      <c r="C23" s="43" t="s">
        <v>190</v>
      </c>
      <c r="D23" s="46" t="s">
        <v>191</v>
      </c>
      <c r="E23" s="41"/>
      <c r="F23" s="41"/>
      <c r="G23" s="41"/>
      <c r="H23" s="46" t="s">
        <v>192</v>
      </c>
      <c r="I23" s="46" t="s">
        <v>193</v>
      </c>
      <c r="J23" s="46" t="s">
        <v>194</v>
      </c>
      <c r="K23" s="55" t="s">
        <v>21</v>
      </c>
      <c r="L23" s="41"/>
      <c r="M23" s="41"/>
      <c r="N23" s="41"/>
      <c r="O23" s="54" t="s">
        <v>195</v>
      </c>
      <c r="P23" s="41"/>
      <c r="Q23" s="41"/>
      <c r="R23" s="41"/>
      <c r="S23" s="48"/>
      <c r="T23" s="48"/>
      <c r="U23" s="48"/>
      <c r="V23" s="48"/>
      <c r="W23" s="48"/>
      <c r="X23" s="48"/>
      <c r="Y23" s="48"/>
      <c r="Z23" s="48"/>
      <c r="AA23" s="48"/>
      <c r="AB23" s="48"/>
      <c r="AC23" s="48"/>
      <c r="AD23" s="48"/>
      <c r="AE23" s="48"/>
      <c r="AF23" s="48"/>
    </row>
    <row r="24">
      <c r="A24" s="41"/>
      <c r="B24" s="49"/>
      <c r="C24" s="43" t="s">
        <v>196</v>
      </c>
      <c r="D24" s="46" t="s">
        <v>197</v>
      </c>
      <c r="E24" s="41"/>
      <c r="F24" s="41"/>
      <c r="G24" s="41"/>
      <c r="H24" s="46" t="s">
        <v>198</v>
      </c>
      <c r="I24" s="46" t="s">
        <v>199</v>
      </c>
      <c r="J24" s="46" t="s">
        <v>200</v>
      </c>
      <c r="K24" s="55" t="s">
        <v>21</v>
      </c>
      <c r="L24" s="41"/>
      <c r="M24" s="46" t="s">
        <v>37</v>
      </c>
      <c r="N24" s="41"/>
      <c r="O24" s="54" t="s">
        <v>201</v>
      </c>
      <c r="P24" s="41"/>
      <c r="Q24" s="41"/>
      <c r="R24" s="41"/>
      <c r="S24" s="48"/>
      <c r="T24" s="48"/>
      <c r="U24" s="48"/>
      <c r="V24" s="48"/>
      <c r="W24" s="48"/>
      <c r="X24" s="48"/>
      <c r="Y24" s="48"/>
      <c r="Z24" s="48"/>
      <c r="AA24" s="48"/>
      <c r="AB24" s="48"/>
      <c r="AC24" s="48"/>
      <c r="AD24" s="48"/>
      <c r="AE24" s="48"/>
      <c r="AF24" s="48"/>
    </row>
    <row r="25">
      <c r="A25" s="41"/>
      <c r="B25" s="49"/>
      <c r="C25" s="43" t="s">
        <v>202</v>
      </c>
      <c r="D25" s="46" t="s">
        <v>203</v>
      </c>
      <c r="E25" s="41"/>
      <c r="F25" s="41"/>
      <c r="G25" s="41"/>
      <c r="H25" s="46" t="s">
        <v>204</v>
      </c>
      <c r="I25" s="46" t="s">
        <v>205</v>
      </c>
      <c r="J25" s="46" t="s">
        <v>206</v>
      </c>
      <c r="K25" s="55" t="s">
        <v>21</v>
      </c>
      <c r="L25" s="41"/>
      <c r="M25" s="41"/>
      <c r="N25" s="41"/>
      <c r="O25" s="54" t="s">
        <v>207</v>
      </c>
      <c r="P25" s="41"/>
      <c r="Q25" s="41"/>
      <c r="R25" s="41"/>
      <c r="S25" s="48"/>
      <c r="T25" s="48"/>
      <c r="U25" s="48"/>
      <c r="V25" s="48"/>
      <c r="W25" s="48"/>
      <c r="X25" s="48"/>
      <c r="Y25" s="48"/>
      <c r="Z25" s="48"/>
      <c r="AA25" s="48"/>
      <c r="AB25" s="48"/>
      <c r="AC25" s="48"/>
      <c r="AD25" s="48"/>
      <c r="AE25" s="48"/>
      <c r="AF25" s="48"/>
    </row>
    <row r="26">
      <c r="A26" s="41"/>
      <c r="B26" s="49"/>
      <c r="C26" s="43" t="s">
        <v>208</v>
      </c>
      <c r="D26" s="46" t="s">
        <v>209</v>
      </c>
      <c r="E26" s="41"/>
      <c r="F26" s="41"/>
      <c r="G26" s="41"/>
      <c r="H26" s="46" t="s">
        <v>210</v>
      </c>
      <c r="I26" s="46" t="s">
        <v>211</v>
      </c>
      <c r="J26" s="46" t="s">
        <v>211</v>
      </c>
      <c r="K26" s="55" t="s">
        <v>21</v>
      </c>
      <c r="L26" s="41"/>
      <c r="M26" s="41"/>
      <c r="N26" s="41"/>
      <c r="O26" s="41"/>
      <c r="P26" s="41"/>
      <c r="Q26" s="41"/>
      <c r="R26" s="41"/>
      <c r="S26" s="48"/>
      <c r="T26" s="48"/>
      <c r="U26" s="48"/>
      <c r="V26" s="48"/>
      <c r="W26" s="48"/>
      <c r="X26" s="48"/>
      <c r="Y26" s="48"/>
      <c r="Z26" s="48"/>
      <c r="AA26" s="48"/>
      <c r="AB26" s="48"/>
      <c r="AC26" s="48"/>
      <c r="AD26" s="48"/>
      <c r="AE26" s="48"/>
      <c r="AF26" s="48"/>
    </row>
    <row r="27">
      <c r="A27" s="18"/>
      <c r="B27" s="56"/>
      <c r="C27" s="41"/>
      <c r="D27" s="18"/>
      <c r="E27" s="18"/>
      <c r="F27" s="18"/>
      <c r="G27" s="18"/>
      <c r="H27" s="18"/>
      <c r="I27" s="18"/>
      <c r="J27" s="18"/>
      <c r="K27" s="18"/>
      <c r="L27" s="18"/>
      <c r="M27" s="18"/>
      <c r="N27" s="18"/>
      <c r="O27" s="18"/>
      <c r="P27" s="18"/>
      <c r="Q27" s="18"/>
      <c r="R27" s="18"/>
      <c r="S27" s="19"/>
      <c r="T27" s="19"/>
      <c r="U27" s="19"/>
      <c r="V27" s="19"/>
      <c r="W27" s="19"/>
      <c r="X27" s="19"/>
      <c r="Y27" s="19"/>
      <c r="Z27" s="19"/>
      <c r="AA27" s="19"/>
      <c r="AB27" s="19"/>
      <c r="AC27" s="19"/>
      <c r="AD27" s="19"/>
      <c r="AE27" s="19"/>
      <c r="AF27" s="19"/>
    </row>
    <row r="28">
      <c r="A28" s="58"/>
      <c r="B28" s="59" t="s">
        <v>212</v>
      </c>
      <c r="C28" s="60" t="s">
        <v>213</v>
      </c>
      <c r="D28" s="44" t="s">
        <v>214</v>
      </c>
      <c r="E28" s="58"/>
      <c r="F28" s="58"/>
      <c r="G28" s="58"/>
      <c r="H28" s="44" t="s">
        <v>215</v>
      </c>
      <c r="I28" s="44" t="s">
        <v>216</v>
      </c>
      <c r="J28" s="44" t="s">
        <v>217</v>
      </c>
      <c r="K28" s="60" t="s">
        <v>35</v>
      </c>
      <c r="L28" s="58"/>
      <c r="M28" s="58"/>
      <c r="N28" s="58"/>
      <c r="O28" s="61" t="s">
        <v>218</v>
      </c>
      <c r="P28" s="58"/>
      <c r="Q28" s="58"/>
      <c r="R28" s="58"/>
      <c r="S28" s="62"/>
      <c r="T28" s="62"/>
      <c r="U28" s="62"/>
      <c r="V28" s="62"/>
      <c r="W28" s="62"/>
      <c r="X28" s="62"/>
      <c r="Y28" s="62"/>
      <c r="Z28" s="62"/>
      <c r="AA28" s="62"/>
      <c r="AB28" s="62"/>
      <c r="AC28" s="62"/>
      <c r="AD28" s="62"/>
      <c r="AE28" s="62"/>
      <c r="AF28" s="62"/>
    </row>
    <row r="29">
      <c r="A29" s="58"/>
      <c r="B29" s="49"/>
      <c r="C29" s="60" t="s">
        <v>219</v>
      </c>
      <c r="D29" s="44" t="s">
        <v>220</v>
      </c>
      <c r="E29" s="58"/>
      <c r="F29" s="58"/>
      <c r="G29" s="58"/>
      <c r="H29" s="44" t="s">
        <v>221</v>
      </c>
      <c r="I29" s="44" t="s">
        <v>222</v>
      </c>
      <c r="J29" s="44" t="s">
        <v>223</v>
      </c>
      <c r="K29" s="60" t="s">
        <v>35</v>
      </c>
      <c r="L29" s="58"/>
      <c r="M29" s="58"/>
      <c r="N29" s="58"/>
      <c r="O29" s="61" t="s">
        <v>224</v>
      </c>
      <c r="P29" s="58"/>
      <c r="Q29" s="58"/>
      <c r="R29" s="58"/>
      <c r="S29" s="62"/>
      <c r="T29" s="62"/>
      <c r="U29" s="62"/>
      <c r="V29" s="62"/>
      <c r="W29" s="62"/>
      <c r="X29" s="62"/>
      <c r="Y29" s="62"/>
      <c r="Z29" s="62"/>
      <c r="AA29" s="62"/>
      <c r="AB29" s="62"/>
      <c r="AC29" s="62"/>
      <c r="AD29" s="62"/>
      <c r="AE29" s="62"/>
      <c r="AF29" s="62"/>
    </row>
    <row r="30">
      <c r="A30" s="58"/>
      <c r="B30" s="49"/>
      <c r="C30" s="60" t="s">
        <v>225</v>
      </c>
      <c r="D30" s="44" t="s">
        <v>226</v>
      </c>
      <c r="E30" s="58"/>
      <c r="F30" s="58"/>
      <c r="G30" s="58"/>
      <c r="H30" s="44" t="s">
        <v>227</v>
      </c>
      <c r="I30" s="44" t="s">
        <v>228</v>
      </c>
      <c r="J30" s="44" t="s">
        <v>229</v>
      </c>
      <c r="K30" s="55" t="s">
        <v>21</v>
      </c>
      <c r="L30" s="58"/>
      <c r="M30" s="58"/>
      <c r="N30" s="58"/>
      <c r="O30" s="61" t="s">
        <v>230</v>
      </c>
      <c r="P30" s="58"/>
      <c r="Q30" s="58"/>
      <c r="R30" s="58"/>
      <c r="S30" s="62"/>
      <c r="T30" s="62"/>
      <c r="U30" s="62"/>
      <c r="V30" s="62"/>
      <c r="W30" s="62"/>
      <c r="X30" s="62"/>
      <c r="Y30" s="62"/>
      <c r="Z30" s="62"/>
      <c r="AA30" s="62"/>
      <c r="AB30" s="62"/>
      <c r="AC30" s="62"/>
      <c r="AD30" s="62"/>
      <c r="AE30" s="62"/>
      <c r="AF30" s="62"/>
    </row>
    <row r="31">
      <c r="A31" s="58"/>
      <c r="B31" s="49"/>
      <c r="C31" s="60" t="s">
        <v>231</v>
      </c>
      <c r="D31" s="44" t="s">
        <v>232</v>
      </c>
      <c r="E31" s="58"/>
      <c r="F31" s="58"/>
      <c r="G31" s="58"/>
      <c r="H31" s="44" t="s">
        <v>233</v>
      </c>
      <c r="I31" s="44" t="s">
        <v>234</v>
      </c>
      <c r="J31" s="58"/>
      <c r="K31" s="60" t="s">
        <v>35</v>
      </c>
      <c r="L31" s="58"/>
      <c r="M31" s="58"/>
      <c r="N31" s="58"/>
      <c r="O31" s="61" t="s">
        <v>235</v>
      </c>
      <c r="P31" s="58"/>
      <c r="Q31" s="58"/>
      <c r="R31" s="58"/>
      <c r="S31" s="62"/>
      <c r="T31" s="62"/>
      <c r="U31" s="62"/>
      <c r="V31" s="62"/>
      <c r="W31" s="62"/>
      <c r="X31" s="62"/>
      <c r="Y31" s="62"/>
      <c r="Z31" s="62"/>
      <c r="AA31" s="62"/>
      <c r="AB31" s="62"/>
      <c r="AC31" s="62"/>
      <c r="AD31" s="62"/>
      <c r="AE31" s="62"/>
      <c r="AF31" s="62"/>
    </row>
    <row r="32">
      <c r="A32" s="58"/>
      <c r="B32" s="56"/>
      <c r="C32" s="60" t="s">
        <v>236</v>
      </c>
      <c r="D32" s="44" t="s">
        <v>237</v>
      </c>
      <c r="E32" s="58"/>
      <c r="F32" s="58"/>
      <c r="G32" s="58"/>
      <c r="H32" s="58"/>
      <c r="I32" s="44" t="s">
        <v>238</v>
      </c>
      <c r="J32" s="44" t="s">
        <v>239</v>
      </c>
      <c r="K32" s="53" t="s">
        <v>35</v>
      </c>
      <c r="L32" s="58"/>
      <c r="M32" s="58"/>
      <c r="N32" s="58"/>
      <c r="O32" s="63" t="s">
        <v>240</v>
      </c>
      <c r="P32" s="58"/>
      <c r="Q32" s="58"/>
      <c r="R32" s="58"/>
      <c r="S32" s="62"/>
      <c r="T32" s="62"/>
      <c r="U32" s="62"/>
      <c r="V32" s="62"/>
      <c r="W32" s="62"/>
      <c r="X32" s="62"/>
      <c r="Y32" s="62"/>
      <c r="Z32" s="62"/>
      <c r="AA32" s="62"/>
      <c r="AB32" s="62"/>
      <c r="AC32" s="62"/>
      <c r="AD32" s="62"/>
      <c r="AE32" s="62"/>
      <c r="AF32" s="62"/>
    </row>
    <row r="33">
      <c r="A33" s="58"/>
      <c r="B33" s="58"/>
      <c r="C33" s="58"/>
      <c r="D33" s="58"/>
      <c r="E33" s="58"/>
      <c r="F33" s="58"/>
      <c r="G33" s="58"/>
      <c r="H33" s="58"/>
      <c r="I33" s="58"/>
      <c r="J33" s="58"/>
      <c r="K33" s="58"/>
      <c r="L33" s="58"/>
      <c r="M33" s="58"/>
      <c r="N33" s="58"/>
      <c r="O33" s="58"/>
      <c r="P33" s="58"/>
      <c r="Q33" s="58"/>
      <c r="R33" s="58"/>
      <c r="S33" s="62"/>
      <c r="T33" s="62"/>
      <c r="U33" s="62"/>
      <c r="V33" s="62"/>
      <c r="W33" s="62"/>
      <c r="X33" s="62"/>
      <c r="Y33" s="62"/>
      <c r="Z33" s="62"/>
      <c r="AA33" s="62"/>
      <c r="AB33" s="62"/>
      <c r="AC33" s="62"/>
      <c r="AD33" s="62"/>
      <c r="AE33" s="62"/>
      <c r="AF33" s="62"/>
    </row>
    <row r="34">
      <c r="A34" s="58"/>
      <c r="B34" s="58"/>
      <c r="C34" s="58"/>
      <c r="D34" s="58"/>
      <c r="E34" s="58"/>
      <c r="F34" s="58"/>
      <c r="G34" s="58"/>
      <c r="H34" s="58"/>
      <c r="I34" s="58"/>
      <c r="J34" s="58"/>
      <c r="K34" s="58"/>
      <c r="L34" s="58"/>
      <c r="M34" s="58"/>
      <c r="N34" s="58"/>
      <c r="O34" s="58"/>
      <c r="P34" s="58"/>
      <c r="Q34" s="58"/>
      <c r="R34" s="58"/>
      <c r="S34" s="62"/>
      <c r="T34" s="62"/>
      <c r="U34" s="62"/>
      <c r="V34" s="62"/>
      <c r="W34" s="62"/>
      <c r="X34" s="62"/>
      <c r="Y34" s="62"/>
      <c r="Z34" s="62"/>
      <c r="AA34" s="62"/>
      <c r="AB34" s="62"/>
      <c r="AC34" s="62"/>
      <c r="AD34" s="62"/>
      <c r="AE34" s="62"/>
      <c r="AF34" s="62"/>
    </row>
    <row r="35">
      <c r="A35" s="58"/>
      <c r="B35" s="58"/>
      <c r="C35" s="58"/>
      <c r="D35" s="58"/>
      <c r="E35" s="58"/>
      <c r="F35" s="58"/>
      <c r="G35" s="58"/>
      <c r="H35" s="58"/>
      <c r="I35" s="58"/>
      <c r="J35" s="58"/>
      <c r="K35" s="58"/>
      <c r="L35" s="58"/>
      <c r="M35" s="58"/>
      <c r="N35" s="58"/>
      <c r="O35" s="58"/>
      <c r="P35" s="58"/>
      <c r="Q35" s="58"/>
      <c r="R35" s="58"/>
      <c r="S35" s="62"/>
      <c r="T35" s="62"/>
      <c r="U35" s="62"/>
      <c r="V35" s="62"/>
      <c r="W35" s="62"/>
      <c r="X35" s="62"/>
      <c r="Y35" s="62"/>
      <c r="Z35" s="62"/>
      <c r="AA35" s="62"/>
      <c r="AB35" s="62"/>
      <c r="AC35" s="62"/>
      <c r="AD35" s="62"/>
      <c r="AE35" s="62"/>
      <c r="AF35" s="62"/>
    </row>
    <row r="36">
      <c r="A36" s="58"/>
      <c r="B36" s="58"/>
      <c r="C36" s="58"/>
      <c r="D36" s="58"/>
      <c r="E36" s="58"/>
      <c r="F36" s="58"/>
      <c r="G36" s="58"/>
      <c r="H36" s="58"/>
      <c r="I36" s="58"/>
      <c r="J36" s="58"/>
      <c r="K36" s="58"/>
      <c r="L36" s="58"/>
      <c r="M36" s="58"/>
      <c r="N36" s="58"/>
      <c r="O36" s="58"/>
      <c r="P36" s="58"/>
      <c r="Q36" s="58"/>
      <c r="R36" s="58"/>
      <c r="S36" s="62"/>
      <c r="T36" s="62"/>
      <c r="U36" s="62"/>
      <c r="V36" s="62"/>
      <c r="W36" s="62"/>
      <c r="X36" s="62"/>
      <c r="Y36" s="62"/>
      <c r="Z36" s="62"/>
      <c r="AA36" s="62"/>
      <c r="AB36" s="62"/>
      <c r="AC36" s="62"/>
      <c r="AD36" s="62"/>
      <c r="AE36" s="62"/>
      <c r="AF36" s="62"/>
    </row>
    <row r="37">
      <c r="A37" s="58"/>
      <c r="B37" s="58"/>
      <c r="C37" s="58"/>
      <c r="D37" s="58"/>
      <c r="E37" s="58"/>
      <c r="F37" s="58"/>
      <c r="G37" s="58"/>
      <c r="H37" s="58"/>
      <c r="I37" s="58"/>
      <c r="J37" s="58"/>
      <c r="K37" s="58"/>
      <c r="L37" s="58"/>
      <c r="M37" s="58"/>
      <c r="N37" s="58"/>
      <c r="O37" s="58"/>
      <c r="P37" s="58"/>
      <c r="Q37" s="58"/>
      <c r="R37" s="58"/>
      <c r="S37" s="62"/>
      <c r="T37" s="62"/>
      <c r="U37" s="62"/>
      <c r="V37" s="62"/>
      <c r="W37" s="62"/>
      <c r="X37" s="62"/>
      <c r="Y37" s="62"/>
      <c r="Z37" s="62"/>
      <c r="AA37" s="62"/>
      <c r="AB37" s="62"/>
      <c r="AC37" s="62"/>
      <c r="AD37" s="62"/>
      <c r="AE37" s="62"/>
      <c r="AF37" s="62"/>
    </row>
    <row r="38">
      <c r="A38" s="58"/>
      <c r="B38" s="58"/>
      <c r="C38" s="58"/>
      <c r="D38" s="58"/>
      <c r="E38" s="58"/>
      <c r="F38" s="58"/>
      <c r="G38" s="58"/>
      <c r="H38" s="58"/>
      <c r="I38" s="58"/>
      <c r="J38" s="58"/>
      <c r="K38" s="58"/>
      <c r="L38" s="58"/>
      <c r="M38" s="58"/>
      <c r="N38" s="58"/>
      <c r="O38" s="58"/>
      <c r="P38" s="58"/>
      <c r="Q38" s="58"/>
      <c r="R38" s="58"/>
      <c r="S38" s="62"/>
      <c r="T38" s="62"/>
      <c r="U38" s="62"/>
      <c r="V38" s="62"/>
      <c r="W38" s="62"/>
      <c r="X38" s="62"/>
      <c r="Y38" s="62"/>
      <c r="Z38" s="62"/>
      <c r="AA38" s="62"/>
      <c r="AB38" s="62"/>
      <c r="AC38" s="62"/>
      <c r="AD38" s="62"/>
      <c r="AE38" s="62"/>
      <c r="AF38" s="62"/>
    </row>
    <row r="39">
      <c r="A39" s="58"/>
      <c r="B39" s="58"/>
      <c r="C39" s="58"/>
      <c r="D39" s="58"/>
      <c r="E39" s="58"/>
      <c r="F39" s="58"/>
      <c r="G39" s="58"/>
      <c r="H39" s="58"/>
      <c r="I39" s="58"/>
      <c r="J39" s="58"/>
      <c r="K39" s="58"/>
      <c r="L39" s="58"/>
      <c r="M39" s="58"/>
      <c r="N39" s="58"/>
      <c r="O39" s="58"/>
      <c r="P39" s="58"/>
      <c r="Q39" s="58"/>
      <c r="R39" s="58"/>
      <c r="S39" s="62"/>
      <c r="T39" s="62"/>
      <c r="U39" s="62"/>
      <c r="V39" s="62"/>
      <c r="W39" s="62"/>
      <c r="X39" s="62"/>
      <c r="Y39" s="62"/>
      <c r="Z39" s="62"/>
      <c r="AA39" s="62"/>
      <c r="AB39" s="62"/>
      <c r="AC39" s="62"/>
      <c r="AD39" s="62"/>
      <c r="AE39" s="62"/>
      <c r="AF39" s="62"/>
    </row>
    <row r="40">
      <c r="A40" s="58"/>
      <c r="B40" s="58"/>
      <c r="C40" s="58"/>
      <c r="D40" s="58"/>
      <c r="E40" s="58"/>
      <c r="F40" s="58"/>
      <c r="G40" s="58"/>
      <c r="H40" s="58"/>
      <c r="I40" s="58"/>
      <c r="J40" s="58"/>
      <c r="K40" s="58"/>
      <c r="L40" s="58"/>
      <c r="M40" s="58"/>
      <c r="N40" s="58"/>
      <c r="O40" s="58"/>
      <c r="P40" s="58"/>
      <c r="Q40" s="58"/>
      <c r="R40" s="58"/>
      <c r="S40" s="62"/>
      <c r="T40" s="62"/>
      <c r="U40" s="62"/>
      <c r="V40" s="62"/>
      <c r="W40" s="62"/>
      <c r="X40" s="62"/>
      <c r="Y40" s="62"/>
      <c r="Z40" s="62"/>
      <c r="AA40" s="62"/>
      <c r="AB40" s="62"/>
      <c r="AC40" s="62"/>
      <c r="AD40" s="62"/>
      <c r="AE40" s="62"/>
      <c r="AF40" s="62"/>
    </row>
    <row r="41">
      <c r="A41" s="58"/>
      <c r="B41" s="58"/>
      <c r="C41" s="58"/>
      <c r="D41" s="58"/>
      <c r="E41" s="58"/>
      <c r="F41" s="58"/>
      <c r="G41" s="58"/>
      <c r="H41" s="58"/>
      <c r="I41" s="58"/>
      <c r="J41" s="58"/>
      <c r="K41" s="58"/>
      <c r="L41" s="58"/>
      <c r="M41" s="58"/>
      <c r="N41" s="58"/>
      <c r="O41" s="58"/>
      <c r="P41" s="58"/>
      <c r="Q41" s="58"/>
      <c r="R41" s="58"/>
      <c r="S41" s="62"/>
      <c r="T41" s="62"/>
      <c r="U41" s="62"/>
      <c r="V41" s="62"/>
      <c r="W41" s="62"/>
      <c r="X41" s="62"/>
      <c r="Y41" s="62"/>
      <c r="Z41" s="62"/>
      <c r="AA41" s="62"/>
      <c r="AB41" s="62"/>
      <c r="AC41" s="62"/>
      <c r="AD41" s="62"/>
      <c r="AE41" s="62"/>
      <c r="AF41" s="62"/>
    </row>
    <row r="42">
      <c r="A42" s="58"/>
      <c r="B42" s="58"/>
      <c r="C42" s="58"/>
      <c r="D42" s="58"/>
      <c r="E42" s="58"/>
      <c r="F42" s="58"/>
      <c r="G42" s="58"/>
      <c r="H42" s="58"/>
      <c r="I42" s="58"/>
      <c r="J42" s="58"/>
      <c r="K42" s="58"/>
      <c r="L42" s="58"/>
      <c r="M42" s="58"/>
      <c r="N42" s="58"/>
      <c r="O42" s="58"/>
      <c r="P42" s="58"/>
      <c r="Q42" s="58"/>
      <c r="R42" s="58"/>
      <c r="S42" s="62"/>
      <c r="T42" s="62"/>
      <c r="U42" s="62"/>
      <c r="V42" s="62"/>
      <c r="W42" s="62"/>
      <c r="X42" s="62"/>
      <c r="Y42" s="62"/>
      <c r="Z42" s="62"/>
      <c r="AA42" s="62"/>
      <c r="AB42" s="62"/>
      <c r="AC42" s="62"/>
      <c r="AD42" s="62"/>
      <c r="AE42" s="62"/>
      <c r="AF42" s="62"/>
    </row>
    <row r="43">
      <c r="A43" s="58"/>
      <c r="B43" s="58"/>
      <c r="C43" s="58"/>
      <c r="D43" s="58"/>
      <c r="E43" s="58"/>
      <c r="F43" s="58"/>
      <c r="G43" s="58"/>
      <c r="H43" s="58"/>
      <c r="I43" s="58"/>
      <c r="J43" s="58"/>
      <c r="K43" s="58"/>
      <c r="L43" s="58"/>
      <c r="M43" s="58"/>
      <c r="N43" s="58"/>
      <c r="O43" s="58"/>
      <c r="P43" s="58"/>
      <c r="Q43" s="58"/>
      <c r="R43" s="58"/>
      <c r="S43" s="62"/>
      <c r="T43" s="62"/>
      <c r="U43" s="62"/>
      <c r="V43" s="62"/>
      <c r="W43" s="62"/>
      <c r="X43" s="62"/>
      <c r="Y43" s="62"/>
      <c r="Z43" s="62"/>
      <c r="AA43" s="62"/>
      <c r="AB43" s="62"/>
      <c r="AC43" s="62"/>
      <c r="AD43" s="62"/>
      <c r="AE43" s="62"/>
      <c r="AF43" s="62"/>
    </row>
    <row r="44">
      <c r="A44" s="58"/>
      <c r="B44" s="58"/>
      <c r="C44" s="58"/>
      <c r="D44" s="58"/>
      <c r="E44" s="58"/>
      <c r="F44" s="58"/>
      <c r="G44" s="58"/>
      <c r="H44" s="58"/>
      <c r="I44" s="58"/>
      <c r="J44" s="58"/>
      <c r="K44" s="58"/>
      <c r="L44" s="58"/>
      <c r="M44" s="58"/>
      <c r="N44" s="58"/>
      <c r="O44" s="58"/>
      <c r="P44" s="58"/>
      <c r="Q44" s="58"/>
      <c r="R44" s="58"/>
      <c r="S44" s="62"/>
      <c r="T44" s="62"/>
      <c r="U44" s="62"/>
      <c r="V44" s="62"/>
      <c r="W44" s="62"/>
      <c r="X44" s="62"/>
      <c r="Y44" s="62"/>
      <c r="Z44" s="62"/>
      <c r="AA44" s="62"/>
      <c r="AB44" s="62"/>
      <c r="AC44" s="62"/>
      <c r="AD44" s="62"/>
      <c r="AE44" s="62"/>
      <c r="AF44" s="62"/>
    </row>
    <row r="45">
      <c r="A45" s="58"/>
      <c r="B45" s="58"/>
      <c r="C45" s="58"/>
      <c r="D45" s="58"/>
      <c r="E45" s="58"/>
      <c r="F45" s="58"/>
      <c r="G45" s="58"/>
      <c r="H45" s="58"/>
      <c r="I45" s="58"/>
      <c r="J45" s="58"/>
      <c r="K45" s="58"/>
      <c r="L45" s="58"/>
      <c r="M45" s="58"/>
      <c r="N45" s="58"/>
      <c r="O45" s="58"/>
      <c r="P45" s="58"/>
      <c r="Q45" s="58"/>
      <c r="R45" s="58"/>
      <c r="S45" s="62"/>
      <c r="T45" s="62"/>
      <c r="U45" s="62"/>
      <c r="V45" s="62"/>
      <c r="W45" s="62"/>
      <c r="X45" s="62"/>
      <c r="Y45" s="62"/>
      <c r="Z45" s="62"/>
      <c r="AA45" s="62"/>
      <c r="AB45" s="62"/>
      <c r="AC45" s="62"/>
      <c r="AD45" s="62"/>
      <c r="AE45" s="62"/>
      <c r="AF45" s="62"/>
    </row>
    <row r="46">
      <c r="A46" s="58"/>
      <c r="B46" s="58"/>
      <c r="C46" s="58"/>
      <c r="D46" s="58"/>
      <c r="E46" s="58"/>
      <c r="F46" s="58"/>
      <c r="G46" s="58"/>
      <c r="H46" s="58"/>
      <c r="I46" s="58"/>
      <c r="J46" s="58"/>
      <c r="K46" s="58"/>
      <c r="L46" s="58"/>
      <c r="M46" s="58"/>
      <c r="N46" s="58"/>
      <c r="O46" s="58"/>
      <c r="P46" s="58"/>
      <c r="Q46" s="58"/>
      <c r="R46" s="58"/>
      <c r="S46" s="62"/>
      <c r="T46" s="62"/>
      <c r="U46" s="62"/>
      <c r="V46" s="62"/>
      <c r="W46" s="62"/>
      <c r="X46" s="62"/>
      <c r="Y46" s="62"/>
      <c r="Z46" s="62"/>
      <c r="AA46" s="62"/>
      <c r="AB46" s="62"/>
      <c r="AC46" s="62"/>
      <c r="AD46" s="62"/>
      <c r="AE46" s="62"/>
      <c r="AF46" s="62"/>
    </row>
    <row r="47">
      <c r="A47" s="58"/>
      <c r="B47" s="58"/>
      <c r="C47" s="58"/>
      <c r="D47" s="58"/>
      <c r="E47" s="58"/>
      <c r="F47" s="58"/>
      <c r="G47" s="58"/>
      <c r="H47" s="58"/>
      <c r="I47" s="58"/>
      <c r="J47" s="58"/>
      <c r="K47" s="58"/>
      <c r="L47" s="58"/>
      <c r="M47" s="58"/>
      <c r="N47" s="58"/>
      <c r="O47" s="58"/>
      <c r="P47" s="58"/>
      <c r="Q47" s="58"/>
      <c r="R47" s="58"/>
      <c r="S47" s="62"/>
      <c r="T47" s="62"/>
      <c r="U47" s="62"/>
      <c r="V47" s="62"/>
      <c r="W47" s="62"/>
      <c r="X47" s="62"/>
      <c r="Y47" s="62"/>
      <c r="Z47" s="62"/>
      <c r="AA47" s="62"/>
      <c r="AB47" s="62"/>
      <c r="AC47" s="62"/>
      <c r="AD47" s="62"/>
      <c r="AE47" s="62"/>
      <c r="AF47" s="62"/>
    </row>
    <row r="48">
      <c r="A48" s="18"/>
      <c r="B48" s="64"/>
      <c r="C48" s="41"/>
      <c r="D48" s="18"/>
      <c r="E48" s="18"/>
      <c r="F48" s="18"/>
      <c r="G48" s="18"/>
      <c r="H48" s="18"/>
      <c r="I48" s="18"/>
      <c r="J48" s="18"/>
      <c r="K48" s="18"/>
      <c r="L48" s="18"/>
      <c r="M48" s="18"/>
      <c r="N48" s="18"/>
      <c r="O48" s="18"/>
      <c r="P48" s="18"/>
      <c r="Q48" s="18"/>
      <c r="R48" s="18"/>
      <c r="S48" s="19"/>
      <c r="T48" s="19"/>
      <c r="U48" s="19"/>
      <c r="V48" s="19"/>
      <c r="W48" s="19"/>
      <c r="X48" s="19"/>
      <c r="Y48" s="19"/>
      <c r="Z48" s="19"/>
      <c r="AA48" s="19"/>
      <c r="AB48" s="19"/>
      <c r="AC48" s="19"/>
      <c r="AD48" s="19"/>
      <c r="AE48" s="19"/>
      <c r="AF48" s="19"/>
    </row>
    <row r="49">
      <c r="A49" s="18"/>
      <c r="B49" s="64"/>
      <c r="C49" s="41"/>
      <c r="D49" s="18"/>
      <c r="E49" s="18"/>
      <c r="F49" s="18"/>
      <c r="G49" s="18"/>
      <c r="H49" s="18"/>
      <c r="I49" s="18"/>
      <c r="J49" s="18"/>
      <c r="K49" s="18"/>
      <c r="L49" s="18"/>
      <c r="M49" s="18"/>
      <c r="N49" s="18"/>
      <c r="O49" s="18"/>
      <c r="P49" s="18"/>
      <c r="Q49" s="18"/>
      <c r="R49" s="18"/>
      <c r="S49" s="19"/>
      <c r="T49" s="19"/>
      <c r="U49" s="19"/>
      <c r="V49" s="19"/>
      <c r="W49" s="19"/>
      <c r="X49" s="19"/>
      <c r="Y49" s="19"/>
      <c r="Z49" s="19"/>
      <c r="AA49" s="19"/>
      <c r="AB49" s="19"/>
      <c r="AC49" s="19"/>
      <c r="AD49" s="19"/>
      <c r="AE49" s="19"/>
      <c r="AF49" s="19"/>
    </row>
    <row r="50">
      <c r="A50" s="18"/>
      <c r="B50" s="64"/>
      <c r="C50" s="41"/>
      <c r="D50" s="18"/>
      <c r="E50" s="18"/>
      <c r="F50" s="18"/>
      <c r="G50" s="18"/>
      <c r="H50" s="18"/>
      <c r="I50" s="18"/>
      <c r="J50" s="18"/>
      <c r="K50" s="18"/>
      <c r="L50" s="18"/>
      <c r="M50" s="18"/>
      <c r="N50" s="18"/>
      <c r="O50" s="18"/>
      <c r="P50" s="18"/>
      <c r="Q50" s="18"/>
      <c r="R50" s="18"/>
      <c r="S50" s="19"/>
      <c r="T50" s="19"/>
      <c r="U50" s="19"/>
      <c r="V50" s="19"/>
      <c r="W50" s="19"/>
      <c r="X50" s="19"/>
      <c r="Y50" s="19"/>
      <c r="Z50" s="19"/>
      <c r="AA50" s="19"/>
      <c r="AB50" s="19"/>
      <c r="AC50" s="19"/>
      <c r="AD50" s="19"/>
      <c r="AE50" s="19"/>
      <c r="AF50" s="19"/>
    </row>
    <row r="51">
      <c r="A51" s="18"/>
      <c r="B51" s="64"/>
      <c r="C51" s="41"/>
      <c r="D51" s="18"/>
      <c r="E51" s="18"/>
      <c r="F51" s="18"/>
      <c r="G51" s="18"/>
      <c r="H51" s="18"/>
      <c r="I51" s="18"/>
      <c r="J51" s="18"/>
      <c r="K51" s="18"/>
      <c r="L51" s="18"/>
      <c r="M51" s="18"/>
      <c r="N51" s="18"/>
      <c r="O51" s="18"/>
      <c r="P51" s="18"/>
      <c r="Q51" s="18"/>
      <c r="R51" s="18"/>
      <c r="S51" s="19"/>
      <c r="T51" s="19"/>
      <c r="U51" s="19"/>
      <c r="V51" s="19"/>
      <c r="W51" s="19"/>
      <c r="X51" s="19"/>
      <c r="Y51" s="19"/>
      <c r="Z51" s="19"/>
      <c r="AA51" s="19"/>
      <c r="AB51" s="19"/>
      <c r="AC51" s="19"/>
      <c r="AD51" s="19"/>
      <c r="AE51" s="19"/>
      <c r="AF51" s="19"/>
    </row>
    <row r="52">
      <c r="A52" s="18"/>
      <c r="B52" s="64"/>
      <c r="C52" s="41"/>
      <c r="D52" s="18"/>
      <c r="E52" s="18"/>
      <c r="F52" s="18"/>
      <c r="G52" s="18"/>
      <c r="H52" s="18"/>
      <c r="I52" s="18"/>
      <c r="J52" s="18"/>
      <c r="K52" s="18"/>
      <c r="L52" s="18"/>
      <c r="M52" s="18"/>
      <c r="N52" s="18"/>
      <c r="O52" s="18"/>
      <c r="P52" s="18"/>
      <c r="Q52" s="18"/>
      <c r="R52" s="18"/>
      <c r="S52" s="19"/>
      <c r="T52" s="19"/>
      <c r="U52" s="19"/>
      <c r="V52" s="19"/>
      <c r="W52" s="19"/>
      <c r="X52" s="19"/>
      <c r="Y52" s="19"/>
      <c r="Z52" s="19"/>
      <c r="AA52" s="19"/>
      <c r="AB52" s="19"/>
      <c r="AC52" s="19"/>
      <c r="AD52" s="19"/>
      <c r="AE52" s="19"/>
      <c r="AF52" s="19"/>
    </row>
    <row r="53">
      <c r="A53" s="18"/>
      <c r="B53" s="64"/>
      <c r="C53" s="41"/>
      <c r="D53" s="18"/>
      <c r="E53" s="18"/>
      <c r="F53" s="18"/>
      <c r="G53" s="18"/>
      <c r="H53" s="18"/>
      <c r="I53" s="18"/>
      <c r="J53" s="18"/>
      <c r="K53" s="18"/>
      <c r="L53" s="18"/>
      <c r="M53" s="18"/>
      <c r="N53" s="18"/>
      <c r="O53" s="18"/>
      <c r="P53" s="18"/>
      <c r="Q53" s="18"/>
      <c r="R53" s="18"/>
      <c r="S53" s="19"/>
      <c r="T53" s="19"/>
      <c r="U53" s="19"/>
      <c r="V53" s="19"/>
      <c r="W53" s="19"/>
      <c r="X53" s="19"/>
      <c r="Y53" s="19"/>
      <c r="Z53" s="19"/>
      <c r="AA53" s="19"/>
      <c r="AB53" s="19"/>
      <c r="AC53" s="19"/>
      <c r="AD53" s="19"/>
      <c r="AE53" s="19"/>
      <c r="AF53" s="19"/>
    </row>
    <row r="54">
      <c r="A54" s="18"/>
      <c r="B54" s="64"/>
      <c r="C54" s="41"/>
      <c r="D54" s="18"/>
      <c r="E54" s="18"/>
      <c r="F54" s="18"/>
      <c r="G54" s="18"/>
      <c r="H54" s="18"/>
      <c r="I54" s="18"/>
      <c r="J54" s="18"/>
      <c r="K54" s="18"/>
      <c r="L54" s="18"/>
      <c r="M54" s="18"/>
      <c r="N54" s="18"/>
      <c r="O54" s="18"/>
      <c r="P54" s="18"/>
      <c r="Q54" s="18"/>
      <c r="R54" s="18"/>
      <c r="S54" s="19"/>
      <c r="T54" s="19"/>
      <c r="U54" s="19"/>
      <c r="V54" s="19"/>
      <c r="W54" s="19"/>
      <c r="X54" s="19"/>
      <c r="Y54" s="19"/>
      <c r="Z54" s="19"/>
      <c r="AA54" s="19"/>
      <c r="AB54" s="19"/>
      <c r="AC54" s="19"/>
      <c r="AD54" s="19"/>
      <c r="AE54" s="19"/>
      <c r="AF54" s="19"/>
    </row>
    <row r="55">
      <c r="A55" s="19"/>
      <c r="B55" s="65"/>
      <c r="C55" s="48"/>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row>
    <row r="56">
      <c r="A56" s="19"/>
      <c r="B56" s="65"/>
      <c r="C56" s="48"/>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row>
    <row r="57">
      <c r="A57" s="19"/>
      <c r="B57" s="65"/>
      <c r="C57" s="48"/>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row>
    <row r="58">
      <c r="A58" s="19"/>
      <c r="B58" s="65"/>
      <c r="C58" s="48"/>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row>
    <row r="59">
      <c r="A59" s="19"/>
      <c r="B59" s="65"/>
      <c r="C59" s="48"/>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row>
    <row r="60">
      <c r="A60" s="19"/>
      <c r="B60" s="65"/>
      <c r="C60" s="48"/>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row>
    <row r="61">
      <c r="A61" s="19"/>
      <c r="B61" s="65"/>
      <c r="C61" s="48"/>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c r="A62" s="19"/>
      <c r="B62" s="65"/>
      <c r="C62" s="48"/>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row>
    <row r="63">
      <c r="A63" s="19"/>
      <c r="B63" s="65"/>
      <c r="C63" s="48"/>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row>
    <row r="64">
      <c r="A64" s="19"/>
      <c r="B64" s="65"/>
      <c r="C64" s="48"/>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row>
    <row r="65">
      <c r="A65" s="19"/>
      <c r="B65" s="65"/>
      <c r="C65" s="48"/>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row>
    <row r="66">
      <c r="A66" s="19"/>
      <c r="B66" s="65"/>
      <c r="C66" s="48"/>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row>
    <row r="67">
      <c r="A67" s="19"/>
      <c r="B67" s="65"/>
      <c r="C67" s="48"/>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row>
    <row r="68">
      <c r="A68" s="19"/>
      <c r="B68" s="65"/>
      <c r="C68" s="48"/>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row>
    <row r="69">
      <c r="A69" s="19"/>
      <c r="B69" s="65"/>
      <c r="C69" s="48"/>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c r="A70" s="19"/>
      <c r="B70" s="65"/>
      <c r="C70" s="48"/>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row>
    <row r="71">
      <c r="A71" s="19"/>
      <c r="B71" s="65"/>
      <c r="C71" s="48"/>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row>
    <row r="72">
      <c r="A72" s="19"/>
      <c r="B72" s="65"/>
      <c r="C72" s="48"/>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row>
    <row r="73">
      <c r="A73" s="19"/>
      <c r="B73" s="65"/>
      <c r="C73" s="48"/>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row>
    <row r="74">
      <c r="A74" s="19"/>
      <c r="B74" s="65"/>
      <c r="C74" s="48"/>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row>
    <row r="75">
      <c r="A75" s="19"/>
      <c r="B75" s="65"/>
      <c r="C75" s="48"/>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row>
    <row r="76">
      <c r="A76" s="19"/>
      <c r="B76" s="65"/>
      <c r="C76" s="48"/>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row>
    <row r="77">
      <c r="A77" s="19"/>
      <c r="B77" s="65"/>
      <c r="C77" s="48"/>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row>
    <row r="78">
      <c r="A78" s="19"/>
      <c r="B78" s="65"/>
      <c r="C78" s="48"/>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row>
    <row r="79">
      <c r="A79" s="19"/>
      <c r="B79" s="65"/>
      <c r="C79" s="48"/>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row>
    <row r="80">
      <c r="A80" s="19"/>
      <c r="B80" s="65"/>
      <c r="C80" s="48"/>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row>
    <row r="81">
      <c r="A81" s="19"/>
      <c r="B81" s="65"/>
      <c r="C81" s="48"/>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row>
    <row r="82">
      <c r="A82" s="19"/>
      <c r="B82" s="65"/>
      <c r="C82" s="48"/>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row>
    <row r="83">
      <c r="A83" s="19"/>
      <c r="B83" s="65"/>
      <c r="C83" s="48"/>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row>
    <row r="84">
      <c r="A84" s="19"/>
      <c r="B84" s="65"/>
      <c r="C84" s="48"/>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row>
    <row r="85">
      <c r="A85" s="19"/>
      <c r="B85" s="65"/>
      <c r="C85" s="48"/>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row>
    <row r="86">
      <c r="A86" s="19"/>
      <c r="B86" s="65"/>
      <c r="C86" s="48"/>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row>
    <row r="87">
      <c r="A87" s="19"/>
      <c r="B87" s="65"/>
      <c r="C87" s="48"/>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row>
    <row r="88">
      <c r="A88" s="19"/>
      <c r="B88" s="65"/>
      <c r="C88" s="48"/>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row>
    <row r="89">
      <c r="A89" s="19"/>
      <c r="B89" s="65"/>
      <c r="C89" s="48"/>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row>
    <row r="90">
      <c r="A90" s="19"/>
      <c r="B90" s="65"/>
      <c r="C90" s="48"/>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row>
    <row r="91">
      <c r="A91" s="19"/>
      <c r="B91" s="65"/>
      <c r="C91" s="48"/>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row>
    <row r="92">
      <c r="A92" s="19"/>
      <c r="B92" s="65"/>
      <c r="C92" s="48"/>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row>
    <row r="93">
      <c r="A93" s="19"/>
      <c r="B93" s="65"/>
      <c r="C93" s="48"/>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row>
    <row r="94">
      <c r="A94" s="19"/>
      <c r="B94" s="65"/>
      <c r="C94" s="48"/>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row>
    <row r="95">
      <c r="A95" s="19"/>
      <c r="B95" s="65"/>
      <c r="C95" s="48"/>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row>
    <row r="96">
      <c r="A96" s="19"/>
      <c r="B96" s="65"/>
      <c r="C96" s="48"/>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row>
    <row r="97">
      <c r="A97" s="19"/>
      <c r="B97" s="65"/>
      <c r="C97" s="48"/>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row>
    <row r="98">
      <c r="A98" s="19"/>
      <c r="B98" s="65"/>
      <c r="C98" s="48"/>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row>
    <row r="99">
      <c r="A99" s="19"/>
      <c r="B99" s="65"/>
      <c r="C99" s="48"/>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row>
    <row r="100">
      <c r="A100" s="19"/>
      <c r="B100" s="65"/>
      <c r="C100" s="48"/>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row>
    <row r="101">
      <c r="A101" s="19"/>
      <c r="B101" s="65"/>
      <c r="C101" s="48"/>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row>
    <row r="102">
      <c r="A102" s="19"/>
      <c r="B102" s="65"/>
      <c r="C102" s="48"/>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row>
    <row r="103">
      <c r="A103" s="19"/>
      <c r="B103" s="65"/>
      <c r="C103" s="48"/>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row>
    <row r="104">
      <c r="A104" s="19"/>
      <c r="B104" s="65"/>
      <c r="C104" s="48"/>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row>
    <row r="105">
      <c r="A105" s="19"/>
      <c r="B105" s="65"/>
      <c r="C105" s="48"/>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row>
    <row r="106">
      <c r="A106" s="19"/>
      <c r="B106" s="65"/>
      <c r="C106" s="48"/>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row>
    <row r="107">
      <c r="A107" s="19"/>
      <c r="B107" s="65"/>
      <c r="C107" s="48"/>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c r="A108" s="19"/>
      <c r="B108" s="65"/>
      <c r="C108" s="48"/>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row>
    <row r="109">
      <c r="A109" s="19"/>
      <c r="B109" s="65"/>
      <c r="C109" s="48"/>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row>
    <row r="110">
      <c r="A110" s="19"/>
      <c r="B110" s="65"/>
      <c r="C110" s="48"/>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row>
    <row r="111">
      <c r="A111" s="19"/>
      <c r="B111" s="65"/>
      <c r="C111" s="48"/>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row>
    <row r="112">
      <c r="A112" s="19"/>
      <c r="B112" s="65"/>
      <c r="C112" s="48"/>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row>
    <row r="113">
      <c r="A113" s="19"/>
      <c r="B113" s="65"/>
      <c r="C113" s="48"/>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row>
    <row r="114">
      <c r="A114" s="19"/>
      <c r="B114" s="65"/>
      <c r="C114" s="48"/>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row>
    <row r="115">
      <c r="A115" s="19"/>
      <c r="B115" s="65"/>
      <c r="C115" s="48"/>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c r="A116" s="19"/>
      <c r="B116" s="65"/>
      <c r="C116" s="48"/>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row>
    <row r="117">
      <c r="A117" s="19"/>
      <c r="B117" s="65"/>
      <c r="C117" s="48"/>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row>
    <row r="118">
      <c r="A118" s="19"/>
      <c r="B118" s="65"/>
      <c r="C118" s="48"/>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row>
    <row r="119">
      <c r="A119" s="19"/>
      <c r="B119" s="65"/>
      <c r="C119" s="48"/>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row>
    <row r="120">
      <c r="A120" s="19"/>
      <c r="B120" s="65"/>
      <c r="C120" s="48"/>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row>
    <row r="121">
      <c r="A121" s="19"/>
      <c r="B121" s="65"/>
      <c r="C121" s="48"/>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row>
    <row r="122">
      <c r="A122" s="19"/>
      <c r="B122" s="65"/>
      <c r="C122" s="48"/>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row>
    <row r="123">
      <c r="A123" s="19"/>
      <c r="B123" s="65"/>
      <c r="C123" s="48"/>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row>
    <row r="124">
      <c r="A124" s="19"/>
      <c r="B124" s="65"/>
      <c r="C124" s="48"/>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c r="A125" s="19"/>
      <c r="B125" s="65"/>
      <c r="C125" s="48"/>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row>
    <row r="126">
      <c r="A126" s="19"/>
      <c r="B126" s="65"/>
      <c r="C126" s="48"/>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row>
    <row r="127">
      <c r="A127" s="19"/>
      <c r="B127" s="65"/>
      <c r="C127" s="48"/>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row>
    <row r="128">
      <c r="A128" s="19"/>
      <c r="B128" s="65"/>
      <c r="C128" s="48"/>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row>
    <row r="129">
      <c r="A129" s="19"/>
      <c r="B129" s="65"/>
      <c r="C129" s="48"/>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row>
    <row r="130">
      <c r="A130" s="19"/>
      <c r="B130" s="65"/>
      <c r="C130" s="48"/>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row>
    <row r="131">
      <c r="A131" s="19"/>
      <c r="B131" s="65"/>
      <c r="C131" s="48"/>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row>
    <row r="132">
      <c r="A132" s="19"/>
      <c r="B132" s="65"/>
      <c r="C132" s="48"/>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row>
    <row r="133">
      <c r="A133" s="19"/>
      <c r="B133" s="65"/>
      <c r="C133" s="48"/>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row>
    <row r="134">
      <c r="A134" s="19"/>
      <c r="B134" s="65"/>
      <c r="C134" s="48"/>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row>
    <row r="135">
      <c r="A135" s="19"/>
      <c r="B135" s="65"/>
      <c r="C135" s="48"/>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row>
    <row r="136">
      <c r="A136" s="19"/>
      <c r="B136" s="65"/>
      <c r="C136" s="48"/>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row>
    <row r="137">
      <c r="A137" s="19"/>
      <c r="B137" s="65"/>
      <c r="C137" s="48"/>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row>
    <row r="138">
      <c r="A138" s="19"/>
      <c r="B138" s="65"/>
      <c r="C138" s="48"/>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row>
    <row r="139">
      <c r="A139" s="19"/>
      <c r="B139" s="65"/>
      <c r="C139" s="48"/>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row>
    <row r="140">
      <c r="A140" s="19"/>
      <c r="B140" s="65"/>
      <c r="C140" s="48"/>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row>
    <row r="141">
      <c r="A141" s="19"/>
      <c r="B141" s="65"/>
      <c r="C141" s="48"/>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row>
    <row r="142">
      <c r="A142" s="19"/>
      <c r="B142" s="65"/>
      <c r="C142" s="48"/>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row>
    <row r="143">
      <c r="A143" s="19"/>
      <c r="B143" s="65"/>
      <c r="C143" s="48"/>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row>
    <row r="144">
      <c r="A144" s="19"/>
      <c r="B144" s="65"/>
      <c r="C144" s="48"/>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row>
    <row r="145">
      <c r="A145" s="19"/>
      <c r="B145" s="65"/>
      <c r="C145" s="48"/>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row>
    <row r="146">
      <c r="A146" s="19"/>
      <c r="B146" s="65"/>
      <c r="C146" s="48"/>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row>
    <row r="147">
      <c r="A147" s="19"/>
      <c r="B147" s="65"/>
      <c r="C147" s="48"/>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row>
    <row r="148">
      <c r="A148" s="19"/>
      <c r="B148" s="65"/>
      <c r="C148" s="48"/>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row>
    <row r="149">
      <c r="A149" s="19"/>
      <c r="B149" s="65"/>
      <c r="C149" s="48"/>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row>
    <row r="150">
      <c r="A150" s="19"/>
      <c r="B150" s="65"/>
      <c r="C150" s="48"/>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row>
    <row r="151">
      <c r="A151" s="19"/>
      <c r="B151" s="65"/>
      <c r="C151" s="48"/>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row>
    <row r="152">
      <c r="A152" s="19"/>
      <c r="B152" s="65"/>
      <c r="C152" s="48"/>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row>
    <row r="153">
      <c r="A153" s="19"/>
      <c r="B153" s="65"/>
      <c r="C153" s="48"/>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row>
    <row r="154">
      <c r="A154" s="19"/>
      <c r="B154" s="65"/>
      <c r="C154" s="48"/>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row>
    <row r="155">
      <c r="A155" s="19"/>
      <c r="B155" s="65"/>
      <c r="C155" s="48"/>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row>
    <row r="156">
      <c r="A156" s="19"/>
      <c r="B156" s="65"/>
      <c r="C156" s="48"/>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row>
    <row r="157">
      <c r="A157" s="19"/>
      <c r="B157" s="65"/>
      <c r="C157" s="48"/>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row>
    <row r="158">
      <c r="A158" s="19"/>
      <c r="B158" s="65"/>
      <c r="C158" s="48"/>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row>
    <row r="159">
      <c r="A159" s="19"/>
      <c r="B159" s="65"/>
      <c r="C159" s="48"/>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row>
    <row r="160">
      <c r="A160" s="19"/>
      <c r="B160" s="65"/>
      <c r="C160" s="48"/>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row>
    <row r="161">
      <c r="A161" s="19"/>
      <c r="B161" s="65"/>
      <c r="C161" s="48"/>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row>
    <row r="162">
      <c r="A162" s="19"/>
      <c r="B162" s="65"/>
      <c r="C162" s="48"/>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row>
    <row r="163">
      <c r="A163" s="19"/>
      <c r="B163" s="65"/>
      <c r="C163" s="48"/>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row>
    <row r="164">
      <c r="A164" s="19"/>
      <c r="B164" s="65"/>
      <c r="C164" s="48"/>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row>
    <row r="165">
      <c r="A165" s="19"/>
      <c r="B165" s="65"/>
      <c r="C165" s="48"/>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row>
    <row r="166">
      <c r="A166" s="19"/>
      <c r="B166" s="65"/>
      <c r="C166" s="48"/>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row>
    <row r="167">
      <c r="A167" s="19"/>
      <c r="B167" s="65"/>
      <c r="C167" s="48"/>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row>
    <row r="168">
      <c r="A168" s="19"/>
      <c r="B168" s="65"/>
      <c r="C168" s="48"/>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row>
    <row r="169">
      <c r="A169" s="19"/>
      <c r="B169" s="65"/>
      <c r="C169" s="48"/>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row>
    <row r="170">
      <c r="A170" s="19"/>
      <c r="B170" s="65"/>
      <c r="C170" s="48"/>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row>
    <row r="171">
      <c r="A171" s="19"/>
      <c r="B171" s="65"/>
      <c r="C171" s="48"/>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row>
    <row r="172">
      <c r="A172" s="19"/>
      <c r="B172" s="65"/>
      <c r="C172" s="48"/>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row>
    <row r="173">
      <c r="A173" s="19"/>
      <c r="B173" s="65"/>
      <c r="C173" s="48"/>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row>
    <row r="174">
      <c r="A174" s="19"/>
      <c r="B174" s="65"/>
      <c r="C174" s="48"/>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row>
    <row r="175">
      <c r="A175" s="19"/>
      <c r="B175" s="65"/>
      <c r="C175" s="48"/>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row>
    <row r="176">
      <c r="A176" s="19"/>
      <c r="B176" s="65"/>
      <c r="C176" s="48"/>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row>
    <row r="177">
      <c r="A177" s="19"/>
      <c r="B177" s="65"/>
      <c r="C177" s="48"/>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row>
    <row r="178">
      <c r="A178" s="19"/>
      <c r="B178" s="65"/>
      <c r="C178" s="48"/>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row>
    <row r="179">
      <c r="A179" s="19"/>
      <c r="B179" s="65"/>
      <c r="C179" s="48"/>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row>
    <row r="180">
      <c r="A180" s="19"/>
      <c r="B180" s="65"/>
      <c r="C180" s="48"/>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row>
    <row r="181">
      <c r="A181" s="19"/>
      <c r="B181" s="65"/>
      <c r="C181" s="48"/>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row>
    <row r="182">
      <c r="A182" s="19"/>
      <c r="B182" s="65"/>
      <c r="C182" s="48"/>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row>
    <row r="183">
      <c r="A183" s="19"/>
      <c r="B183" s="65"/>
      <c r="C183" s="48"/>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row>
    <row r="184">
      <c r="A184" s="19"/>
      <c r="B184" s="65"/>
      <c r="C184" s="48"/>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row>
    <row r="185">
      <c r="A185" s="19"/>
      <c r="B185" s="65"/>
      <c r="C185" s="48"/>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row>
    <row r="186">
      <c r="A186" s="19"/>
      <c r="B186" s="65"/>
      <c r="C186" s="48"/>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row>
    <row r="187">
      <c r="A187" s="19"/>
      <c r="B187" s="65"/>
      <c r="C187" s="48"/>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row>
    <row r="188">
      <c r="A188" s="19"/>
      <c r="B188" s="65"/>
      <c r="C188" s="48"/>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row>
    <row r="189">
      <c r="A189" s="19"/>
      <c r="B189" s="65"/>
      <c r="C189" s="48"/>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row>
    <row r="190">
      <c r="A190" s="19"/>
      <c r="B190" s="65"/>
      <c r="C190" s="48"/>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row>
    <row r="191">
      <c r="A191" s="19"/>
      <c r="B191" s="65"/>
      <c r="C191" s="48"/>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row>
    <row r="192">
      <c r="A192" s="19"/>
      <c r="B192" s="65"/>
      <c r="C192" s="48"/>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row>
    <row r="193">
      <c r="A193" s="19"/>
      <c r="B193" s="65"/>
      <c r="C193" s="48"/>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row>
    <row r="194">
      <c r="A194" s="19"/>
      <c r="B194" s="65"/>
      <c r="C194" s="48"/>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row>
    <row r="195">
      <c r="A195" s="19"/>
      <c r="B195" s="65"/>
      <c r="C195" s="48"/>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row>
    <row r="196">
      <c r="A196" s="19"/>
      <c r="B196" s="65"/>
      <c r="C196" s="48"/>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row>
    <row r="197">
      <c r="A197" s="19"/>
      <c r="B197" s="65"/>
      <c r="C197" s="48"/>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row>
    <row r="198">
      <c r="A198" s="19"/>
      <c r="B198" s="65"/>
      <c r="C198" s="48"/>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row>
    <row r="199">
      <c r="A199" s="19"/>
      <c r="B199" s="65"/>
      <c r="C199" s="48"/>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row>
    <row r="200">
      <c r="A200" s="19"/>
      <c r="B200" s="65"/>
      <c r="C200" s="48"/>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row>
    <row r="201">
      <c r="A201" s="19"/>
      <c r="B201" s="65"/>
      <c r="C201" s="48"/>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row>
    <row r="202">
      <c r="A202" s="19"/>
      <c r="B202" s="65"/>
      <c r="C202" s="48"/>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row>
    <row r="203">
      <c r="A203" s="19"/>
      <c r="B203" s="65"/>
      <c r="C203" s="48"/>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row>
    <row r="204">
      <c r="A204" s="19"/>
      <c r="B204" s="65"/>
      <c r="C204" s="48"/>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row>
    <row r="205">
      <c r="A205" s="19"/>
      <c r="B205" s="65"/>
      <c r="C205" s="48"/>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row>
    <row r="206">
      <c r="A206" s="19"/>
      <c r="B206" s="65"/>
      <c r="C206" s="48"/>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row>
    <row r="207">
      <c r="A207" s="19"/>
      <c r="B207" s="65"/>
      <c r="C207" s="48"/>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row>
    <row r="208">
      <c r="A208" s="19"/>
      <c r="B208" s="65"/>
      <c r="C208" s="48"/>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row>
    <row r="209">
      <c r="A209" s="19"/>
      <c r="B209" s="65"/>
      <c r="C209" s="48"/>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row>
    <row r="210">
      <c r="A210" s="19"/>
      <c r="B210" s="65"/>
      <c r="C210" s="48"/>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row>
    <row r="211">
      <c r="A211" s="19"/>
      <c r="B211" s="65"/>
      <c r="C211" s="48"/>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row>
    <row r="212">
      <c r="A212" s="19"/>
      <c r="B212" s="65"/>
      <c r="C212" s="48"/>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row>
    <row r="213">
      <c r="A213" s="19"/>
      <c r="B213" s="65"/>
      <c r="C213" s="48"/>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row>
    <row r="214">
      <c r="A214" s="19"/>
      <c r="B214" s="65"/>
      <c r="C214" s="48"/>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row>
    <row r="215">
      <c r="A215" s="19"/>
      <c r="B215" s="65"/>
      <c r="C215" s="48"/>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row>
    <row r="216">
      <c r="A216" s="19"/>
      <c r="B216" s="65"/>
      <c r="C216" s="48"/>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row>
    <row r="217">
      <c r="A217" s="19"/>
      <c r="B217" s="65"/>
      <c r="C217" s="48"/>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row>
    <row r="218">
      <c r="A218" s="19"/>
      <c r="B218" s="65"/>
      <c r="C218" s="48"/>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row>
    <row r="219">
      <c r="A219" s="19"/>
      <c r="B219" s="65"/>
      <c r="C219" s="48"/>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row>
    <row r="220">
      <c r="A220" s="19"/>
      <c r="B220" s="65"/>
      <c r="C220" s="48"/>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row>
    <row r="221">
      <c r="A221" s="19"/>
      <c r="B221" s="65"/>
      <c r="C221" s="48"/>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row>
    <row r="222">
      <c r="A222" s="19"/>
      <c r="B222" s="65"/>
      <c r="C222" s="48"/>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row>
    <row r="223">
      <c r="A223" s="19"/>
      <c r="B223" s="65"/>
      <c r="C223" s="48"/>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row>
    <row r="224">
      <c r="A224" s="19"/>
      <c r="B224" s="65"/>
      <c r="C224" s="48"/>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row>
    <row r="225">
      <c r="A225" s="19"/>
      <c r="B225" s="65"/>
      <c r="C225" s="48"/>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row>
    <row r="226">
      <c r="A226" s="19"/>
      <c r="B226" s="65"/>
      <c r="C226" s="48"/>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row>
    <row r="227">
      <c r="A227" s="19"/>
      <c r="B227" s="65"/>
      <c r="C227" s="48"/>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row>
    <row r="228">
      <c r="A228" s="19"/>
      <c r="B228" s="65"/>
      <c r="C228" s="48"/>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row>
    <row r="229">
      <c r="A229" s="19"/>
      <c r="B229" s="65"/>
      <c r="C229" s="48"/>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row>
    <row r="230">
      <c r="A230" s="19"/>
      <c r="B230" s="65"/>
      <c r="C230" s="48"/>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row>
    <row r="231">
      <c r="A231" s="19"/>
      <c r="B231" s="65"/>
      <c r="C231" s="48"/>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row>
    <row r="232">
      <c r="A232" s="19"/>
      <c r="B232" s="65"/>
      <c r="C232" s="48"/>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row>
    <row r="233">
      <c r="A233" s="19"/>
      <c r="B233" s="65"/>
      <c r="C233" s="48"/>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row>
    <row r="234">
      <c r="A234" s="19"/>
      <c r="B234" s="65"/>
      <c r="C234" s="48"/>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row>
    <row r="235">
      <c r="A235" s="19"/>
      <c r="B235" s="65"/>
      <c r="C235" s="48"/>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row>
    <row r="236">
      <c r="A236" s="19"/>
      <c r="B236" s="65"/>
      <c r="C236" s="48"/>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row>
    <row r="237">
      <c r="A237" s="19"/>
      <c r="B237" s="65"/>
      <c r="C237" s="48"/>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row>
    <row r="238">
      <c r="A238" s="19"/>
      <c r="B238" s="65"/>
      <c r="C238" s="48"/>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row>
    <row r="239">
      <c r="A239" s="19"/>
      <c r="B239" s="65"/>
      <c r="C239" s="48"/>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row>
    <row r="240">
      <c r="A240" s="19"/>
      <c r="B240" s="65"/>
      <c r="C240" s="48"/>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row>
    <row r="241">
      <c r="A241" s="19"/>
      <c r="B241" s="65"/>
      <c r="C241" s="48"/>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row>
    <row r="242">
      <c r="A242" s="19"/>
      <c r="B242" s="65"/>
      <c r="C242" s="48"/>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row>
    <row r="243">
      <c r="A243" s="19"/>
      <c r="B243" s="65"/>
      <c r="C243" s="48"/>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row>
    <row r="244">
      <c r="A244" s="19"/>
      <c r="B244" s="65"/>
      <c r="C244" s="48"/>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row>
    <row r="245">
      <c r="A245" s="19"/>
      <c r="B245" s="65"/>
      <c r="C245" s="48"/>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row>
    <row r="246">
      <c r="A246" s="19"/>
      <c r="B246" s="65"/>
      <c r="C246" s="48"/>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row>
    <row r="247">
      <c r="A247" s="19"/>
      <c r="B247" s="65"/>
      <c r="C247" s="48"/>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row>
    <row r="248">
      <c r="A248" s="19"/>
      <c r="B248" s="65"/>
      <c r="C248" s="48"/>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row>
    <row r="249">
      <c r="A249" s="19"/>
      <c r="B249" s="65"/>
      <c r="C249" s="48"/>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row>
    <row r="250">
      <c r="A250" s="19"/>
      <c r="B250" s="65"/>
      <c r="C250" s="48"/>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row>
    <row r="251">
      <c r="A251" s="19"/>
      <c r="B251" s="65"/>
      <c r="C251" s="48"/>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row>
    <row r="252">
      <c r="A252" s="19"/>
      <c r="B252" s="65"/>
      <c r="C252" s="48"/>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row>
    <row r="253">
      <c r="A253" s="19"/>
      <c r="B253" s="65"/>
      <c r="C253" s="48"/>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row>
    <row r="254">
      <c r="A254" s="19"/>
      <c r="B254" s="65"/>
      <c r="C254" s="48"/>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row>
    <row r="255">
      <c r="A255" s="19"/>
      <c r="B255" s="65"/>
      <c r="C255" s="48"/>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row>
    <row r="256">
      <c r="A256" s="19"/>
      <c r="B256" s="65"/>
      <c r="C256" s="48"/>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row>
    <row r="257">
      <c r="A257" s="19"/>
      <c r="B257" s="65"/>
      <c r="C257" s="48"/>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row>
    <row r="258">
      <c r="A258" s="19"/>
      <c r="B258" s="65"/>
      <c r="C258" s="48"/>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row>
    <row r="259">
      <c r="A259" s="19"/>
      <c r="B259" s="65"/>
      <c r="C259" s="48"/>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row>
    <row r="260">
      <c r="A260" s="19"/>
      <c r="B260" s="65"/>
      <c r="C260" s="48"/>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row>
    <row r="261">
      <c r="A261" s="19"/>
      <c r="B261" s="65"/>
      <c r="C261" s="48"/>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row>
    <row r="262">
      <c r="A262" s="19"/>
      <c r="B262" s="65"/>
      <c r="C262" s="48"/>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row>
    <row r="263">
      <c r="A263" s="19"/>
      <c r="B263" s="65"/>
      <c r="C263" s="48"/>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row>
    <row r="264">
      <c r="A264" s="19"/>
      <c r="B264" s="65"/>
      <c r="C264" s="48"/>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row>
    <row r="265">
      <c r="A265" s="19"/>
      <c r="B265" s="65"/>
      <c r="C265" s="48"/>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row>
    <row r="266">
      <c r="A266" s="19"/>
      <c r="B266" s="65"/>
      <c r="C266" s="48"/>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row>
    <row r="267">
      <c r="A267" s="19"/>
      <c r="B267" s="65"/>
      <c r="C267" s="48"/>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row>
    <row r="268">
      <c r="A268" s="19"/>
      <c r="B268" s="65"/>
      <c r="C268" s="48"/>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row>
    <row r="269">
      <c r="A269" s="19"/>
      <c r="B269" s="65"/>
      <c r="C269" s="48"/>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row>
    <row r="270">
      <c r="A270" s="19"/>
      <c r="B270" s="65"/>
      <c r="C270" s="48"/>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row>
    <row r="271">
      <c r="A271" s="19"/>
      <c r="B271" s="65"/>
      <c r="C271" s="48"/>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row>
    <row r="272">
      <c r="A272" s="19"/>
      <c r="B272" s="65"/>
      <c r="C272" s="48"/>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row>
    <row r="273">
      <c r="A273" s="19"/>
      <c r="B273" s="65"/>
      <c r="C273" s="48"/>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row>
    <row r="274">
      <c r="A274" s="19"/>
      <c r="B274" s="65"/>
      <c r="C274" s="48"/>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row>
    <row r="275">
      <c r="A275" s="19"/>
      <c r="B275" s="65"/>
      <c r="C275" s="48"/>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row>
    <row r="276">
      <c r="A276" s="19"/>
      <c r="B276" s="65"/>
      <c r="C276" s="48"/>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row>
    <row r="277">
      <c r="A277" s="19"/>
      <c r="B277" s="65"/>
      <c r="C277" s="48"/>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row>
    <row r="278">
      <c r="A278" s="19"/>
      <c r="B278" s="65"/>
      <c r="C278" s="48"/>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row>
    <row r="279">
      <c r="A279" s="19"/>
      <c r="B279" s="65"/>
      <c r="C279" s="48"/>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row>
    <row r="280">
      <c r="A280" s="19"/>
      <c r="B280" s="65"/>
      <c r="C280" s="48"/>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row>
    <row r="281">
      <c r="A281" s="19"/>
      <c r="B281" s="65"/>
      <c r="C281" s="48"/>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row>
    <row r="282">
      <c r="A282" s="19"/>
      <c r="B282" s="65"/>
      <c r="C282" s="48"/>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row>
    <row r="283">
      <c r="A283" s="19"/>
      <c r="B283" s="65"/>
      <c r="C283" s="48"/>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row>
    <row r="284">
      <c r="A284" s="19"/>
      <c r="B284" s="65"/>
      <c r="C284" s="48"/>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row>
    <row r="285">
      <c r="A285" s="19"/>
      <c r="B285" s="65"/>
      <c r="C285" s="48"/>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row>
    <row r="286">
      <c r="A286" s="19"/>
      <c r="B286" s="65"/>
      <c r="C286" s="48"/>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row>
    <row r="287">
      <c r="A287" s="19"/>
      <c r="B287" s="65"/>
      <c r="C287" s="48"/>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row>
    <row r="288">
      <c r="A288" s="19"/>
      <c r="B288" s="65"/>
      <c r="C288" s="48"/>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row>
    <row r="289">
      <c r="A289" s="19"/>
      <c r="B289" s="65"/>
      <c r="C289" s="48"/>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row>
    <row r="290">
      <c r="A290" s="19"/>
      <c r="B290" s="65"/>
      <c r="C290" s="48"/>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row>
    <row r="291">
      <c r="A291" s="19"/>
      <c r="B291" s="65"/>
      <c r="C291" s="48"/>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row>
    <row r="292">
      <c r="A292" s="19"/>
      <c r="B292" s="65"/>
      <c r="C292" s="48"/>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row>
    <row r="293">
      <c r="A293" s="19"/>
      <c r="B293" s="65"/>
      <c r="C293" s="48"/>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row>
    <row r="294">
      <c r="A294" s="19"/>
      <c r="B294" s="65"/>
      <c r="C294" s="48"/>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row>
    <row r="295">
      <c r="A295" s="19"/>
      <c r="B295" s="65"/>
      <c r="C295" s="48"/>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row>
    <row r="296">
      <c r="A296" s="19"/>
      <c r="B296" s="65"/>
      <c r="C296" s="48"/>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row>
    <row r="297">
      <c r="A297" s="19"/>
      <c r="B297" s="65"/>
      <c r="C297" s="48"/>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row>
    <row r="298">
      <c r="A298" s="19"/>
      <c r="B298" s="65"/>
      <c r="C298" s="48"/>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row>
    <row r="299">
      <c r="A299" s="19"/>
      <c r="B299" s="65"/>
      <c r="C299" s="48"/>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row>
    <row r="300">
      <c r="A300" s="19"/>
      <c r="B300" s="65"/>
      <c r="C300" s="48"/>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row>
    <row r="301">
      <c r="A301" s="19"/>
      <c r="B301" s="65"/>
      <c r="C301" s="48"/>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row>
    <row r="302">
      <c r="A302" s="19"/>
      <c r="B302" s="65"/>
      <c r="C302" s="48"/>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row>
    <row r="303">
      <c r="A303" s="19"/>
      <c r="B303" s="65"/>
      <c r="C303" s="48"/>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row>
    <row r="304">
      <c r="A304" s="19"/>
      <c r="B304" s="65"/>
      <c r="C304" s="48"/>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row>
    <row r="305">
      <c r="A305" s="19"/>
      <c r="B305" s="65"/>
      <c r="C305" s="48"/>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row>
    <row r="306">
      <c r="A306" s="19"/>
      <c r="B306" s="65"/>
      <c r="C306" s="48"/>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row>
    <row r="307">
      <c r="A307" s="19"/>
      <c r="B307" s="65"/>
      <c r="C307" s="48"/>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c r="A308" s="19"/>
      <c r="B308" s="65"/>
      <c r="C308" s="48"/>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row>
    <row r="309">
      <c r="A309" s="19"/>
      <c r="B309" s="65"/>
      <c r="C309" s="48"/>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c r="A310" s="19"/>
      <c r="B310" s="65"/>
      <c r="C310" s="48"/>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c r="A311" s="19"/>
      <c r="B311" s="65"/>
      <c r="C311" s="48"/>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row>
    <row r="312">
      <c r="A312" s="19"/>
      <c r="B312" s="65"/>
      <c r="C312" s="48"/>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row>
    <row r="313">
      <c r="A313" s="19"/>
      <c r="B313" s="65"/>
      <c r="C313" s="48"/>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row>
    <row r="314">
      <c r="A314" s="19"/>
      <c r="B314" s="65"/>
      <c r="C314" s="48"/>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row>
    <row r="315">
      <c r="A315" s="19"/>
      <c r="B315" s="65"/>
      <c r="C315" s="48"/>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row>
    <row r="316">
      <c r="A316" s="19"/>
      <c r="B316" s="65"/>
      <c r="C316" s="48"/>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row>
    <row r="317">
      <c r="A317" s="19"/>
      <c r="B317" s="65"/>
      <c r="C317" s="48"/>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row>
    <row r="318">
      <c r="A318" s="19"/>
      <c r="B318" s="65"/>
      <c r="C318" s="48"/>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row>
    <row r="319">
      <c r="A319" s="19"/>
      <c r="B319" s="65"/>
      <c r="C319" s="48"/>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row>
    <row r="320">
      <c r="A320" s="19"/>
      <c r="B320" s="65"/>
      <c r="C320" s="48"/>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row>
    <row r="321">
      <c r="A321" s="19"/>
      <c r="B321" s="65"/>
      <c r="C321" s="48"/>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row>
    <row r="322">
      <c r="A322" s="19"/>
      <c r="B322" s="65"/>
      <c r="C322" s="48"/>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row>
    <row r="323">
      <c r="A323" s="19"/>
      <c r="B323" s="65"/>
      <c r="C323" s="48"/>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row>
    <row r="324">
      <c r="A324" s="19"/>
      <c r="B324" s="65"/>
      <c r="C324" s="48"/>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row>
    <row r="325">
      <c r="A325" s="19"/>
      <c r="B325" s="65"/>
      <c r="C325" s="48"/>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row>
    <row r="326">
      <c r="A326" s="19"/>
      <c r="B326" s="65"/>
      <c r="C326" s="48"/>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row>
    <row r="327">
      <c r="A327" s="19"/>
      <c r="B327" s="65"/>
      <c r="C327" s="48"/>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row>
    <row r="328">
      <c r="A328" s="19"/>
      <c r="B328" s="65"/>
      <c r="C328" s="48"/>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row>
    <row r="329">
      <c r="A329" s="19"/>
      <c r="B329" s="65"/>
      <c r="C329" s="48"/>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row>
    <row r="330">
      <c r="A330" s="19"/>
      <c r="B330" s="65"/>
      <c r="C330" s="48"/>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row>
    <row r="331">
      <c r="A331" s="19"/>
      <c r="B331" s="65"/>
      <c r="C331" s="48"/>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row>
    <row r="332">
      <c r="A332" s="19"/>
      <c r="B332" s="65"/>
      <c r="C332" s="48"/>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row>
    <row r="333">
      <c r="A333" s="19"/>
      <c r="B333" s="65"/>
      <c r="C333" s="48"/>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row>
    <row r="334">
      <c r="A334" s="19"/>
      <c r="B334" s="65"/>
      <c r="C334" s="48"/>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row>
    <row r="335">
      <c r="A335" s="19"/>
      <c r="B335" s="65"/>
      <c r="C335" s="48"/>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row>
    <row r="336">
      <c r="A336" s="19"/>
      <c r="B336" s="65"/>
      <c r="C336" s="48"/>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row>
    <row r="337">
      <c r="A337" s="19"/>
      <c r="B337" s="65"/>
      <c r="C337" s="48"/>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row>
    <row r="338">
      <c r="A338" s="19"/>
      <c r="B338" s="65"/>
      <c r="C338" s="48"/>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row>
    <row r="339">
      <c r="A339" s="19"/>
      <c r="B339" s="65"/>
      <c r="C339" s="48"/>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row>
    <row r="340">
      <c r="A340" s="19"/>
      <c r="B340" s="65"/>
      <c r="C340" s="48"/>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row>
    <row r="341">
      <c r="A341" s="19"/>
      <c r="B341" s="65"/>
      <c r="C341" s="48"/>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row>
    <row r="342">
      <c r="A342" s="19"/>
      <c r="B342" s="65"/>
      <c r="C342" s="48"/>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row>
    <row r="343">
      <c r="A343" s="19"/>
      <c r="B343" s="65"/>
      <c r="C343" s="48"/>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row>
    <row r="344">
      <c r="A344" s="19"/>
      <c r="B344" s="65"/>
      <c r="C344" s="48"/>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row>
    <row r="345">
      <c r="A345" s="19"/>
      <c r="B345" s="65"/>
      <c r="C345" s="48"/>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row>
    <row r="346">
      <c r="A346" s="19"/>
      <c r="B346" s="65"/>
      <c r="C346" s="48"/>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row>
    <row r="347">
      <c r="A347" s="19"/>
      <c r="B347" s="65"/>
      <c r="C347" s="48"/>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row>
    <row r="348">
      <c r="A348" s="19"/>
      <c r="B348" s="65"/>
      <c r="C348" s="48"/>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row>
    <row r="349">
      <c r="A349" s="19"/>
      <c r="B349" s="65"/>
      <c r="C349" s="48"/>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row>
    <row r="350">
      <c r="A350" s="19"/>
      <c r="B350" s="65"/>
      <c r="C350" s="48"/>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row>
    <row r="351">
      <c r="A351" s="19"/>
      <c r="B351" s="65"/>
      <c r="C351" s="48"/>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row>
    <row r="352">
      <c r="A352" s="19"/>
      <c r="B352" s="65"/>
      <c r="C352" s="48"/>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row>
    <row r="353">
      <c r="A353" s="19"/>
      <c r="B353" s="65"/>
      <c r="C353" s="48"/>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row>
    <row r="354">
      <c r="A354" s="19"/>
      <c r="B354" s="65"/>
      <c r="C354" s="48"/>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row>
    <row r="355">
      <c r="A355" s="19"/>
      <c r="B355" s="65"/>
      <c r="C355" s="48"/>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row>
    <row r="356">
      <c r="A356" s="19"/>
      <c r="B356" s="65"/>
      <c r="C356" s="48"/>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row>
    <row r="357">
      <c r="A357" s="19"/>
      <c r="B357" s="65"/>
      <c r="C357" s="48"/>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row>
    <row r="358">
      <c r="A358" s="19"/>
      <c r="B358" s="65"/>
      <c r="C358" s="48"/>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row>
    <row r="359">
      <c r="A359" s="19"/>
      <c r="B359" s="65"/>
      <c r="C359" s="48"/>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row>
    <row r="360">
      <c r="A360" s="19"/>
      <c r="B360" s="65"/>
      <c r="C360" s="48"/>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row>
    <row r="361">
      <c r="A361" s="19"/>
      <c r="B361" s="65"/>
      <c r="C361" s="48"/>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row>
    <row r="362">
      <c r="A362" s="19"/>
      <c r="B362" s="65"/>
      <c r="C362" s="48"/>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row>
    <row r="363">
      <c r="A363" s="19"/>
      <c r="B363" s="65"/>
      <c r="C363" s="48"/>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row>
    <row r="364">
      <c r="A364" s="19"/>
      <c r="B364" s="65"/>
      <c r="C364" s="48"/>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row>
    <row r="365">
      <c r="A365" s="19"/>
      <c r="B365" s="65"/>
      <c r="C365" s="48"/>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row>
    <row r="366">
      <c r="A366" s="19"/>
      <c r="B366" s="65"/>
      <c r="C366" s="48"/>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row>
    <row r="367">
      <c r="A367" s="19"/>
      <c r="B367" s="65"/>
      <c r="C367" s="48"/>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row>
    <row r="368">
      <c r="A368" s="19"/>
      <c r="B368" s="65"/>
      <c r="C368" s="48"/>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row>
    <row r="369">
      <c r="A369" s="19"/>
      <c r="B369" s="65"/>
      <c r="C369" s="48"/>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row>
    <row r="370">
      <c r="A370" s="19"/>
      <c r="B370" s="65"/>
      <c r="C370" s="48"/>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row>
    <row r="371">
      <c r="A371" s="19"/>
      <c r="B371" s="65"/>
      <c r="C371" s="48"/>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row>
    <row r="372">
      <c r="A372" s="19"/>
      <c r="B372" s="65"/>
      <c r="C372" s="48"/>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row>
    <row r="373">
      <c r="A373" s="19"/>
      <c r="B373" s="65"/>
      <c r="C373" s="48"/>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row>
    <row r="374">
      <c r="A374" s="19"/>
      <c r="B374" s="65"/>
      <c r="C374" s="48"/>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c r="A375" s="19"/>
      <c r="B375" s="65"/>
      <c r="C375" s="48"/>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c r="A376" s="19"/>
      <c r="B376" s="65"/>
      <c r="C376" s="48"/>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row>
    <row r="377">
      <c r="A377" s="19"/>
      <c r="B377" s="65"/>
      <c r="C377" s="48"/>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row>
    <row r="378">
      <c r="A378" s="19"/>
      <c r="B378" s="65"/>
      <c r="C378" s="48"/>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row>
    <row r="379">
      <c r="A379" s="19"/>
      <c r="B379" s="65"/>
      <c r="C379" s="48"/>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row>
    <row r="380">
      <c r="A380" s="19"/>
      <c r="B380" s="65"/>
      <c r="C380" s="48"/>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row>
    <row r="381">
      <c r="A381" s="19"/>
      <c r="B381" s="65"/>
      <c r="C381" s="48"/>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row>
    <row r="382">
      <c r="A382" s="19"/>
      <c r="B382" s="65"/>
      <c r="C382" s="48"/>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c r="A383" s="19"/>
      <c r="B383" s="65"/>
      <c r="C383" s="48"/>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c r="A384" s="19"/>
      <c r="B384" s="65"/>
      <c r="C384" s="48"/>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c r="A385" s="19"/>
      <c r="B385" s="65"/>
      <c r="C385" s="48"/>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c r="A386" s="19"/>
      <c r="B386" s="65"/>
      <c r="C386" s="48"/>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387">
      <c r="A387" s="19"/>
      <c r="B387" s="65"/>
      <c r="C387" s="48"/>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row>
    <row r="388">
      <c r="A388" s="19"/>
      <c r="B388" s="65"/>
      <c r="C388" s="48"/>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row>
    <row r="389">
      <c r="A389" s="19"/>
      <c r="B389" s="65"/>
      <c r="C389" s="48"/>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row>
    <row r="390">
      <c r="A390" s="19"/>
      <c r="B390" s="65"/>
      <c r="C390" s="48"/>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row>
    <row r="391">
      <c r="A391" s="19"/>
      <c r="B391" s="65"/>
      <c r="C391" s="48"/>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row>
    <row r="392">
      <c r="A392" s="19"/>
      <c r="B392" s="65"/>
      <c r="C392" s="48"/>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row>
    <row r="393">
      <c r="A393" s="19"/>
      <c r="B393" s="65"/>
      <c r="C393" s="48"/>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row>
    <row r="394">
      <c r="A394" s="19"/>
      <c r="B394" s="65"/>
      <c r="C394" s="48"/>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row>
    <row r="395">
      <c r="A395" s="19"/>
      <c r="B395" s="65"/>
      <c r="C395" s="48"/>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row>
    <row r="396">
      <c r="A396" s="19"/>
      <c r="B396" s="65"/>
      <c r="C396" s="48"/>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row>
    <row r="397">
      <c r="A397" s="19"/>
      <c r="B397" s="65"/>
      <c r="C397" s="48"/>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row>
    <row r="398">
      <c r="A398" s="19"/>
      <c r="B398" s="65"/>
      <c r="C398" s="48"/>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row>
    <row r="399">
      <c r="A399" s="19"/>
      <c r="B399" s="65"/>
      <c r="C399" s="48"/>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row>
    <row r="400">
      <c r="A400" s="19"/>
      <c r="B400" s="65"/>
      <c r="C400" s="48"/>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row>
    <row r="401">
      <c r="A401" s="19"/>
      <c r="B401" s="65"/>
      <c r="C401" s="48"/>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row>
    <row r="402">
      <c r="A402" s="19"/>
      <c r="B402" s="65"/>
      <c r="C402" s="48"/>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row>
    <row r="403">
      <c r="A403" s="19"/>
      <c r="B403" s="65"/>
      <c r="C403" s="48"/>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row>
    <row r="404">
      <c r="A404" s="19"/>
      <c r="B404" s="65"/>
      <c r="C404" s="48"/>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row>
    <row r="405">
      <c r="A405" s="19"/>
      <c r="B405" s="65"/>
      <c r="C405" s="48"/>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row>
    <row r="406">
      <c r="A406" s="19"/>
      <c r="B406" s="65"/>
      <c r="C406" s="48"/>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row>
    <row r="407">
      <c r="A407" s="19"/>
      <c r="B407" s="65"/>
      <c r="C407" s="48"/>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row>
    <row r="408">
      <c r="A408" s="19"/>
      <c r="B408" s="65"/>
      <c r="C408" s="48"/>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row>
    <row r="409">
      <c r="A409" s="19"/>
      <c r="B409" s="65"/>
      <c r="C409" s="48"/>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row>
    <row r="410">
      <c r="A410" s="19"/>
      <c r="B410" s="65"/>
      <c r="C410" s="48"/>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row>
    <row r="411">
      <c r="A411" s="19"/>
      <c r="B411" s="65"/>
      <c r="C411" s="48"/>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row>
    <row r="412">
      <c r="A412" s="19"/>
      <c r="B412" s="65"/>
      <c r="C412" s="48"/>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c r="A413" s="19"/>
      <c r="B413" s="65"/>
      <c r="C413" s="48"/>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row>
    <row r="414">
      <c r="A414" s="19"/>
      <c r="B414" s="65"/>
      <c r="C414" s="48"/>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row>
    <row r="415">
      <c r="A415" s="19"/>
      <c r="B415" s="65"/>
      <c r="C415" s="48"/>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row>
    <row r="416">
      <c r="A416" s="19"/>
      <c r="B416" s="65"/>
      <c r="C416" s="48"/>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row>
    <row r="417">
      <c r="A417" s="19"/>
      <c r="B417" s="65"/>
      <c r="C417" s="48"/>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row>
    <row r="418">
      <c r="A418" s="19"/>
      <c r="B418" s="65"/>
      <c r="C418" s="48"/>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row>
    <row r="419">
      <c r="A419" s="19"/>
      <c r="B419" s="65"/>
      <c r="C419" s="48"/>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row>
    <row r="420">
      <c r="A420" s="19"/>
      <c r="B420" s="65"/>
      <c r="C420" s="48"/>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row>
    <row r="421">
      <c r="A421" s="19"/>
      <c r="B421" s="65"/>
      <c r="C421" s="48"/>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row>
    <row r="422">
      <c r="A422" s="19"/>
      <c r="B422" s="65"/>
      <c r="C422" s="48"/>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row>
    <row r="423">
      <c r="A423" s="19"/>
      <c r="B423" s="65"/>
      <c r="C423" s="48"/>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row>
    <row r="424">
      <c r="A424" s="19"/>
      <c r="B424" s="65"/>
      <c r="C424" s="48"/>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row>
    <row r="425">
      <c r="A425" s="19"/>
      <c r="B425" s="65"/>
      <c r="C425" s="48"/>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c r="A426" s="19"/>
      <c r="B426" s="65"/>
      <c r="C426" s="48"/>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row>
    <row r="427">
      <c r="A427" s="19"/>
      <c r="B427" s="65"/>
      <c r="C427" s="48"/>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row>
    <row r="428">
      <c r="A428" s="19"/>
      <c r="B428" s="65"/>
      <c r="C428" s="48"/>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row>
    <row r="429">
      <c r="A429" s="19"/>
      <c r="B429" s="65"/>
      <c r="C429" s="48"/>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row>
    <row r="430">
      <c r="A430" s="19"/>
      <c r="B430" s="65"/>
      <c r="C430" s="48"/>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row>
    <row r="431">
      <c r="A431" s="19"/>
      <c r="B431" s="65"/>
      <c r="C431" s="48"/>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row>
    <row r="432">
      <c r="A432" s="19"/>
      <c r="B432" s="65"/>
      <c r="C432" s="48"/>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row>
    <row r="433">
      <c r="A433" s="19"/>
      <c r="B433" s="65"/>
      <c r="C433" s="48"/>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c r="A434" s="19"/>
      <c r="B434" s="65"/>
      <c r="C434" s="48"/>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row>
    <row r="435">
      <c r="A435" s="19"/>
      <c r="B435" s="65"/>
      <c r="C435" s="48"/>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row>
    <row r="436">
      <c r="A436" s="19"/>
      <c r="B436" s="65"/>
      <c r="C436" s="48"/>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row>
    <row r="437">
      <c r="A437" s="19"/>
      <c r="B437" s="65"/>
      <c r="C437" s="48"/>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row>
    <row r="438">
      <c r="A438" s="19"/>
      <c r="B438" s="65"/>
      <c r="C438" s="48"/>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row>
    <row r="439">
      <c r="A439" s="19"/>
      <c r="B439" s="65"/>
      <c r="C439" s="48"/>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row>
    <row r="440">
      <c r="A440" s="19"/>
      <c r="B440" s="65"/>
      <c r="C440" s="48"/>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row>
    <row r="441">
      <c r="A441" s="19"/>
      <c r="B441" s="65"/>
      <c r="C441" s="48"/>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row>
    <row r="442">
      <c r="A442" s="19"/>
      <c r="B442" s="65"/>
      <c r="C442" s="48"/>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row>
    <row r="443">
      <c r="A443" s="19"/>
      <c r="B443" s="65"/>
      <c r="C443" s="48"/>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row>
    <row r="444">
      <c r="A444" s="19"/>
      <c r="B444" s="65"/>
      <c r="C444" s="48"/>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row>
    <row r="445">
      <c r="A445" s="19"/>
      <c r="B445" s="65"/>
      <c r="C445" s="48"/>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row>
    <row r="446">
      <c r="A446" s="19"/>
      <c r="B446" s="65"/>
      <c r="C446" s="48"/>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row>
    <row r="447">
      <c r="A447" s="19"/>
      <c r="B447" s="65"/>
      <c r="C447" s="48"/>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c r="A448" s="19"/>
      <c r="B448" s="65"/>
      <c r="C448" s="48"/>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row>
    <row r="449">
      <c r="A449" s="19"/>
      <c r="B449" s="65"/>
      <c r="C449" s="48"/>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row>
    <row r="450">
      <c r="A450" s="19"/>
      <c r="B450" s="65"/>
      <c r="C450" s="48"/>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row>
    <row r="451">
      <c r="A451" s="19"/>
      <c r="B451" s="65"/>
      <c r="C451" s="48"/>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row>
    <row r="452">
      <c r="A452" s="19"/>
      <c r="B452" s="65"/>
      <c r="C452" s="48"/>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row>
    <row r="453">
      <c r="A453" s="19"/>
      <c r="B453" s="65"/>
      <c r="C453" s="48"/>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row>
    <row r="454">
      <c r="A454" s="19"/>
      <c r="B454" s="65"/>
      <c r="C454" s="48"/>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row>
    <row r="455">
      <c r="A455" s="19"/>
      <c r="B455" s="65"/>
      <c r="C455" s="48"/>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row>
    <row r="456">
      <c r="A456" s="19"/>
      <c r="B456" s="65"/>
      <c r="C456" s="48"/>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row>
    <row r="457">
      <c r="A457" s="19"/>
      <c r="B457" s="65"/>
      <c r="C457" s="48"/>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row>
    <row r="458">
      <c r="A458" s="19"/>
      <c r="B458" s="65"/>
      <c r="C458" s="48"/>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row>
    <row r="459">
      <c r="A459" s="19"/>
      <c r="B459" s="65"/>
      <c r="C459" s="48"/>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row>
    <row r="460">
      <c r="A460" s="19"/>
      <c r="B460" s="65"/>
      <c r="C460" s="48"/>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row>
    <row r="461">
      <c r="A461" s="19"/>
      <c r="B461" s="65"/>
      <c r="C461" s="48"/>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row>
    <row r="462">
      <c r="A462" s="19"/>
      <c r="B462" s="65"/>
      <c r="C462" s="48"/>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row>
    <row r="463">
      <c r="A463" s="19"/>
      <c r="B463" s="65"/>
      <c r="C463" s="48"/>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row>
    <row r="464">
      <c r="A464" s="19"/>
      <c r="B464" s="65"/>
      <c r="C464" s="48"/>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row>
    <row r="465">
      <c r="A465" s="19"/>
      <c r="B465" s="65"/>
      <c r="C465" s="48"/>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row>
    <row r="466">
      <c r="A466" s="19"/>
      <c r="B466" s="65"/>
      <c r="C466" s="48"/>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row>
    <row r="467">
      <c r="A467" s="19"/>
      <c r="B467" s="65"/>
      <c r="C467" s="48"/>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row>
    <row r="468">
      <c r="A468" s="19"/>
      <c r="B468" s="65"/>
      <c r="C468" s="48"/>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row>
    <row r="469">
      <c r="A469" s="19"/>
      <c r="B469" s="65"/>
      <c r="C469" s="48"/>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row>
    <row r="470">
      <c r="A470" s="19"/>
      <c r="B470" s="65"/>
      <c r="C470" s="48"/>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row>
    <row r="471">
      <c r="A471" s="19"/>
      <c r="B471" s="65"/>
      <c r="C471" s="48"/>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row>
    <row r="472">
      <c r="A472" s="19"/>
      <c r="B472" s="65"/>
      <c r="C472" s="48"/>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row>
    <row r="473">
      <c r="A473" s="19"/>
      <c r="B473" s="65"/>
      <c r="C473" s="48"/>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row>
    <row r="474">
      <c r="A474" s="19"/>
      <c r="B474" s="65"/>
      <c r="C474" s="48"/>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row>
    <row r="475">
      <c r="A475" s="19"/>
      <c r="B475" s="65"/>
      <c r="C475" s="48"/>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row>
    <row r="476">
      <c r="A476" s="19"/>
      <c r="B476" s="65"/>
      <c r="C476" s="48"/>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row>
    <row r="477">
      <c r="A477" s="19"/>
      <c r="B477" s="65"/>
      <c r="C477" s="48"/>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row>
    <row r="478">
      <c r="A478" s="19"/>
      <c r="B478" s="65"/>
      <c r="C478" s="48"/>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row>
    <row r="479">
      <c r="A479" s="19"/>
      <c r="B479" s="65"/>
      <c r="C479" s="48"/>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row>
    <row r="480">
      <c r="A480" s="19"/>
      <c r="B480" s="65"/>
      <c r="C480" s="48"/>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row>
    <row r="481">
      <c r="A481" s="19"/>
      <c r="B481" s="65"/>
      <c r="C481" s="48"/>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row>
    <row r="482">
      <c r="A482" s="19"/>
      <c r="B482" s="65"/>
      <c r="C482" s="48"/>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row>
    <row r="483">
      <c r="A483" s="19"/>
      <c r="B483" s="65"/>
      <c r="C483" s="48"/>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row>
    <row r="484">
      <c r="A484" s="19"/>
      <c r="B484" s="65"/>
      <c r="C484" s="48"/>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row>
    <row r="485">
      <c r="A485" s="19"/>
      <c r="B485" s="65"/>
      <c r="C485" s="48"/>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row>
    <row r="486">
      <c r="A486" s="19"/>
      <c r="B486" s="65"/>
      <c r="C486" s="48"/>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row>
    <row r="487">
      <c r="A487" s="19"/>
      <c r="B487" s="65"/>
      <c r="C487" s="48"/>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row>
    <row r="488">
      <c r="A488" s="19"/>
      <c r="B488" s="65"/>
      <c r="C488" s="48"/>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row>
    <row r="489">
      <c r="A489" s="19"/>
      <c r="B489" s="65"/>
      <c r="C489" s="48"/>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c r="A490" s="19"/>
      <c r="B490" s="65"/>
      <c r="C490" s="48"/>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c r="A491" s="19"/>
      <c r="B491" s="65"/>
      <c r="C491" s="48"/>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row>
    <row r="492">
      <c r="A492" s="19"/>
      <c r="B492" s="65"/>
      <c r="C492" s="48"/>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row>
    <row r="493">
      <c r="A493" s="19"/>
      <c r="B493" s="65"/>
      <c r="C493" s="48"/>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row>
    <row r="494">
      <c r="A494" s="19"/>
      <c r="B494" s="65"/>
      <c r="C494" s="48"/>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row>
    <row r="495">
      <c r="A495" s="19"/>
      <c r="B495" s="65"/>
      <c r="C495" s="48"/>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row>
    <row r="496">
      <c r="A496" s="19"/>
      <c r="B496" s="65"/>
      <c r="C496" s="48"/>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row>
    <row r="497">
      <c r="A497" s="19"/>
      <c r="B497" s="65"/>
      <c r="C497" s="48"/>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c r="A498" s="19"/>
      <c r="B498" s="65"/>
      <c r="C498" s="48"/>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row>
    <row r="499">
      <c r="A499" s="19"/>
      <c r="B499" s="65"/>
      <c r="C499" s="48"/>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0">
      <c r="A500" s="19"/>
      <c r="B500" s="65"/>
      <c r="C500" s="48"/>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row>
    <row r="501">
      <c r="A501" s="19"/>
      <c r="B501" s="65"/>
      <c r="C501" s="48"/>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row>
    <row r="502">
      <c r="A502" s="19"/>
      <c r="B502" s="65"/>
      <c r="C502" s="48"/>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row>
    <row r="503">
      <c r="A503" s="19"/>
      <c r="B503" s="65"/>
      <c r="C503" s="48"/>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row>
    <row r="504">
      <c r="A504" s="19"/>
      <c r="B504" s="65"/>
      <c r="C504" s="48"/>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row>
    <row r="505">
      <c r="A505" s="19"/>
      <c r="B505" s="65"/>
      <c r="C505" s="48"/>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row>
    <row r="506">
      <c r="A506" s="19"/>
      <c r="B506" s="65"/>
      <c r="C506" s="48"/>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row>
    <row r="507">
      <c r="A507" s="19"/>
      <c r="B507" s="65"/>
      <c r="C507" s="48"/>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row>
    <row r="508">
      <c r="A508" s="19"/>
      <c r="B508" s="65"/>
      <c r="C508" s="48"/>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row>
    <row r="509">
      <c r="A509" s="19"/>
      <c r="B509" s="65"/>
      <c r="C509" s="48"/>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c r="A510" s="19"/>
      <c r="B510" s="65"/>
      <c r="C510" s="48"/>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c r="A511" s="19"/>
      <c r="B511" s="65"/>
      <c r="C511" s="48"/>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row>
    <row r="512">
      <c r="A512" s="19"/>
      <c r="B512" s="65"/>
      <c r="C512" s="48"/>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row>
    <row r="513">
      <c r="A513" s="19"/>
      <c r="B513" s="65"/>
      <c r="C513" s="48"/>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row>
    <row r="514">
      <c r="A514" s="19"/>
      <c r="B514" s="65"/>
      <c r="C514" s="48"/>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row>
    <row r="515">
      <c r="A515" s="19"/>
      <c r="B515" s="65"/>
      <c r="C515" s="48"/>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row>
    <row r="516">
      <c r="A516" s="19"/>
      <c r="B516" s="65"/>
      <c r="C516" s="48"/>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row>
    <row r="517">
      <c r="A517" s="19"/>
      <c r="B517" s="65"/>
      <c r="C517" s="48"/>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row>
    <row r="518">
      <c r="A518" s="19"/>
      <c r="B518" s="65"/>
      <c r="C518" s="48"/>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row>
    <row r="519">
      <c r="A519" s="19"/>
      <c r="B519" s="65"/>
      <c r="C519" s="48"/>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row>
    <row r="520">
      <c r="A520" s="19"/>
      <c r="B520" s="65"/>
      <c r="C520" s="48"/>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row>
    <row r="521">
      <c r="A521" s="19"/>
      <c r="B521" s="65"/>
      <c r="C521" s="48"/>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row>
    <row r="522">
      <c r="A522" s="19"/>
      <c r="B522" s="65"/>
      <c r="C522" s="48"/>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row>
    <row r="523">
      <c r="A523" s="19"/>
      <c r="B523" s="65"/>
      <c r="C523" s="48"/>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row>
    <row r="524">
      <c r="A524" s="19"/>
      <c r="B524" s="65"/>
      <c r="C524" s="48"/>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row>
    <row r="525">
      <c r="A525" s="19"/>
      <c r="B525" s="65"/>
      <c r="C525" s="48"/>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row>
    <row r="526">
      <c r="A526" s="19"/>
      <c r="B526" s="65"/>
      <c r="C526" s="48"/>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row>
    <row r="527">
      <c r="A527" s="19"/>
      <c r="B527" s="65"/>
      <c r="C527" s="48"/>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row>
    <row r="528">
      <c r="A528" s="19"/>
      <c r="B528" s="65"/>
      <c r="C528" s="48"/>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row>
    <row r="529">
      <c r="A529" s="19"/>
      <c r="B529" s="65"/>
      <c r="C529" s="48"/>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row>
    <row r="530">
      <c r="A530" s="19"/>
      <c r="B530" s="65"/>
      <c r="C530" s="48"/>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row>
    <row r="531">
      <c r="A531" s="19"/>
      <c r="B531" s="65"/>
      <c r="C531" s="48"/>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row>
    <row r="532">
      <c r="A532" s="19"/>
      <c r="B532" s="65"/>
      <c r="C532" s="48"/>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row>
    <row r="533">
      <c r="A533" s="19"/>
      <c r="B533" s="65"/>
      <c r="C533" s="48"/>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row>
    <row r="534">
      <c r="A534" s="19"/>
      <c r="B534" s="65"/>
      <c r="C534" s="48"/>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row>
    <row r="535">
      <c r="A535" s="19"/>
      <c r="B535" s="65"/>
      <c r="C535" s="48"/>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row>
    <row r="536">
      <c r="A536" s="19"/>
      <c r="B536" s="65"/>
      <c r="C536" s="48"/>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row>
    <row r="537">
      <c r="A537" s="19"/>
      <c r="B537" s="65"/>
      <c r="C537" s="48"/>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row>
    <row r="538">
      <c r="A538" s="19"/>
      <c r="B538" s="65"/>
      <c r="C538" s="48"/>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row>
    <row r="539">
      <c r="A539" s="19"/>
      <c r="B539" s="65"/>
      <c r="C539" s="48"/>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row>
    <row r="540">
      <c r="A540" s="19"/>
      <c r="B540" s="65"/>
      <c r="C540" s="48"/>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row>
    <row r="541">
      <c r="A541" s="19"/>
      <c r="B541" s="65"/>
      <c r="C541" s="48"/>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row>
    <row r="542">
      <c r="A542" s="19"/>
      <c r="B542" s="65"/>
      <c r="C542" s="48"/>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row>
    <row r="543">
      <c r="A543" s="19"/>
      <c r="B543" s="65"/>
      <c r="C543" s="48"/>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row>
    <row r="544">
      <c r="A544" s="19"/>
      <c r="B544" s="65"/>
      <c r="C544" s="48"/>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row>
    <row r="545">
      <c r="A545" s="19"/>
      <c r="B545" s="65"/>
      <c r="C545" s="48"/>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row>
    <row r="546">
      <c r="A546" s="19"/>
      <c r="B546" s="65"/>
      <c r="C546" s="48"/>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row>
    <row r="547">
      <c r="A547" s="19"/>
      <c r="B547" s="65"/>
      <c r="C547" s="48"/>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row>
    <row r="548">
      <c r="A548" s="19"/>
      <c r="B548" s="65"/>
      <c r="C548" s="48"/>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row>
    <row r="549">
      <c r="A549" s="19"/>
      <c r="B549" s="65"/>
      <c r="C549" s="48"/>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row>
    <row r="550">
      <c r="A550" s="19"/>
      <c r="B550" s="65"/>
      <c r="C550" s="48"/>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row>
    <row r="551">
      <c r="A551" s="19"/>
      <c r="B551" s="65"/>
      <c r="C551" s="48"/>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row>
    <row r="552">
      <c r="A552" s="19"/>
      <c r="B552" s="65"/>
      <c r="C552" s="48"/>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row>
    <row r="553">
      <c r="A553" s="19"/>
      <c r="B553" s="65"/>
      <c r="C553" s="48"/>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row>
    <row r="554">
      <c r="A554" s="19"/>
      <c r="B554" s="65"/>
      <c r="C554" s="48"/>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row>
    <row r="555">
      <c r="A555" s="19"/>
      <c r="B555" s="65"/>
      <c r="C555" s="48"/>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row>
    <row r="556">
      <c r="A556" s="19"/>
      <c r="B556" s="65"/>
      <c r="C556" s="48"/>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row>
    <row r="557">
      <c r="A557" s="19"/>
      <c r="B557" s="65"/>
      <c r="C557" s="48"/>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row>
    <row r="558">
      <c r="A558" s="19"/>
      <c r="B558" s="65"/>
      <c r="C558" s="48"/>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row>
    <row r="559">
      <c r="A559" s="19"/>
      <c r="B559" s="65"/>
      <c r="C559" s="48"/>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row>
    <row r="560">
      <c r="A560" s="19"/>
      <c r="B560" s="65"/>
      <c r="C560" s="48"/>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row>
    <row r="561">
      <c r="A561" s="19"/>
      <c r="B561" s="65"/>
      <c r="C561" s="48"/>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row>
    <row r="562">
      <c r="A562" s="19"/>
      <c r="B562" s="65"/>
      <c r="C562" s="48"/>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row>
    <row r="563">
      <c r="A563" s="19"/>
      <c r="B563" s="65"/>
      <c r="C563" s="48"/>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row>
    <row r="564">
      <c r="A564" s="19"/>
      <c r="B564" s="65"/>
      <c r="C564" s="48"/>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row>
    <row r="565">
      <c r="A565" s="19"/>
      <c r="B565" s="65"/>
      <c r="C565" s="48"/>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row>
    <row r="566">
      <c r="A566" s="19"/>
      <c r="B566" s="65"/>
      <c r="C566" s="48"/>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row>
    <row r="567">
      <c r="A567" s="19"/>
      <c r="B567" s="65"/>
      <c r="C567" s="48"/>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row>
    <row r="568">
      <c r="A568" s="19"/>
      <c r="B568" s="65"/>
      <c r="C568" s="48"/>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row>
    <row r="569">
      <c r="A569" s="19"/>
      <c r="B569" s="65"/>
      <c r="C569" s="48"/>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row>
    <row r="570">
      <c r="A570" s="19"/>
      <c r="B570" s="65"/>
      <c r="C570" s="48"/>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row>
    <row r="571">
      <c r="A571" s="19"/>
      <c r="B571" s="65"/>
      <c r="C571" s="48"/>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row>
    <row r="572">
      <c r="A572" s="19"/>
      <c r="B572" s="65"/>
      <c r="C572" s="48"/>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row>
    <row r="573">
      <c r="A573" s="19"/>
      <c r="B573" s="65"/>
      <c r="C573" s="48"/>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row>
    <row r="574">
      <c r="A574" s="19"/>
      <c r="B574" s="65"/>
      <c r="C574" s="48"/>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row>
    <row r="575">
      <c r="A575" s="19"/>
      <c r="B575" s="65"/>
      <c r="C575" s="48"/>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row>
    <row r="576">
      <c r="A576" s="19"/>
      <c r="B576" s="65"/>
      <c r="C576" s="48"/>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row>
    <row r="577">
      <c r="A577" s="19"/>
      <c r="B577" s="65"/>
      <c r="C577" s="48"/>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row>
    <row r="578">
      <c r="A578" s="19"/>
      <c r="B578" s="65"/>
      <c r="C578" s="48"/>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row>
    <row r="579">
      <c r="A579" s="19"/>
      <c r="B579" s="65"/>
      <c r="C579" s="48"/>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row>
    <row r="580">
      <c r="A580" s="19"/>
      <c r="B580" s="65"/>
      <c r="C580" s="48"/>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row>
    <row r="581">
      <c r="A581" s="19"/>
      <c r="B581" s="65"/>
      <c r="C581" s="48"/>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row>
    <row r="582">
      <c r="A582" s="19"/>
      <c r="B582" s="65"/>
      <c r="C582" s="48"/>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row>
    <row r="583">
      <c r="A583" s="19"/>
      <c r="B583" s="65"/>
      <c r="C583" s="48"/>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row>
    <row r="584">
      <c r="A584" s="19"/>
      <c r="B584" s="65"/>
      <c r="C584" s="48"/>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row>
    <row r="585">
      <c r="A585" s="19"/>
      <c r="B585" s="65"/>
      <c r="C585" s="48"/>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row>
    <row r="586">
      <c r="A586" s="19"/>
      <c r="B586" s="65"/>
      <c r="C586" s="48"/>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row>
    <row r="587">
      <c r="A587" s="19"/>
      <c r="B587" s="65"/>
      <c r="C587" s="48"/>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row>
    <row r="588">
      <c r="A588" s="19"/>
      <c r="B588" s="65"/>
      <c r="C588" s="48"/>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row>
    <row r="589">
      <c r="A589" s="19"/>
      <c r="B589" s="65"/>
      <c r="C589" s="48"/>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row>
    <row r="590">
      <c r="A590" s="19"/>
      <c r="B590" s="65"/>
      <c r="C590" s="48"/>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row>
    <row r="591">
      <c r="A591" s="19"/>
      <c r="B591" s="65"/>
      <c r="C591" s="48"/>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row>
    <row r="592">
      <c r="A592" s="19"/>
      <c r="B592" s="65"/>
      <c r="C592" s="48"/>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row>
    <row r="593">
      <c r="A593" s="19"/>
      <c r="B593" s="65"/>
      <c r="C593" s="48"/>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row>
    <row r="594">
      <c r="A594" s="19"/>
      <c r="B594" s="65"/>
      <c r="C594" s="48"/>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row>
    <row r="595">
      <c r="A595" s="19"/>
      <c r="B595" s="65"/>
      <c r="C595" s="48"/>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row>
    <row r="596">
      <c r="A596" s="19"/>
      <c r="B596" s="65"/>
      <c r="C596" s="48"/>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row>
    <row r="597">
      <c r="A597" s="19"/>
      <c r="B597" s="65"/>
      <c r="C597" s="48"/>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row>
    <row r="598">
      <c r="A598" s="19"/>
      <c r="B598" s="65"/>
      <c r="C598" s="48"/>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row>
    <row r="599">
      <c r="A599" s="19"/>
      <c r="B599" s="65"/>
      <c r="C599" s="48"/>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row>
    <row r="600">
      <c r="A600" s="19"/>
      <c r="B600" s="65"/>
      <c r="C600" s="48"/>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row>
    <row r="601">
      <c r="A601" s="19"/>
      <c r="B601" s="65"/>
      <c r="C601" s="48"/>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row>
    <row r="602">
      <c r="A602" s="19"/>
      <c r="B602" s="65"/>
      <c r="C602" s="48"/>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row>
    <row r="603">
      <c r="A603" s="19"/>
      <c r="B603" s="65"/>
      <c r="C603" s="48"/>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row>
    <row r="604">
      <c r="A604" s="19"/>
      <c r="B604" s="65"/>
      <c r="C604" s="48"/>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row>
    <row r="605">
      <c r="A605" s="19"/>
      <c r="B605" s="65"/>
      <c r="C605" s="48"/>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row>
    <row r="606">
      <c r="A606" s="19"/>
      <c r="B606" s="65"/>
      <c r="C606" s="48"/>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row>
    <row r="607">
      <c r="A607" s="19"/>
      <c r="B607" s="65"/>
      <c r="C607" s="48"/>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row>
    <row r="608">
      <c r="A608" s="19"/>
      <c r="B608" s="65"/>
      <c r="C608" s="48"/>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row>
    <row r="609">
      <c r="A609" s="19"/>
      <c r="B609" s="65"/>
      <c r="C609" s="48"/>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row>
    <row r="610">
      <c r="A610" s="19"/>
      <c r="B610" s="65"/>
      <c r="C610" s="48"/>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row>
    <row r="611">
      <c r="A611" s="19"/>
      <c r="B611" s="65"/>
      <c r="C611" s="48"/>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row>
    <row r="612">
      <c r="A612" s="19"/>
      <c r="B612" s="65"/>
      <c r="C612" s="48"/>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row>
    <row r="613">
      <c r="A613" s="19"/>
      <c r="B613" s="65"/>
      <c r="C613" s="48"/>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row>
    <row r="614">
      <c r="A614" s="19"/>
      <c r="B614" s="65"/>
      <c r="C614" s="48"/>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row>
    <row r="615">
      <c r="A615" s="19"/>
      <c r="B615" s="65"/>
      <c r="C615" s="48"/>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row>
    <row r="616">
      <c r="A616" s="19"/>
      <c r="B616" s="65"/>
      <c r="C616" s="48"/>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row>
    <row r="617">
      <c r="A617" s="19"/>
      <c r="B617" s="65"/>
      <c r="C617" s="48"/>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row>
    <row r="618">
      <c r="A618" s="19"/>
      <c r="B618" s="65"/>
      <c r="C618" s="48"/>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row>
    <row r="619">
      <c r="A619" s="19"/>
      <c r="B619" s="65"/>
      <c r="C619" s="48"/>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row>
    <row r="620">
      <c r="A620" s="19"/>
      <c r="B620" s="65"/>
      <c r="C620" s="48"/>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row>
    <row r="621">
      <c r="A621" s="19"/>
      <c r="B621" s="65"/>
      <c r="C621" s="48"/>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row>
    <row r="622">
      <c r="A622" s="19"/>
      <c r="B622" s="65"/>
      <c r="C622" s="48"/>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row>
    <row r="623">
      <c r="A623" s="19"/>
      <c r="B623" s="65"/>
      <c r="C623" s="48"/>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row>
    <row r="624">
      <c r="A624" s="19"/>
      <c r="B624" s="65"/>
      <c r="C624" s="48"/>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row>
    <row r="625">
      <c r="A625" s="19"/>
      <c r="B625" s="65"/>
      <c r="C625" s="48"/>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row>
    <row r="626">
      <c r="A626" s="19"/>
      <c r="B626" s="65"/>
      <c r="C626" s="48"/>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row>
    <row r="627">
      <c r="A627" s="19"/>
      <c r="B627" s="65"/>
      <c r="C627" s="48"/>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row>
    <row r="628">
      <c r="A628" s="19"/>
      <c r="B628" s="65"/>
      <c r="C628" s="48"/>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row>
    <row r="629">
      <c r="A629" s="19"/>
      <c r="B629" s="65"/>
      <c r="C629" s="48"/>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row>
    <row r="630">
      <c r="A630" s="19"/>
      <c r="B630" s="65"/>
      <c r="C630" s="48"/>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row>
    <row r="631">
      <c r="A631" s="19"/>
      <c r="B631" s="65"/>
      <c r="C631" s="48"/>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row>
    <row r="632">
      <c r="A632" s="19"/>
      <c r="B632" s="65"/>
      <c r="C632" s="48"/>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row>
    <row r="633">
      <c r="A633" s="19"/>
      <c r="B633" s="65"/>
      <c r="C633" s="48"/>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row>
    <row r="634">
      <c r="A634" s="19"/>
      <c r="B634" s="65"/>
      <c r="C634" s="48"/>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row>
    <row r="635">
      <c r="A635" s="19"/>
      <c r="B635" s="65"/>
      <c r="C635" s="48"/>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row>
    <row r="636">
      <c r="A636" s="19"/>
      <c r="B636" s="65"/>
      <c r="C636" s="48"/>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row>
    <row r="637">
      <c r="A637" s="19"/>
      <c r="B637" s="65"/>
      <c r="C637" s="48"/>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row>
    <row r="638">
      <c r="A638" s="19"/>
      <c r="B638" s="65"/>
      <c r="C638" s="48"/>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row>
    <row r="639">
      <c r="A639" s="19"/>
      <c r="B639" s="65"/>
      <c r="C639" s="48"/>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row>
    <row r="640">
      <c r="A640" s="19"/>
      <c r="B640" s="65"/>
      <c r="C640" s="48"/>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row>
    <row r="641">
      <c r="A641" s="19"/>
      <c r="B641" s="65"/>
      <c r="C641" s="48"/>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row>
    <row r="642">
      <c r="A642" s="19"/>
      <c r="B642" s="65"/>
      <c r="C642" s="48"/>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row>
    <row r="643">
      <c r="A643" s="19"/>
      <c r="B643" s="65"/>
      <c r="C643" s="48"/>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row>
    <row r="644">
      <c r="A644" s="19"/>
      <c r="B644" s="65"/>
      <c r="C644" s="48"/>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row>
    <row r="645">
      <c r="A645" s="19"/>
      <c r="B645" s="65"/>
      <c r="C645" s="48"/>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row>
    <row r="646">
      <c r="A646" s="19"/>
      <c r="B646" s="65"/>
      <c r="C646" s="48"/>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row>
    <row r="647">
      <c r="A647" s="19"/>
      <c r="B647" s="65"/>
      <c r="C647" s="48"/>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row>
    <row r="648">
      <c r="A648" s="19"/>
      <c r="B648" s="65"/>
      <c r="C648" s="48"/>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row>
    <row r="649">
      <c r="A649" s="19"/>
      <c r="B649" s="65"/>
      <c r="C649" s="48"/>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row>
    <row r="650">
      <c r="A650" s="19"/>
      <c r="B650" s="65"/>
      <c r="C650" s="48"/>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row>
    <row r="651">
      <c r="A651" s="19"/>
      <c r="B651" s="65"/>
      <c r="C651" s="48"/>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row>
    <row r="652">
      <c r="A652" s="19"/>
      <c r="B652" s="65"/>
      <c r="C652" s="48"/>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row>
    <row r="653">
      <c r="A653" s="19"/>
      <c r="B653" s="65"/>
      <c r="C653" s="48"/>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row>
    <row r="654">
      <c r="A654" s="19"/>
      <c r="B654" s="65"/>
      <c r="C654" s="48"/>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row>
    <row r="655">
      <c r="A655" s="19"/>
      <c r="B655" s="65"/>
      <c r="C655" s="48"/>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row>
    <row r="656">
      <c r="A656" s="19"/>
      <c r="B656" s="65"/>
      <c r="C656" s="48"/>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row>
    <row r="657">
      <c r="A657" s="19"/>
      <c r="B657" s="65"/>
      <c r="C657" s="48"/>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row>
    <row r="658">
      <c r="A658" s="19"/>
      <c r="B658" s="65"/>
      <c r="C658" s="48"/>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row>
    <row r="659">
      <c r="A659" s="19"/>
      <c r="B659" s="65"/>
      <c r="C659" s="48"/>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row>
    <row r="660">
      <c r="A660" s="19"/>
      <c r="B660" s="65"/>
      <c r="C660" s="48"/>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row>
    <row r="661">
      <c r="A661" s="19"/>
      <c r="B661" s="65"/>
      <c r="C661" s="48"/>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row>
    <row r="662">
      <c r="A662" s="19"/>
      <c r="B662" s="65"/>
      <c r="C662" s="48"/>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row>
    <row r="663">
      <c r="A663" s="19"/>
      <c r="B663" s="65"/>
      <c r="C663" s="48"/>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row>
    <row r="664">
      <c r="A664" s="19"/>
      <c r="B664" s="65"/>
      <c r="C664" s="48"/>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row>
    <row r="665">
      <c r="A665" s="19"/>
      <c r="B665" s="65"/>
      <c r="C665" s="48"/>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row>
    <row r="666">
      <c r="A666" s="19"/>
      <c r="B666" s="65"/>
      <c r="C666" s="48"/>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row>
    <row r="667">
      <c r="A667" s="19"/>
      <c r="B667" s="65"/>
      <c r="C667" s="48"/>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row>
    <row r="668">
      <c r="A668" s="19"/>
      <c r="B668" s="65"/>
      <c r="C668" s="48"/>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row>
    <row r="669">
      <c r="A669" s="19"/>
      <c r="B669" s="65"/>
      <c r="C669" s="48"/>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row>
    <row r="670">
      <c r="A670" s="19"/>
      <c r="B670" s="65"/>
      <c r="C670" s="48"/>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row>
    <row r="671">
      <c r="A671" s="19"/>
      <c r="B671" s="65"/>
      <c r="C671" s="48"/>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row>
    <row r="672">
      <c r="A672" s="19"/>
      <c r="B672" s="65"/>
      <c r="C672" s="48"/>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row>
    <row r="673">
      <c r="A673" s="19"/>
      <c r="B673" s="65"/>
      <c r="C673" s="48"/>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row>
    <row r="674">
      <c r="A674" s="19"/>
      <c r="B674" s="65"/>
      <c r="C674" s="48"/>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row>
    <row r="675">
      <c r="A675" s="19"/>
      <c r="B675" s="65"/>
      <c r="C675" s="48"/>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row>
    <row r="676">
      <c r="A676" s="19"/>
      <c r="B676" s="65"/>
      <c r="C676" s="48"/>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row>
    <row r="677">
      <c r="A677" s="19"/>
      <c r="B677" s="65"/>
      <c r="C677" s="48"/>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row>
    <row r="678">
      <c r="A678" s="19"/>
      <c r="B678" s="65"/>
      <c r="C678" s="48"/>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row>
    <row r="679">
      <c r="A679" s="19"/>
      <c r="B679" s="65"/>
      <c r="C679" s="48"/>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row>
    <row r="680">
      <c r="A680" s="19"/>
      <c r="B680" s="65"/>
      <c r="C680" s="48"/>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row>
    <row r="681">
      <c r="A681" s="19"/>
      <c r="B681" s="65"/>
      <c r="C681" s="48"/>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row>
    <row r="682">
      <c r="A682" s="19"/>
      <c r="B682" s="65"/>
      <c r="C682" s="48"/>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row>
    <row r="683">
      <c r="A683" s="19"/>
      <c r="B683" s="65"/>
      <c r="C683" s="48"/>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row>
    <row r="684">
      <c r="A684" s="19"/>
      <c r="B684" s="65"/>
      <c r="C684" s="48"/>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row>
    <row r="685">
      <c r="A685" s="19"/>
      <c r="B685" s="65"/>
      <c r="C685" s="48"/>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row>
    <row r="686">
      <c r="A686" s="19"/>
      <c r="B686" s="65"/>
      <c r="C686" s="48"/>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row>
    <row r="687">
      <c r="A687" s="19"/>
      <c r="B687" s="65"/>
      <c r="C687" s="48"/>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row>
    <row r="688">
      <c r="A688" s="19"/>
      <c r="B688" s="65"/>
      <c r="C688" s="48"/>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row>
    <row r="689">
      <c r="A689" s="19"/>
      <c r="B689" s="65"/>
      <c r="C689" s="48"/>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row>
    <row r="690">
      <c r="A690" s="19"/>
      <c r="B690" s="65"/>
      <c r="C690" s="48"/>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row>
    <row r="691">
      <c r="A691" s="19"/>
      <c r="B691" s="65"/>
      <c r="C691" s="48"/>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row>
    <row r="692">
      <c r="A692" s="19"/>
      <c r="B692" s="65"/>
      <c r="C692" s="48"/>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row>
    <row r="693">
      <c r="A693" s="19"/>
      <c r="B693" s="65"/>
      <c r="C693" s="48"/>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row>
    <row r="694">
      <c r="A694" s="19"/>
      <c r="B694" s="65"/>
      <c r="C694" s="48"/>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row>
    <row r="695">
      <c r="A695" s="19"/>
      <c r="B695" s="65"/>
      <c r="C695" s="48"/>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row>
    <row r="696">
      <c r="A696" s="19"/>
      <c r="B696" s="65"/>
      <c r="C696" s="48"/>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row>
    <row r="697">
      <c r="A697" s="19"/>
      <c r="B697" s="65"/>
      <c r="C697" s="48"/>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row>
    <row r="698">
      <c r="A698" s="19"/>
      <c r="B698" s="65"/>
      <c r="C698" s="48"/>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row>
    <row r="699">
      <c r="A699" s="19"/>
      <c r="B699" s="65"/>
      <c r="C699" s="48"/>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row>
    <row r="700">
      <c r="A700" s="19"/>
      <c r="B700" s="65"/>
      <c r="C700" s="48"/>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row>
    <row r="701">
      <c r="A701" s="19"/>
      <c r="B701" s="65"/>
      <c r="C701" s="48"/>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row>
    <row r="702">
      <c r="A702" s="19"/>
      <c r="B702" s="65"/>
      <c r="C702" s="48"/>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row>
    <row r="703">
      <c r="A703" s="19"/>
      <c r="B703" s="65"/>
      <c r="C703" s="48"/>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row>
    <row r="704">
      <c r="A704" s="19"/>
      <c r="B704" s="65"/>
      <c r="C704" s="48"/>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row>
    <row r="705">
      <c r="A705" s="19"/>
      <c r="B705" s="65"/>
      <c r="C705" s="48"/>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row>
    <row r="706">
      <c r="A706" s="19"/>
      <c r="B706" s="65"/>
      <c r="C706" s="48"/>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row>
    <row r="707">
      <c r="A707" s="19"/>
      <c r="B707" s="65"/>
      <c r="C707" s="48"/>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row>
    <row r="708">
      <c r="A708" s="19"/>
      <c r="B708" s="65"/>
      <c r="C708" s="48"/>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row>
    <row r="709">
      <c r="A709" s="19"/>
      <c r="B709" s="65"/>
      <c r="C709" s="48"/>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row>
    <row r="710">
      <c r="A710" s="19"/>
      <c r="B710" s="65"/>
      <c r="C710" s="48"/>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row>
    <row r="711">
      <c r="A711" s="19"/>
      <c r="B711" s="65"/>
      <c r="C711" s="48"/>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c r="A712" s="19"/>
      <c r="B712" s="65"/>
      <c r="C712" s="48"/>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row>
    <row r="713">
      <c r="A713" s="19"/>
      <c r="B713" s="65"/>
      <c r="C713" s="48"/>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row>
    <row r="714">
      <c r="A714" s="19"/>
      <c r="B714" s="65"/>
      <c r="C714" s="48"/>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row>
    <row r="715">
      <c r="A715" s="19"/>
      <c r="B715" s="65"/>
      <c r="C715" s="48"/>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row>
    <row r="716">
      <c r="A716" s="19"/>
      <c r="B716" s="65"/>
      <c r="C716" s="48"/>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row>
    <row r="717">
      <c r="A717" s="19"/>
      <c r="B717" s="65"/>
      <c r="C717" s="48"/>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row>
    <row r="718">
      <c r="A718" s="19"/>
      <c r="B718" s="65"/>
      <c r="C718" s="48"/>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row>
    <row r="719">
      <c r="A719" s="19"/>
      <c r="B719" s="65"/>
      <c r="C719" s="48"/>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row>
    <row r="720">
      <c r="A720" s="19"/>
      <c r="B720" s="65"/>
      <c r="C720" s="48"/>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row>
    <row r="721">
      <c r="A721" s="19"/>
      <c r="B721" s="65"/>
      <c r="C721" s="48"/>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row>
    <row r="722">
      <c r="A722" s="19"/>
      <c r="B722" s="65"/>
      <c r="C722" s="48"/>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row>
    <row r="723">
      <c r="A723" s="19"/>
      <c r="B723" s="65"/>
      <c r="C723" s="48"/>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row>
    <row r="724">
      <c r="A724" s="19"/>
      <c r="B724" s="65"/>
      <c r="C724" s="48"/>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row>
    <row r="725">
      <c r="A725" s="19"/>
      <c r="B725" s="65"/>
      <c r="C725" s="48"/>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row>
    <row r="726">
      <c r="A726" s="19"/>
      <c r="B726" s="65"/>
      <c r="C726" s="48"/>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row>
    <row r="727">
      <c r="A727" s="19"/>
      <c r="B727" s="65"/>
      <c r="C727" s="48"/>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row>
    <row r="728">
      <c r="A728" s="19"/>
      <c r="B728" s="65"/>
      <c r="C728" s="48"/>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row>
    <row r="729">
      <c r="A729" s="19"/>
      <c r="B729" s="65"/>
      <c r="C729" s="48"/>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row>
    <row r="730">
      <c r="A730" s="19"/>
      <c r="B730" s="65"/>
      <c r="C730" s="48"/>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row>
    <row r="731">
      <c r="A731" s="19"/>
      <c r="B731" s="65"/>
      <c r="C731" s="48"/>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row>
    <row r="732">
      <c r="A732" s="19"/>
      <c r="B732" s="65"/>
      <c r="C732" s="48"/>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row>
    <row r="733">
      <c r="A733" s="19"/>
      <c r="B733" s="65"/>
      <c r="C733" s="48"/>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row>
    <row r="734">
      <c r="A734" s="19"/>
      <c r="B734" s="65"/>
      <c r="C734" s="48"/>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row>
    <row r="735">
      <c r="A735" s="19"/>
      <c r="B735" s="65"/>
      <c r="C735" s="48"/>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row>
    <row r="736">
      <c r="A736" s="19"/>
      <c r="B736" s="65"/>
      <c r="C736" s="48"/>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row>
    <row r="737">
      <c r="A737" s="19"/>
      <c r="B737" s="65"/>
      <c r="C737" s="48"/>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row>
    <row r="738">
      <c r="A738" s="19"/>
      <c r="B738" s="65"/>
      <c r="C738" s="48"/>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row>
    <row r="739">
      <c r="A739" s="19"/>
      <c r="B739" s="65"/>
      <c r="C739" s="48"/>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row>
    <row r="740">
      <c r="A740" s="19"/>
      <c r="B740" s="65"/>
      <c r="C740" s="48"/>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row>
    <row r="741">
      <c r="A741" s="19"/>
      <c r="B741" s="65"/>
      <c r="C741" s="48"/>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row>
    <row r="742">
      <c r="A742" s="19"/>
      <c r="B742" s="65"/>
      <c r="C742" s="48"/>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row>
    <row r="743">
      <c r="A743" s="19"/>
      <c r="B743" s="65"/>
      <c r="C743" s="48"/>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row>
    <row r="744">
      <c r="A744" s="19"/>
      <c r="B744" s="65"/>
      <c r="C744" s="48"/>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row>
    <row r="745">
      <c r="A745" s="19"/>
      <c r="B745" s="65"/>
      <c r="C745" s="48"/>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row>
    <row r="746">
      <c r="A746" s="19"/>
      <c r="B746" s="65"/>
      <c r="C746" s="48"/>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row>
    <row r="747">
      <c r="A747" s="19"/>
      <c r="B747" s="65"/>
      <c r="C747" s="48"/>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row>
    <row r="748">
      <c r="A748" s="19"/>
      <c r="B748" s="65"/>
      <c r="C748" s="48"/>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row>
    <row r="749">
      <c r="A749" s="19"/>
      <c r="B749" s="65"/>
      <c r="C749" s="48"/>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row>
    <row r="750">
      <c r="A750" s="19"/>
      <c r="B750" s="65"/>
      <c r="C750" s="48"/>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row>
    <row r="751">
      <c r="A751" s="19"/>
      <c r="B751" s="65"/>
      <c r="C751" s="48"/>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row>
    <row r="752">
      <c r="A752" s="19"/>
      <c r="B752" s="65"/>
      <c r="C752" s="48"/>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row>
    <row r="753">
      <c r="A753" s="19"/>
      <c r="B753" s="65"/>
      <c r="C753" s="48"/>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row>
    <row r="754">
      <c r="A754" s="19"/>
      <c r="B754" s="65"/>
      <c r="C754" s="48"/>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row>
    <row r="755">
      <c r="A755" s="19"/>
      <c r="B755" s="65"/>
      <c r="C755" s="48"/>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row>
    <row r="756">
      <c r="A756" s="19"/>
      <c r="B756" s="65"/>
      <c r="C756" s="48"/>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row>
    <row r="757">
      <c r="A757" s="19"/>
      <c r="B757" s="65"/>
      <c r="C757" s="48"/>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row>
    <row r="758">
      <c r="A758" s="19"/>
      <c r="B758" s="65"/>
      <c r="C758" s="48"/>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row>
    <row r="759">
      <c r="A759" s="19"/>
      <c r="B759" s="65"/>
      <c r="C759" s="48"/>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row>
    <row r="760">
      <c r="A760" s="19"/>
      <c r="B760" s="65"/>
      <c r="C760" s="48"/>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row>
    <row r="761">
      <c r="A761" s="19"/>
      <c r="B761" s="65"/>
      <c r="C761" s="48"/>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row>
    <row r="762">
      <c r="A762" s="19"/>
      <c r="B762" s="65"/>
      <c r="C762" s="48"/>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row>
    <row r="763">
      <c r="A763" s="19"/>
      <c r="B763" s="65"/>
      <c r="C763" s="48"/>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row>
    <row r="764">
      <c r="A764" s="19"/>
      <c r="B764" s="65"/>
      <c r="C764" s="48"/>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row>
    <row r="765">
      <c r="A765" s="19"/>
      <c r="B765" s="65"/>
      <c r="C765" s="48"/>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row>
    <row r="766">
      <c r="A766" s="19"/>
      <c r="B766" s="65"/>
      <c r="C766" s="48"/>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row>
    <row r="767">
      <c r="A767" s="19"/>
      <c r="B767" s="65"/>
      <c r="C767" s="48"/>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row>
    <row r="768">
      <c r="A768" s="19"/>
      <c r="B768" s="65"/>
      <c r="C768" s="48"/>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row>
    <row r="769">
      <c r="A769" s="19"/>
      <c r="B769" s="65"/>
      <c r="C769" s="48"/>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row>
    <row r="770">
      <c r="A770" s="19"/>
      <c r="B770" s="65"/>
      <c r="C770" s="48"/>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row>
    <row r="771">
      <c r="A771" s="19"/>
      <c r="B771" s="65"/>
      <c r="C771" s="48"/>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row>
    <row r="772">
      <c r="A772" s="19"/>
      <c r="B772" s="65"/>
      <c r="C772" s="48"/>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row>
    <row r="773">
      <c r="A773" s="19"/>
      <c r="B773" s="65"/>
      <c r="C773" s="48"/>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row>
    <row r="774">
      <c r="A774" s="19"/>
      <c r="B774" s="65"/>
      <c r="C774" s="48"/>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row>
    <row r="775">
      <c r="A775" s="19"/>
      <c r="B775" s="65"/>
      <c r="C775" s="48"/>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row>
    <row r="776">
      <c r="A776" s="19"/>
      <c r="B776" s="65"/>
      <c r="C776" s="48"/>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row>
    <row r="777">
      <c r="A777" s="19"/>
      <c r="B777" s="65"/>
      <c r="C777" s="48"/>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row>
    <row r="778">
      <c r="A778" s="19"/>
      <c r="B778" s="65"/>
      <c r="C778" s="48"/>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row>
    <row r="779">
      <c r="A779" s="19"/>
      <c r="B779" s="65"/>
      <c r="C779" s="48"/>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row>
    <row r="780">
      <c r="A780" s="19"/>
      <c r="B780" s="65"/>
      <c r="C780" s="48"/>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row>
    <row r="781">
      <c r="A781" s="19"/>
      <c r="B781" s="65"/>
      <c r="C781" s="48"/>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row>
    <row r="782">
      <c r="A782" s="19"/>
      <c r="B782" s="65"/>
      <c r="C782" s="48"/>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row>
    <row r="783">
      <c r="A783" s="19"/>
      <c r="B783" s="65"/>
      <c r="C783" s="48"/>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row>
    <row r="784">
      <c r="A784" s="19"/>
      <c r="B784" s="65"/>
      <c r="C784" s="48"/>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row>
    <row r="785">
      <c r="A785" s="19"/>
      <c r="B785" s="65"/>
      <c r="C785" s="48"/>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row>
    <row r="786">
      <c r="A786" s="19"/>
      <c r="B786" s="65"/>
      <c r="C786" s="48"/>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row>
    <row r="787">
      <c r="A787" s="19"/>
      <c r="B787" s="65"/>
      <c r="C787" s="48"/>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row>
    <row r="788">
      <c r="A788" s="19"/>
      <c r="B788" s="65"/>
      <c r="C788" s="48"/>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row>
    <row r="789">
      <c r="A789" s="19"/>
      <c r="B789" s="65"/>
      <c r="C789" s="48"/>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row>
    <row r="790">
      <c r="A790" s="19"/>
      <c r="B790" s="65"/>
      <c r="C790" s="48"/>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row>
    <row r="791">
      <c r="A791" s="19"/>
      <c r="B791" s="65"/>
      <c r="C791" s="48"/>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row>
    <row r="792">
      <c r="A792" s="19"/>
      <c r="B792" s="65"/>
      <c r="C792" s="48"/>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row>
    <row r="793">
      <c r="A793" s="19"/>
      <c r="B793" s="65"/>
      <c r="C793" s="48"/>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row>
    <row r="794">
      <c r="A794" s="19"/>
      <c r="B794" s="65"/>
      <c r="C794" s="48"/>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row>
    <row r="795">
      <c r="A795" s="19"/>
      <c r="B795" s="65"/>
      <c r="C795" s="48"/>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row>
    <row r="796">
      <c r="A796" s="19"/>
      <c r="B796" s="65"/>
      <c r="C796" s="48"/>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row>
    <row r="797">
      <c r="A797" s="19"/>
      <c r="B797" s="65"/>
      <c r="C797" s="48"/>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row>
    <row r="798">
      <c r="A798" s="19"/>
      <c r="B798" s="65"/>
      <c r="C798" s="48"/>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row>
    <row r="799">
      <c r="A799" s="19"/>
      <c r="B799" s="65"/>
      <c r="C799" s="48"/>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row>
    <row r="800">
      <c r="A800" s="19"/>
      <c r="B800" s="65"/>
      <c r="C800" s="48"/>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row>
    <row r="801">
      <c r="A801" s="19"/>
      <c r="B801" s="65"/>
      <c r="C801" s="48"/>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row>
    <row r="802">
      <c r="A802" s="19"/>
      <c r="B802" s="65"/>
      <c r="C802" s="48"/>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row>
    <row r="803">
      <c r="A803" s="19"/>
      <c r="B803" s="65"/>
      <c r="C803" s="48"/>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row>
    <row r="804">
      <c r="A804" s="19"/>
      <c r="B804" s="65"/>
      <c r="C804" s="48"/>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row>
    <row r="805">
      <c r="A805" s="19"/>
      <c r="B805" s="65"/>
      <c r="C805" s="48"/>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row>
    <row r="806">
      <c r="A806" s="19"/>
      <c r="B806" s="65"/>
      <c r="C806" s="48"/>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row>
    <row r="807">
      <c r="A807" s="19"/>
      <c r="B807" s="65"/>
      <c r="C807" s="48"/>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row>
    <row r="808">
      <c r="A808" s="19"/>
      <c r="B808" s="65"/>
      <c r="C808" s="48"/>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row>
    <row r="809">
      <c r="A809" s="19"/>
      <c r="B809" s="65"/>
      <c r="C809" s="48"/>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row>
    <row r="810">
      <c r="A810" s="19"/>
      <c r="B810" s="65"/>
      <c r="C810" s="48"/>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row>
    <row r="811">
      <c r="A811" s="19"/>
      <c r="B811" s="65"/>
      <c r="C811" s="48"/>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row>
    <row r="812">
      <c r="A812" s="19"/>
      <c r="B812" s="65"/>
      <c r="C812" s="48"/>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row>
    <row r="813">
      <c r="A813" s="19"/>
      <c r="B813" s="65"/>
      <c r="C813" s="48"/>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row>
    <row r="814">
      <c r="A814" s="19"/>
      <c r="B814" s="65"/>
      <c r="C814" s="48"/>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row>
    <row r="815">
      <c r="A815" s="19"/>
      <c r="B815" s="65"/>
      <c r="C815" s="48"/>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row>
    <row r="816">
      <c r="A816" s="19"/>
      <c r="B816" s="65"/>
      <c r="C816" s="48"/>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row>
    <row r="817">
      <c r="A817" s="19"/>
      <c r="B817" s="65"/>
      <c r="C817" s="48"/>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row>
    <row r="818">
      <c r="A818" s="19"/>
      <c r="B818" s="65"/>
      <c r="C818" s="48"/>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row>
    <row r="819">
      <c r="A819" s="19"/>
      <c r="B819" s="65"/>
      <c r="C819" s="48"/>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row>
    <row r="820">
      <c r="A820" s="19"/>
      <c r="B820" s="65"/>
      <c r="C820" s="48"/>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row>
    <row r="821">
      <c r="A821" s="19"/>
      <c r="B821" s="65"/>
      <c r="C821" s="48"/>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row>
    <row r="822">
      <c r="A822" s="19"/>
      <c r="B822" s="65"/>
      <c r="C822" s="48"/>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row>
    <row r="823">
      <c r="A823" s="19"/>
      <c r="B823" s="65"/>
      <c r="C823" s="48"/>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row>
    <row r="824">
      <c r="A824" s="19"/>
      <c r="B824" s="65"/>
      <c r="C824" s="48"/>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row>
    <row r="825">
      <c r="A825" s="19"/>
      <c r="B825" s="65"/>
      <c r="C825" s="48"/>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row>
    <row r="826">
      <c r="A826" s="19"/>
      <c r="B826" s="65"/>
      <c r="C826" s="48"/>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row>
    <row r="827">
      <c r="A827" s="19"/>
      <c r="B827" s="65"/>
      <c r="C827" s="48"/>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row>
    <row r="828">
      <c r="A828" s="19"/>
      <c r="B828" s="65"/>
      <c r="C828" s="48"/>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row>
    <row r="829">
      <c r="A829" s="19"/>
      <c r="B829" s="65"/>
      <c r="C829" s="48"/>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row>
    <row r="830">
      <c r="A830" s="19"/>
      <c r="B830" s="65"/>
      <c r="C830" s="48"/>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row>
    <row r="831">
      <c r="A831" s="19"/>
      <c r="B831" s="65"/>
      <c r="C831" s="48"/>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row>
    <row r="832">
      <c r="A832" s="19"/>
      <c r="B832" s="65"/>
      <c r="C832" s="48"/>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row>
    <row r="833">
      <c r="A833" s="19"/>
      <c r="B833" s="65"/>
      <c r="C833" s="48"/>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row>
    <row r="834">
      <c r="A834" s="19"/>
      <c r="B834" s="65"/>
      <c r="C834" s="48"/>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row>
    <row r="835">
      <c r="A835" s="19"/>
      <c r="B835" s="65"/>
      <c r="C835" s="48"/>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row>
    <row r="836">
      <c r="A836" s="19"/>
      <c r="B836" s="65"/>
      <c r="C836" s="48"/>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row>
    <row r="837">
      <c r="A837" s="19"/>
      <c r="B837" s="65"/>
      <c r="C837" s="48"/>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row>
    <row r="838">
      <c r="A838" s="19"/>
      <c r="B838" s="65"/>
      <c r="C838" s="48"/>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row>
    <row r="839">
      <c r="A839" s="19"/>
      <c r="B839" s="65"/>
      <c r="C839" s="48"/>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row>
    <row r="840">
      <c r="A840" s="19"/>
      <c r="B840" s="65"/>
      <c r="C840" s="48"/>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row>
    <row r="841">
      <c r="A841" s="19"/>
      <c r="B841" s="65"/>
      <c r="C841" s="48"/>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row>
    <row r="842">
      <c r="A842" s="19"/>
      <c r="B842" s="65"/>
      <c r="C842" s="48"/>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row>
    <row r="843">
      <c r="A843" s="19"/>
      <c r="B843" s="65"/>
      <c r="C843" s="48"/>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row>
    <row r="844">
      <c r="A844" s="19"/>
      <c r="B844" s="65"/>
      <c r="C844" s="48"/>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row>
    <row r="845">
      <c r="A845" s="19"/>
      <c r="B845" s="65"/>
      <c r="C845" s="48"/>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row>
    <row r="846">
      <c r="A846" s="19"/>
      <c r="B846" s="65"/>
      <c r="C846" s="48"/>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row>
    <row r="847">
      <c r="A847" s="19"/>
      <c r="B847" s="65"/>
      <c r="C847" s="48"/>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row>
    <row r="848">
      <c r="A848" s="19"/>
      <c r="B848" s="65"/>
      <c r="C848" s="48"/>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row>
    <row r="849">
      <c r="A849" s="19"/>
      <c r="B849" s="65"/>
      <c r="C849" s="48"/>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row>
    <row r="850">
      <c r="A850" s="19"/>
      <c r="B850" s="65"/>
      <c r="C850" s="48"/>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row>
    <row r="851">
      <c r="A851" s="19"/>
      <c r="B851" s="65"/>
      <c r="C851" s="48"/>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row>
    <row r="852">
      <c r="A852" s="19"/>
      <c r="B852" s="65"/>
      <c r="C852" s="48"/>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row>
    <row r="853">
      <c r="A853" s="19"/>
      <c r="B853" s="65"/>
      <c r="C853" s="48"/>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row>
    <row r="854">
      <c r="A854" s="19"/>
      <c r="B854" s="65"/>
      <c r="C854" s="48"/>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row>
    <row r="855">
      <c r="A855" s="19"/>
      <c r="B855" s="65"/>
      <c r="C855" s="48"/>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row>
    <row r="856">
      <c r="A856" s="19"/>
      <c r="B856" s="65"/>
      <c r="C856" s="48"/>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row>
    <row r="857">
      <c r="A857" s="19"/>
      <c r="B857" s="65"/>
      <c r="C857" s="48"/>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row>
    <row r="858">
      <c r="A858" s="19"/>
      <c r="B858" s="65"/>
      <c r="C858" s="48"/>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row>
    <row r="859">
      <c r="A859" s="19"/>
      <c r="B859" s="65"/>
      <c r="C859" s="48"/>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row>
    <row r="860">
      <c r="A860" s="19"/>
      <c r="B860" s="65"/>
      <c r="C860" s="48"/>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row>
    <row r="861">
      <c r="A861" s="19"/>
      <c r="B861" s="65"/>
      <c r="C861" s="48"/>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row>
    <row r="862">
      <c r="A862" s="19"/>
      <c r="B862" s="65"/>
      <c r="C862" s="48"/>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row>
    <row r="863">
      <c r="A863" s="19"/>
      <c r="B863" s="65"/>
      <c r="C863" s="48"/>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row>
    <row r="864">
      <c r="A864" s="19"/>
      <c r="B864" s="65"/>
      <c r="C864" s="48"/>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row>
    <row r="865">
      <c r="A865" s="19"/>
      <c r="B865" s="65"/>
      <c r="C865" s="48"/>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row>
    <row r="866">
      <c r="A866" s="19"/>
      <c r="B866" s="65"/>
      <c r="C866" s="48"/>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row>
    <row r="867">
      <c r="A867" s="19"/>
      <c r="B867" s="65"/>
      <c r="C867" s="48"/>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row>
    <row r="868">
      <c r="A868" s="19"/>
      <c r="B868" s="65"/>
      <c r="C868" s="48"/>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row>
    <row r="869">
      <c r="A869" s="19"/>
      <c r="B869" s="65"/>
      <c r="C869" s="48"/>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row>
    <row r="870">
      <c r="A870" s="19"/>
      <c r="B870" s="65"/>
      <c r="C870" s="48"/>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row>
    <row r="871">
      <c r="A871" s="19"/>
      <c r="B871" s="65"/>
      <c r="C871" s="48"/>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row>
    <row r="872">
      <c r="A872" s="19"/>
      <c r="B872" s="65"/>
      <c r="C872" s="48"/>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row>
    <row r="873">
      <c r="A873" s="19"/>
      <c r="B873" s="65"/>
      <c r="C873" s="48"/>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row>
    <row r="874">
      <c r="A874" s="19"/>
      <c r="B874" s="65"/>
      <c r="C874" s="48"/>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row>
    <row r="875">
      <c r="A875" s="19"/>
      <c r="B875" s="65"/>
      <c r="C875" s="48"/>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row>
    <row r="876">
      <c r="A876" s="19"/>
      <c r="B876" s="65"/>
      <c r="C876" s="48"/>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row>
    <row r="877">
      <c r="A877" s="19"/>
      <c r="B877" s="65"/>
      <c r="C877" s="48"/>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row>
    <row r="878">
      <c r="A878" s="19"/>
      <c r="B878" s="65"/>
      <c r="C878" s="48"/>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row>
    <row r="879">
      <c r="A879" s="19"/>
      <c r="B879" s="65"/>
      <c r="C879" s="48"/>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row>
    <row r="880">
      <c r="A880" s="19"/>
      <c r="B880" s="65"/>
      <c r="C880" s="48"/>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row>
    <row r="881">
      <c r="A881" s="19"/>
      <c r="B881" s="65"/>
      <c r="C881" s="48"/>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row>
    <row r="882">
      <c r="A882" s="19"/>
      <c r="B882" s="65"/>
      <c r="C882" s="48"/>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row>
    <row r="883">
      <c r="A883" s="19"/>
      <c r="B883" s="65"/>
      <c r="C883" s="48"/>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row>
    <row r="884">
      <c r="A884" s="19"/>
      <c r="B884" s="65"/>
      <c r="C884" s="48"/>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row>
    <row r="885">
      <c r="A885" s="19"/>
      <c r="B885" s="65"/>
      <c r="C885" s="48"/>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row>
    <row r="886">
      <c r="A886" s="19"/>
      <c r="B886" s="65"/>
      <c r="C886" s="48"/>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c r="A887" s="19"/>
      <c r="B887" s="65"/>
      <c r="C887" s="48"/>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row>
    <row r="888">
      <c r="A888" s="19"/>
      <c r="B888" s="65"/>
      <c r="C888" s="48"/>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row>
    <row r="889">
      <c r="A889" s="19"/>
      <c r="B889" s="65"/>
      <c r="C889" s="48"/>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row>
    <row r="890">
      <c r="A890" s="19"/>
      <c r="B890" s="65"/>
      <c r="C890" s="48"/>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row>
    <row r="891">
      <c r="A891" s="19"/>
      <c r="B891" s="65"/>
      <c r="C891" s="48"/>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row>
    <row r="892">
      <c r="A892" s="19"/>
      <c r="B892" s="65"/>
      <c r="C892" s="48"/>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row>
    <row r="893">
      <c r="A893" s="19"/>
      <c r="B893" s="65"/>
      <c r="C893" s="48"/>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row>
    <row r="894">
      <c r="A894" s="19"/>
      <c r="B894" s="65"/>
      <c r="C894" s="48"/>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row>
    <row r="895">
      <c r="A895" s="19"/>
      <c r="B895" s="65"/>
      <c r="C895" s="48"/>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row>
    <row r="896">
      <c r="A896" s="19"/>
      <c r="B896" s="65"/>
      <c r="C896" s="48"/>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row>
    <row r="897">
      <c r="A897" s="19"/>
      <c r="B897" s="65"/>
      <c r="C897" s="48"/>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row>
    <row r="898">
      <c r="A898" s="19"/>
      <c r="B898" s="65"/>
      <c r="C898" s="48"/>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row>
    <row r="899">
      <c r="A899" s="19"/>
      <c r="B899" s="65"/>
      <c r="C899" s="48"/>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row>
    <row r="900">
      <c r="A900" s="19"/>
      <c r="B900" s="65"/>
      <c r="C900" s="48"/>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row>
    <row r="901">
      <c r="A901" s="19"/>
      <c r="B901" s="65"/>
      <c r="C901" s="48"/>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row>
    <row r="902">
      <c r="A902" s="19"/>
      <c r="B902" s="65"/>
      <c r="C902" s="48"/>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row>
    <row r="903">
      <c r="A903" s="19"/>
      <c r="B903" s="65"/>
      <c r="C903" s="48"/>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row>
    <row r="904">
      <c r="A904" s="19"/>
      <c r="B904" s="65"/>
      <c r="C904" s="48"/>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row>
    <row r="905">
      <c r="A905" s="19"/>
      <c r="B905" s="65"/>
      <c r="C905" s="48"/>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row>
    <row r="906">
      <c r="A906" s="19"/>
      <c r="B906" s="65"/>
      <c r="C906" s="48"/>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row>
    <row r="907">
      <c r="A907" s="19"/>
      <c r="B907" s="65"/>
      <c r="C907" s="48"/>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row>
    <row r="908">
      <c r="A908" s="19"/>
      <c r="B908" s="65"/>
      <c r="C908" s="48"/>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row>
    <row r="909">
      <c r="A909" s="19"/>
      <c r="B909" s="65"/>
      <c r="C909" s="48"/>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row>
    <row r="910">
      <c r="A910" s="19"/>
      <c r="B910" s="65"/>
      <c r="C910" s="48"/>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row>
    <row r="911">
      <c r="A911" s="19"/>
      <c r="B911" s="65"/>
      <c r="C911" s="48"/>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row>
    <row r="912">
      <c r="A912" s="19"/>
      <c r="B912" s="65"/>
      <c r="C912" s="48"/>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row>
    <row r="913">
      <c r="A913" s="19"/>
      <c r="B913" s="65"/>
      <c r="C913" s="48"/>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row>
    <row r="914">
      <c r="A914" s="19"/>
      <c r="B914" s="65"/>
      <c r="C914" s="48"/>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row>
    <row r="915">
      <c r="A915" s="19"/>
      <c r="B915" s="65"/>
      <c r="C915" s="48"/>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row>
    <row r="916">
      <c r="A916" s="19"/>
      <c r="B916" s="65"/>
      <c r="C916" s="48"/>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row>
    <row r="917">
      <c r="A917" s="19"/>
      <c r="B917" s="65"/>
      <c r="C917" s="48"/>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row>
    <row r="918">
      <c r="A918" s="19"/>
      <c r="B918" s="65"/>
      <c r="C918" s="48"/>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row>
    <row r="919">
      <c r="A919" s="19"/>
      <c r="B919" s="65"/>
      <c r="C919" s="48"/>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row>
    <row r="920">
      <c r="A920" s="19"/>
      <c r="B920" s="65"/>
      <c r="C920" s="48"/>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row>
    <row r="921">
      <c r="A921" s="19"/>
      <c r="B921" s="65"/>
      <c r="C921" s="48"/>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row>
    <row r="922">
      <c r="A922" s="19"/>
      <c r="B922" s="65"/>
      <c r="C922" s="48"/>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row>
    <row r="923">
      <c r="A923" s="19"/>
      <c r="B923" s="65"/>
      <c r="C923" s="48"/>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row>
    <row r="924">
      <c r="A924" s="19"/>
      <c r="B924" s="65"/>
      <c r="C924" s="48"/>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row>
    <row r="925">
      <c r="A925" s="19"/>
      <c r="B925" s="65"/>
      <c r="C925" s="48"/>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row>
    <row r="926">
      <c r="A926" s="19"/>
      <c r="B926" s="65"/>
      <c r="C926" s="48"/>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row>
    <row r="927">
      <c r="A927" s="19"/>
      <c r="B927" s="65"/>
      <c r="C927" s="48"/>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row>
    <row r="928">
      <c r="A928" s="19"/>
      <c r="B928" s="65"/>
      <c r="C928" s="48"/>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row>
    <row r="929">
      <c r="A929" s="19"/>
      <c r="B929" s="65"/>
      <c r="C929" s="48"/>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row>
    <row r="930">
      <c r="A930" s="19"/>
      <c r="B930" s="65"/>
      <c r="C930" s="48"/>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row>
    <row r="931">
      <c r="A931" s="19"/>
      <c r="B931" s="65"/>
      <c r="C931" s="48"/>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row>
    <row r="932">
      <c r="A932" s="19"/>
      <c r="B932" s="65"/>
      <c r="C932" s="48"/>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row>
    <row r="933">
      <c r="A933" s="19"/>
      <c r="B933" s="65"/>
      <c r="C933" s="48"/>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row>
    <row r="934">
      <c r="A934" s="19"/>
      <c r="B934" s="65"/>
      <c r="C934" s="48"/>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row>
    <row r="935">
      <c r="A935" s="19"/>
      <c r="B935" s="65"/>
      <c r="C935" s="48"/>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row>
    <row r="936">
      <c r="A936" s="19"/>
      <c r="B936" s="65"/>
      <c r="C936" s="48"/>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row>
    <row r="937">
      <c r="A937" s="19"/>
      <c r="B937" s="65"/>
      <c r="C937" s="48"/>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row>
    <row r="938">
      <c r="A938" s="19"/>
      <c r="B938" s="65"/>
      <c r="C938" s="48"/>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row>
    <row r="939">
      <c r="A939" s="19"/>
      <c r="B939" s="65"/>
      <c r="C939" s="48"/>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row>
    <row r="940">
      <c r="A940" s="19"/>
      <c r="B940" s="65"/>
      <c r="C940" s="48"/>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row>
    <row r="941">
      <c r="A941" s="19"/>
      <c r="B941" s="65"/>
      <c r="C941" s="48"/>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row>
    <row r="942">
      <c r="A942" s="19"/>
      <c r="B942" s="65"/>
      <c r="C942" s="48"/>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row>
    <row r="943">
      <c r="A943" s="19"/>
      <c r="B943" s="65"/>
      <c r="C943" s="48"/>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row>
    <row r="944">
      <c r="A944" s="19"/>
      <c r="B944" s="65"/>
      <c r="C944" s="48"/>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row>
    <row r="945">
      <c r="A945" s="19"/>
      <c r="B945" s="65"/>
      <c r="C945" s="48"/>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row>
    <row r="946">
      <c r="A946" s="19"/>
      <c r="B946" s="65"/>
      <c r="C946" s="48"/>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row>
    <row r="947">
      <c r="A947" s="19"/>
      <c r="B947" s="65"/>
      <c r="C947" s="48"/>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row>
    <row r="948">
      <c r="A948" s="19"/>
      <c r="B948" s="65"/>
      <c r="C948" s="48"/>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row>
    <row r="949">
      <c r="A949" s="19"/>
      <c r="B949" s="65"/>
      <c r="C949" s="48"/>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row>
    <row r="950">
      <c r="A950" s="19"/>
      <c r="B950" s="65"/>
      <c r="C950" s="48"/>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row>
    <row r="951">
      <c r="A951" s="19"/>
      <c r="B951" s="65"/>
      <c r="C951" s="48"/>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row>
    <row r="952">
      <c r="A952" s="19"/>
      <c r="B952" s="65"/>
      <c r="C952" s="48"/>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row>
    <row r="953">
      <c r="A953" s="19"/>
      <c r="B953" s="65"/>
      <c r="C953" s="48"/>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row>
    <row r="954">
      <c r="A954" s="19"/>
      <c r="B954" s="65"/>
      <c r="C954" s="48"/>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row>
    <row r="955">
      <c r="A955" s="19"/>
      <c r="B955" s="65"/>
      <c r="C955" s="48"/>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row>
    <row r="956">
      <c r="A956" s="19"/>
      <c r="B956" s="65"/>
      <c r="C956" s="48"/>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row>
    <row r="957">
      <c r="A957" s="19"/>
      <c r="B957" s="65"/>
      <c r="C957" s="48"/>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row>
    <row r="958">
      <c r="A958" s="19"/>
      <c r="B958" s="65"/>
      <c r="C958" s="48"/>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row>
    <row r="959">
      <c r="A959" s="19"/>
      <c r="B959" s="65"/>
      <c r="C959" s="48"/>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row>
    <row r="960">
      <c r="A960" s="19"/>
      <c r="B960" s="65"/>
      <c r="C960" s="48"/>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row>
    <row r="961">
      <c r="A961" s="19"/>
      <c r="B961" s="65"/>
      <c r="C961" s="48"/>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row>
    <row r="962">
      <c r="A962" s="19"/>
      <c r="B962" s="65"/>
      <c r="C962" s="48"/>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row>
    <row r="963">
      <c r="A963" s="19"/>
      <c r="B963" s="65"/>
      <c r="C963" s="48"/>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row>
    <row r="964">
      <c r="A964" s="19"/>
      <c r="B964" s="65"/>
      <c r="C964" s="48"/>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row>
    <row r="965">
      <c r="A965" s="19"/>
      <c r="B965" s="65"/>
      <c r="C965" s="48"/>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row>
    <row r="966">
      <c r="A966" s="19"/>
      <c r="B966" s="65"/>
      <c r="C966" s="48"/>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row>
    <row r="967">
      <c r="A967" s="19"/>
      <c r="B967" s="65"/>
      <c r="C967" s="48"/>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row>
    <row r="968">
      <c r="A968" s="19"/>
      <c r="B968" s="65"/>
      <c r="C968" s="48"/>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row>
    <row r="969">
      <c r="A969" s="19"/>
      <c r="B969" s="65"/>
      <c r="C969" s="48"/>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row>
    <row r="970">
      <c r="A970" s="19"/>
      <c r="B970" s="65"/>
      <c r="C970" s="48"/>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row>
    <row r="971">
      <c r="A971" s="19"/>
      <c r="B971" s="65"/>
      <c r="C971" s="48"/>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row>
    <row r="972">
      <c r="A972" s="19"/>
      <c r="B972" s="65"/>
      <c r="C972" s="48"/>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row>
    <row r="973">
      <c r="A973" s="19"/>
      <c r="B973" s="65"/>
      <c r="C973" s="48"/>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row>
    <row r="974">
      <c r="A974" s="19"/>
      <c r="B974" s="65"/>
      <c r="C974" s="48"/>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row>
    <row r="975">
      <c r="A975" s="19"/>
      <c r="B975" s="65"/>
      <c r="C975" s="48"/>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row>
    <row r="976">
      <c r="A976" s="19"/>
      <c r="B976" s="65"/>
      <c r="C976" s="48"/>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row>
    <row r="977">
      <c r="A977" s="19"/>
      <c r="B977" s="65"/>
      <c r="C977" s="48"/>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row>
    <row r="978">
      <c r="A978" s="19"/>
      <c r="B978" s="65"/>
      <c r="C978" s="48"/>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row>
    <row r="979">
      <c r="A979" s="19"/>
      <c r="B979" s="65"/>
      <c r="C979" s="48"/>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row>
    <row r="980">
      <c r="A980" s="19"/>
      <c r="B980" s="65"/>
      <c r="C980" s="48"/>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row>
    <row r="981">
      <c r="A981" s="19"/>
      <c r="B981" s="65"/>
      <c r="C981" s="48"/>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row>
    <row r="982">
      <c r="A982" s="19"/>
      <c r="B982" s="65"/>
      <c r="C982" s="48"/>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row>
    <row r="983">
      <c r="A983" s="19"/>
      <c r="B983" s="65"/>
      <c r="C983" s="48"/>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row>
    <row r="984">
      <c r="A984" s="19"/>
      <c r="B984" s="65"/>
      <c r="C984" s="48"/>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row>
    <row r="985">
      <c r="A985" s="19"/>
      <c r="B985" s="65"/>
      <c r="C985" s="48"/>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row>
    <row r="986">
      <c r="A986" s="19"/>
      <c r="B986" s="65"/>
      <c r="C986" s="48"/>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row>
    <row r="987">
      <c r="A987" s="19"/>
      <c r="B987" s="65"/>
      <c r="C987" s="48"/>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row>
    <row r="988">
      <c r="A988" s="19"/>
      <c r="B988" s="65"/>
      <c r="C988" s="48"/>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row>
    <row r="989">
      <c r="A989" s="19"/>
      <c r="B989" s="65"/>
      <c r="C989" s="48"/>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row>
    <row r="990">
      <c r="A990" s="19"/>
      <c r="B990" s="65"/>
      <c r="C990" s="48"/>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row>
    <row r="991">
      <c r="A991" s="19"/>
      <c r="B991" s="65"/>
      <c r="C991" s="48"/>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row>
    <row r="992">
      <c r="A992" s="19"/>
      <c r="B992" s="65"/>
      <c r="C992" s="48"/>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row>
    <row r="993">
      <c r="A993" s="19"/>
      <c r="B993" s="65"/>
      <c r="C993" s="48"/>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row>
    <row r="994">
      <c r="A994" s="19"/>
      <c r="B994" s="65"/>
      <c r="C994" s="48"/>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row>
    <row r="995">
      <c r="A995" s="19"/>
      <c r="B995" s="65"/>
      <c r="C995" s="48"/>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row>
    <row r="996">
      <c r="A996" s="19"/>
      <c r="B996" s="65"/>
      <c r="C996" s="48"/>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row>
    <row r="997">
      <c r="A997" s="19"/>
      <c r="B997" s="65"/>
      <c r="C997" s="48"/>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row>
    <row r="998">
      <c r="A998" s="19"/>
      <c r="B998" s="65"/>
      <c r="C998" s="48"/>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row>
    <row r="999">
      <c r="A999" s="19"/>
      <c r="B999" s="65"/>
      <c r="C999" s="48"/>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row>
    <row r="1000">
      <c r="A1000" s="19"/>
      <c r="B1000" s="65"/>
      <c r="C1000" s="48"/>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row>
    <row r="1001">
      <c r="A1001" s="19"/>
      <c r="B1001" s="65"/>
      <c r="C1001" s="48"/>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row>
    <row r="1002">
      <c r="A1002" s="19"/>
      <c r="B1002" s="65"/>
      <c r="C1002" s="48"/>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row>
    <row r="1003">
      <c r="A1003" s="19"/>
      <c r="B1003" s="65"/>
      <c r="C1003" s="48"/>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row>
    <row r="1004">
      <c r="A1004" s="19"/>
      <c r="B1004" s="65"/>
      <c r="C1004" s="48"/>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row>
  </sheetData>
  <mergeCells count="20">
    <mergeCell ref="P3:Q3"/>
    <mergeCell ref="P4:Q4"/>
    <mergeCell ref="P5:Q5"/>
    <mergeCell ref="A1:B1"/>
    <mergeCell ref="E1:F1"/>
    <mergeCell ref="K1:L1"/>
    <mergeCell ref="M1:N1"/>
    <mergeCell ref="P1:Q1"/>
    <mergeCell ref="E2:F2"/>
    <mergeCell ref="P2:Q2"/>
    <mergeCell ref="B7:B18"/>
    <mergeCell ref="B19:B27"/>
    <mergeCell ref="B28:B32"/>
    <mergeCell ref="A2:B2"/>
    <mergeCell ref="A3:B3"/>
    <mergeCell ref="E3:F3"/>
    <mergeCell ref="A4:B4"/>
    <mergeCell ref="E4:F4"/>
    <mergeCell ref="A5:B5"/>
    <mergeCell ref="E5:F5"/>
  </mergeCells>
  <dataValidations>
    <dataValidation type="list" allowBlank="1" sqref="M7:M1000">
      <formula1>"Critical,High,Medium,Low"</formula1>
    </dataValidation>
    <dataValidation type="list" allowBlank="1" showErrorMessage="1" sqref="E7:E1004">
      <formula1>"UI,API,PL/SQL,DB"</formula1>
    </dataValidation>
    <dataValidation type="list" allowBlank="1" showErrorMessage="1" sqref="N7:N1000">
      <formula1>"High,Medium,Low"</formula1>
    </dataValidation>
    <dataValidation type="list" allowBlank="1" sqref="K7:K1000 R7:R1000">
      <formula1>"PASS,FAIL,NT"</formula1>
    </dataValidation>
  </dataValidations>
  <hyperlinks>
    <hyperlink r:id="rId1" ref="O12"/>
    <hyperlink r:id="rId2" ref="O15"/>
    <hyperlink r:id="rId3" ref="O19"/>
    <hyperlink r:id="rId4" ref="O20"/>
    <hyperlink r:id="rId5" ref="O21"/>
    <hyperlink r:id="rId6" ref="O22"/>
    <hyperlink r:id="rId7" ref="O23"/>
    <hyperlink r:id="rId8" ref="O24"/>
    <hyperlink r:id="rId9" ref="O25"/>
    <hyperlink r:id="rId10" ref="O28"/>
    <hyperlink r:id="rId11" ref="O29"/>
    <hyperlink r:id="rId12" ref="O30"/>
    <hyperlink r:id="rId13" ref="O31"/>
    <hyperlink r:id="rId14" ref="O3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1.75"/>
    <col customWidth="1" min="3" max="3" width="44.25"/>
    <col customWidth="1" min="4" max="4" width="20.13"/>
    <col customWidth="1" min="5" max="5" width="26.63"/>
    <col customWidth="1" min="6" max="6" width="18.63"/>
    <col customWidth="1" min="7" max="7" width="25.13"/>
  </cols>
  <sheetData>
    <row r="1">
      <c r="A1" s="1"/>
      <c r="B1" s="1"/>
      <c r="C1" s="1"/>
      <c r="D1" s="1"/>
      <c r="E1" s="1"/>
      <c r="F1" s="1"/>
      <c r="G1" s="1"/>
      <c r="H1" s="1"/>
      <c r="I1" s="1"/>
      <c r="J1" s="1"/>
      <c r="K1" s="1"/>
      <c r="L1" s="1"/>
      <c r="M1" s="1"/>
      <c r="N1" s="1"/>
      <c r="O1" s="1"/>
      <c r="P1" s="1"/>
      <c r="Q1" s="1"/>
      <c r="R1" s="1"/>
      <c r="S1" s="1"/>
      <c r="T1" s="1"/>
      <c r="U1" s="1"/>
      <c r="V1" s="1"/>
      <c r="W1" s="1"/>
      <c r="X1" s="1"/>
      <c r="Y1" s="1"/>
      <c r="Z1" s="1"/>
    </row>
    <row r="2">
      <c r="A2" s="3" t="s">
        <v>1</v>
      </c>
      <c r="B2" s="1"/>
      <c r="C2" s="1"/>
      <c r="D2" s="1"/>
      <c r="E2" s="1"/>
      <c r="F2" s="1"/>
      <c r="G2" s="1"/>
      <c r="H2" s="1"/>
      <c r="I2" s="1"/>
      <c r="J2" s="1"/>
      <c r="K2" s="1"/>
      <c r="L2" s="1"/>
      <c r="M2" s="1"/>
      <c r="N2" s="1"/>
      <c r="O2" s="1"/>
      <c r="P2" s="1"/>
      <c r="Q2" s="1"/>
      <c r="R2" s="1"/>
      <c r="S2" s="1"/>
      <c r="T2" s="1"/>
      <c r="U2" s="1"/>
      <c r="V2" s="1"/>
      <c r="W2" s="1"/>
      <c r="X2" s="1"/>
      <c r="Y2" s="1"/>
      <c r="Z2" s="1"/>
    </row>
    <row r="3">
      <c r="A3" s="6" t="s">
        <v>3</v>
      </c>
      <c r="B3" s="8" t="s">
        <v>5</v>
      </c>
      <c r="C3" s="15" t="s">
        <v>6</v>
      </c>
      <c r="D3" s="1"/>
      <c r="E3" s="8" t="s">
        <v>10</v>
      </c>
      <c r="F3" s="8" t="s">
        <v>12</v>
      </c>
      <c r="G3" s="15" t="s">
        <v>13</v>
      </c>
      <c r="H3" s="1"/>
      <c r="I3" s="1"/>
      <c r="J3" s="1"/>
      <c r="K3" s="1"/>
      <c r="L3" s="1"/>
      <c r="M3" s="1"/>
      <c r="N3" s="1"/>
      <c r="O3" s="1"/>
      <c r="P3" s="1"/>
      <c r="Q3" s="1"/>
      <c r="R3" s="1"/>
      <c r="S3" s="1"/>
      <c r="T3" s="1"/>
      <c r="U3" s="1"/>
      <c r="V3" s="1"/>
      <c r="W3" s="1"/>
      <c r="X3" s="1"/>
      <c r="Y3" s="1"/>
      <c r="Z3" s="1"/>
    </row>
    <row r="4">
      <c r="A4" s="1"/>
      <c r="B4" s="8" t="s">
        <v>14</v>
      </c>
      <c r="C4" s="15" t="s">
        <v>15</v>
      </c>
      <c r="D4" s="1"/>
      <c r="E4" s="1"/>
      <c r="F4" s="8" t="s">
        <v>18</v>
      </c>
      <c r="G4" s="15" t="s">
        <v>19</v>
      </c>
      <c r="H4" s="1"/>
      <c r="I4" s="1"/>
      <c r="J4" s="1"/>
      <c r="K4" s="1"/>
      <c r="L4" s="1"/>
      <c r="M4" s="1"/>
      <c r="N4" s="1"/>
      <c r="O4" s="1"/>
      <c r="P4" s="1"/>
      <c r="Q4" s="1"/>
      <c r="R4" s="1"/>
      <c r="S4" s="1"/>
      <c r="T4" s="1"/>
      <c r="U4" s="1"/>
      <c r="V4" s="1"/>
      <c r="W4" s="1"/>
      <c r="X4" s="1"/>
      <c r="Y4" s="1"/>
      <c r="Z4" s="1"/>
    </row>
    <row r="5">
      <c r="A5" s="1"/>
      <c r="B5" s="8" t="s">
        <v>22</v>
      </c>
      <c r="C5" s="15" t="s">
        <v>23</v>
      </c>
      <c r="D5" s="1"/>
      <c r="E5" s="1"/>
      <c r="F5" s="8" t="s">
        <v>24</v>
      </c>
      <c r="G5" s="23" t="s">
        <v>25</v>
      </c>
      <c r="H5" s="1"/>
      <c r="I5" s="1"/>
      <c r="J5" s="1"/>
      <c r="K5" s="1"/>
      <c r="L5" s="1"/>
      <c r="M5" s="1"/>
      <c r="N5" s="1"/>
      <c r="O5" s="1"/>
      <c r="P5" s="1"/>
      <c r="Q5" s="1"/>
      <c r="R5" s="1"/>
      <c r="S5" s="1"/>
      <c r="T5" s="1"/>
      <c r="U5" s="1"/>
      <c r="V5" s="1"/>
      <c r="W5" s="1"/>
      <c r="X5" s="1"/>
      <c r="Y5" s="1"/>
      <c r="Z5" s="1"/>
    </row>
    <row r="6">
      <c r="A6" s="1"/>
      <c r="B6" s="8" t="s">
        <v>27</v>
      </c>
      <c r="C6" s="15" t="s">
        <v>28</v>
      </c>
      <c r="D6" s="1"/>
      <c r="E6" s="1"/>
      <c r="F6" s="8" t="s">
        <v>27</v>
      </c>
      <c r="G6" s="23" t="s">
        <v>29</v>
      </c>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8" t="s">
        <v>36</v>
      </c>
      <c r="B10" s="1"/>
      <c r="C10" s="1"/>
      <c r="D10" s="1"/>
      <c r="E10" s="1"/>
      <c r="F10" s="1"/>
      <c r="G10" s="8" t="s">
        <v>37</v>
      </c>
      <c r="H10" s="1"/>
      <c r="I10" s="1"/>
      <c r="J10" s="1"/>
      <c r="K10" s="1"/>
      <c r="L10" s="1"/>
      <c r="M10" s="1"/>
      <c r="N10" s="1"/>
      <c r="O10" s="1"/>
      <c r="P10" s="1"/>
      <c r="Q10" s="1"/>
      <c r="R10" s="1"/>
      <c r="S10" s="1"/>
      <c r="T10" s="1"/>
      <c r="U10" s="1"/>
      <c r="V10" s="1"/>
      <c r="W10" s="1"/>
      <c r="X10" s="1"/>
      <c r="Y10" s="1"/>
      <c r="Z10" s="1"/>
    </row>
    <row r="11">
      <c r="A11" s="8" t="s">
        <v>38</v>
      </c>
      <c r="B11" s="8" t="s">
        <v>39</v>
      </c>
      <c r="C11" s="8" t="s">
        <v>41</v>
      </c>
      <c r="D11" s="8" t="s">
        <v>42</v>
      </c>
      <c r="E11" s="23" t="s">
        <v>44</v>
      </c>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8" t="s">
        <v>50</v>
      </c>
      <c r="B15" s="8" t="s">
        <v>51</v>
      </c>
      <c r="C15" s="23" t="s">
        <v>52</v>
      </c>
      <c r="D15" s="1"/>
      <c r="E15" s="8" t="s">
        <v>54</v>
      </c>
      <c r="F15" s="8" t="s">
        <v>55</v>
      </c>
      <c r="G15" s="23" t="s">
        <v>57</v>
      </c>
      <c r="H15" s="1"/>
      <c r="I15" s="1"/>
      <c r="J15" s="1"/>
      <c r="K15" s="1"/>
      <c r="L15" s="1"/>
      <c r="M15" s="1"/>
      <c r="N15" s="1"/>
      <c r="O15" s="1"/>
      <c r="P15" s="1"/>
      <c r="Q15" s="1"/>
      <c r="R15" s="1"/>
      <c r="S15" s="1"/>
      <c r="T15" s="1"/>
      <c r="U15" s="1"/>
      <c r="V15" s="1"/>
      <c r="W15" s="1"/>
      <c r="X15" s="1"/>
      <c r="Y15" s="1"/>
      <c r="Z15" s="1"/>
    </row>
    <row r="16">
      <c r="A16" s="1"/>
      <c r="B16" s="8" t="s">
        <v>60</v>
      </c>
      <c r="C16" s="1"/>
      <c r="D16" s="1"/>
      <c r="E16" s="1"/>
      <c r="F16" s="8" t="s">
        <v>61</v>
      </c>
      <c r="G16" s="23" t="s">
        <v>63</v>
      </c>
      <c r="H16" s="1"/>
      <c r="I16" s="1"/>
      <c r="J16" s="1"/>
      <c r="K16" s="1"/>
      <c r="L16" s="1"/>
      <c r="M16" s="1"/>
      <c r="N16" s="1"/>
      <c r="O16" s="1"/>
      <c r="P16" s="1"/>
      <c r="Q16" s="1"/>
      <c r="R16" s="1"/>
      <c r="S16" s="1"/>
      <c r="T16" s="1"/>
      <c r="U16" s="1"/>
      <c r="V16" s="1"/>
      <c r="W16" s="1"/>
      <c r="X16" s="1"/>
      <c r="Y16" s="1"/>
      <c r="Z16" s="1"/>
    </row>
    <row r="17">
      <c r="A17" s="1"/>
      <c r="B17" s="8" t="s">
        <v>74</v>
      </c>
      <c r="C17" s="23" t="s">
        <v>75</v>
      </c>
      <c r="D17" s="1"/>
      <c r="E17" s="1"/>
      <c r="F17" s="8" t="s">
        <v>77</v>
      </c>
      <c r="G17" s="15" t="s">
        <v>78</v>
      </c>
      <c r="H17" s="1"/>
      <c r="I17" s="1"/>
      <c r="J17" s="1"/>
      <c r="K17" s="1"/>
      <c r="L17" s="1"/>
      <c r="M17" s="1"/>
      <c r="N17" s="1"/>
      <c r="O17" s="1"/>
      <c r="P17" s="1"/>
      <c r="Q17" s="1"/>
      <c r="R17" s="1"/>
      <c r="S17" s="1"/>
      <c r="T17" s="1"/>
      <c r="U17" s="1"/>
      <c r="V17" s="1"/>
      <c r="W17" s="1"/>
      <c r="X17" s="1"/>
      <c r="Y17" s="1"/>
      <c r="Z17" s="1"/>
    </row>
    <row r="18">
      <c r="A18" s="1"/>
      <c r="B18" s="8" t="s">
        <v>80</v>
      </c>
      <c r="C18" s="23" t="s">
        <v>82</v>
      </c>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8" t="s">
        <v>84</v>
      </c>
      <c r="G19" s="23" t="s">
        <v>85</v>
      </c>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8" t="s">
        <v>89</v>
      </c>
      <c r="B21" s="8" t="s">
        <v>90</v>
      </c>
      <c r="C21" s="8" t="s">
        <v>91</v>
      </c>
      <c r="D21" s="8" t="s">
        <v>92</v>
      </c>
      <c r="E21" s="23" t="s">
        <v>93</v>
      </c>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8" t="s">
        <v>99</v>
      </c>
      <c r="B25" s="8" t="s">
        <v>100</v>
      </c>
      <c r="C25" s="1"/>
      <c r="D25" s="8" t="s">
        <v>101</v>
      </c>
      <c r="E25" s="8" t="s">
        <v>102</v>
      </c>
      <c r="F25" s="1"/>
      <c r="G25" s="1"/>
      <c r="H25" s="1"/>
      <c r="I25" s="1"/>
      <c r="J25" s="1"/>
      <c r="K25" s="1"/>
      <c r="L25" s="1"/>
      <c r="M25" s="1"/>
      <c r="N25" s="1"/>
      <c r="O25" s="1"/>
      <c r="P25" s="1"/>
      <c r="Q25" s="1"/>
      <c r="R25" s="1"/>
      <c r="S25" s="1"/>
      <c r="T25" s="1"/>
      <c r="U25" s="1"/>
      <c r="V25" s="1"/>
      <c r="W25" s="1"/>
      <c r="X25" s="1"/>
      <c r="Y25" s="1"/>
      <c r="Z25" s="1"/>
    </row>
    <row r="26">
      <c r="A26" s="1"/>
      <c r="B26" s="8" t="s">
        <v>103</v>
      </c>
      <c r="C26" s="1"/>
      <c r="D26" s="1"/>
      <c r="E26" s="8" t="s">
        <v>105</v>
      </c>
      <c r="F26" s="1"/>
      <c r="G26" s="1"/>
      <c r="H26" s="1"/>
      <c r="I26" s="1"/>
      <c r="J26" s="1"/>
      <c r="K26" s="1"/>
      <c r="L26" s="1"/>
      <c r="M26" s="1"/>
      <c r="N26" s="1"/>
      <c r="O26" s="1"/>
      <c r="P26" s="1"/>
      <c r="Q26" s="1"/>
      <c r="R26" s="1"/>
      <c r="S26" s="1"/>
      <c r="T26" s="1"/>
      <c r="U26" s="1"/>
      <c r="V26" s="1"/>
      <c r="W26" s="1"/>
      <c r="X26" s="1"/>
      <c r="Y26" s="1"/>
      <c r="Z26" s="1"/>
    </row>
    <row r="27">
      <c r="A27" s="1"/>
      <c r="B27" s="1"/>
      <c r="C27" s="1"/>
      <c r="D27" s="1"/>
      <c r="E27" s="8" t="s">
        <v>109</v>
      </c>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8" t="s">
        <v>116</v>
      </c>
      <c r="B30" s="8" t="s">
        <v>117</v>
      </c>
      <c r="C30" s="8" t="s">
        <v>118</v>
      </c>
      <c r="D30" s="8" t="s">
        <v>92</v>
      </c>
      <c r="E30" s="23" t="s">
        <v>124</v>
      </c>
      <c r="F30" s="1"/>
      <c r="G30" s="1"/>
      <c r="H30" s="1"/>
      <c r="I30" s="1"/>
      <c r="J30" s="1"/>
      <c r="K30" s="1"/>
      <c r="L30" s="1"/>
      <c r="M30" s="1"/>
      <c r="N30" s="1"/>
      <c r="O30" s="1"/>
      <c r="P30" s="1"/>
      <c r="Q30" s="1"/>
      <c r="R30" s="1"/>
      <c r="S30" s="1"/>
      <c r="T30" s="1"/>
      <c r="U30" s="1"/>
      <c r="V30" s="1"/>
      <c r="W30" s="1"/>
      <c r="X30" s="1"/>
      <c r="Y30" s="1"/>
      <c r="Z30" s="1"/>
    </row>
    <row r="31">
      <c r="A31" s="8" t="s">
        <v>129</v>
      </c>
      <c r="B31" s="1"/>
      <c r="C31" s="1"/>
      <c r="D31" s="8" t="s">
        <v>92</v>
      </c>
      <c r="E31" s="23" t="s">
        <v>130</v>
      </c>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8" t="s">
        <v>137</v>
      </c>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C3"/>
    <hyperlink r:id="rId2" ref="G3"/>
    <hyperlink r:id="rId3" ref="C4"/>
    <hyperlink r:id="rId4" ref="G4"/>
    <hyperlink r:id="rId5" ref="C5"/>
    <hyperlink r:id="rId6" ref="G5"/>
    <hyperlink r:id="rId7" ref="C6"/>
    <hyperlink r:id="rId8" ref="G6"/>
    <hyperlink r:id="rId9" ref="E11"/>
    <hyperlink r:id="rId10" ref="C15"/>
    <hyperlink r:id="rId11" ref="G15"/>
    <hyperlink r:id="rId12" ref="G16"/>
    <hyperlink r:id="rId13" ref="C17"/>
    <hyperlink r:id="rId14" ref="G17"/>
    <hyperlink r:id="rId15" ref="C18"/>
    <hyperlink r:id="rId16" ref="G19"/>
    <hyperlink r:id="rId17" ref="E21"/>
    <hyperlink r:id="rId18" ref="E30"/>
    <hyperlink r:id="rId19" ref="E31"/>
  </hyperlinks>
  <drawing r:id="rId20"/>
</worksheet>
</file>