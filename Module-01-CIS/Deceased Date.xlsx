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7601" sheetId="1" r:id="rId4"/>
  </sheets>
  <definedNames/>
  <calcPr/>
</workbook>
</file>

<file path=xl/sharedStrings.xml><?xml version="1.0" encoding="utf-8"?>
<sst xmlns="http://schemas.openxmlformats.org/spreadsheetml/2006/main" count="623" uniqueCount="278">
  <si>
    <t>Enter Deceased Date and Cause, skip Document</t>
  </si>
  <si>
    <t>ABABIL NG</t>
  </si>
  <si>
    <t>TC Start Date</t>
  </si>
  <si>
    <t>16-07-2025</t>
  </si>
  <si>
    <t>TEST CASE STATUS</t>
  </si>
  <si>
    <t>Event Name</t>
  </si>
  <si>
    <t>TC End Date</t>
  </si>
  <si>
    <t>17-07-2025</t>
  </si>
  <si>
    <t>PASS</t>
  </si>
  <si>
    <t>Para Form Name</t>
  </si>
  <si>
    <t>Add "Deceased Date" field to Deceased Individual overlay panel to record day of passing of an individual.</t>
  </si>
  <si>
    <t>Test Case Developed By</t>
  </si>
  <si>
    <t>Jannat</t>
  </si>
  <si>
    <t>FAIL</t>
  </si>
  <si>
    <t>Developer Name (TL)</t>
  </si>
  <si>
    <t>Test Case Reviewed By</t>
  </si>
  <si>
    <t>NT</t>
  </si>
  <si>
    <t>Test Executed by</t>
  </si>
  <si>
    <t>MITS ID</t>
  </si>
  <si>
    <t>17601</t>
  </si>
  <si>
    <t>TOTAL</t>
  </si>
  <si>
    <t>Req ID</t>
  </si>
  <si>
    <t>Requirement Description</t>
  </si>
  <si>
    <t>TC ID</t>
  </si>
  <si>
    <t>Test Case Description</t>
  </si>
  <si>
    <t>Test Steps</t>
  </si>
  <si>
    <t>Test Data</t>
  </si>
  <si>
    <t>Expected Result</t>
  </si>
  <si>
    <t>Actual Result</t>
  </si>
  <si>
    <t>QA Status</t>
  </si>
  <si>
    <t>Tested By</t>
  </si>
  <si>
    <t>Updated QA Status</t>
  </si>
  <si>
    <t>Updated QA Status (17-08-2025)</t>
  </si>
  <si>
    <t>QA Remarks</t>
  </si>
  <si>
    <t>Updated QA Status (21-08-2025)</t>
  </si>
  <si>
    <t>REQ_DECEASED_001</t>
  </si>
  <si>
    <r>
      <rPr>
        <rFont val="Arial"/>
        <color theme="1"/>
        <sz val="12.0"/>
      </rPr>
      <t xml:space="preserve">Add "Deceased Date" field to Deceased Individual overlay panel to record day of passing of an individual </t>
    </r>
    <r>
      <rPr>
        <rFont val="Arial"/>
        <b/>
        <color theme="1"/>
        <sz val="12.0"/>
      </rPr>
      <t>(Single Customer)</t>
    </r>
  </si>
  <si>
    <t>CIF-001</t>
  </si>
  <si>
    <t>Verify individual customer can be marked deceased using "Deceased Date" field</t>
  </si>
  <si>
    <t xml:space="preserve">1. Enter Customer ID
2. Click Edit Profile.
3. Enable Is Deceased.
4. Enter Deceased Date
5. Enter Cause of Death
6. Upload a PDF 
7. Click Save.
</t>
  </si>
  <si>
    <t xml:space="preserve">Customer Type: Single
Customer ID: 4000001830 
Date: 24-12-2023
Cause: “Natural Causes”
File: valid PDF
</t>
  </si>
  <si>
    <t xml:space="preserve">
Individual deceased should be saved successfully.
</t>
  </si>
  <si>
    <t xml:space="preserve">Successfully Deceased date, cause and document saved </t>
  </si>
  <si>
    <t>CIF-002</t>
  </si>
  <si>
    <t>Verify Deceased Date &amp; Cause of Death are displayed in Deceased Individual details view</t>
  </si>
  <si>
    <t>1. Mark individual customer as deceased.
2. Enter Date of Passing and Cause of Death.
3. Save the record.
4. Open "Deceased Individual" view and check field values.</t>
  </si>
  <si>
    <t>Date of Passing: 24-12-2023
Cause of Death: Natural</t>
  </si>
  <si>
    <t>"Deceased Date" and "Cause of Death" values are displayed in Deceased Individual details section.</t>
  </si>
  <si>
    <t>Values does not displayed.</t>
  </si>
  <si>
    <r>
      <rPr>
        <color theme="1"/>
        <sz val="12.0"/>
      </rPr>
      <t xml:space="preserve">incorrect format (yyyy-mm-dd), whereas it should display in dd-mm-yyyy format, matching the entered or configured UI standard. </t>
    </r>
    <r>
      <rPr>
        <color rgb="FF1155CC"/>
        <sz val="12.0"/>
        <u/>
      </rPr>
      <t>https://prnt.sc/YW-2yW3c4I2q</t>
    </r>
  </si>
  <si>
    <t>CIF-003</t>
  </si>
  <si>
    <t>Verify UI formatting for “Deceased Date” and “Cause of Death” field labels</t>
  </si>
  <si>
    <t>1. Navigate to Deceased Individual section.
2. Observe label style of "Deceased Date" and "Cause of Death".</t>
  </si>
  <si>
    <t>N/A</t>
  </si>
  <si>
    <t>Font size should match other field labels</t>
  </si>
  <si>
    <t xml:space="preserve">Font size mismatch </t>
  </si>
  <si>
    <t>CIF-004</t>
  </si>
  <si>
    <t>Ensure the system displays the correct format of the “Deceased Date” on the approval screen as per configured display format</t>
  </si>
  <si>
    <t>1. Open Customer Edit Profile screen
2. Enable "Is Deceased"
3. Enter Deceased Date 
4. Fill Cause of Death &amp; upload document
5. Click Save
6. Go to Approval Task UI</t>
  </si>
  <si>
    <t>Customer ID:  4000001830 
Deceased Date: 24-12-2023
Cause of Death: Road Accident
Document: Valid PDF</t>
  </si>
  <si>
    <t>Deceased Date should display in the same format as entered (24-12-2023) or match configured UI standard (e.g., dd-mm-yyyy</t>
  </si>
  <si>
    <t>Deceased Date is shown as 2023-12-24 (format changed to yyyy-mm-dd) in Approval UI</t>
  </si>
  <si>
    <t>CIF-005</t>
  </si>
  <si>
    <t>Verify that “Cause of Death” is mandatory in Approval Task screen</t>
  </si>
  <si>
    <t xml:space="preserve">1. Submit a deceased individual record with “Cause of Death”
2. Go to Approval Task UI
</t>
  </si>
  <si>
    <t xml:space="preserve">Cause of Death: Accident </t>
  </si>
  <si>
    <t>Approval should proceed if the field is marked mandatory (* shown).</t>
  </si>
  <si>
    <t>Approval succeeded; no (*) shown</t>
  </si>
  <si>
    <t>CIF-006</t>
  </si>
  <si>
    <t>Verify that “Deceased Date” is mandatory in Approval Task screen</t>
  </si>
  <si>
    <t xml:space="preserve">1. Submit a deceased individual record with “Deceased Date”
2. Go to Approval Task UI
</t>
  </si>
  <si>
    <t>Deceased Date: 24-12-2023</t>
  </si>
  <si>
    <t>Approval succeeded; (*) shown</t>
  </si>
  <si>
    <t>CIF-007</t>
  </si>
  <si>
    <t>Verify that Customer Name displays correctly in Approval Task for Deceased Single Customers</t>
  </si>
  <si>
    <t>1. Submit a deceased record for a Single Customer.
2. Go to the Approve Task screen.
3. Observe the Customer Name in Applicant Info</t>
  </si>
  <si>
    <t xml:space="preserve">Customer Name should show both names correctly, e.g., “Jannatul Ferdous ”  </t>
  </si>
  <si>
    <t>Shown: Customer Name: undefined Jannatul Ferdous</t>
  </si>
  <si>
    <t>https://prnt.sc/7PWf41arMKh4</t>
  </si>
  <si>
    <t>CIF-008</t>
  </si>
  <si>
    <t>Verify that the calendar control shows full view at 100% browser zoom</t>
  </si>
  <si>
    <t>1. Click Is Deceased checkbox.
2. Click the calendar icon beside Deceased Date.
3. Ensure browser zoom is set to 100%.
4. Observe if full calendar is visible without clipping</t>
  </si>
  <si>
    <t>Browser Zoom: 100%
Field: Deceased Date</t>
  </si>
  <si>
    <t>Full calendar should be visible and usable at 100% zoom.</t>
  </si>
  <si>
    <t xml:space="preserve"> Calendar doesn't show full view in 100% zoom size</t>
  </si>
  <si>
    <t>CIF-009</t>
  </si>
  <si>
    <t>Verify behavior when all deceased fields are empty.</t>
  </si>
  <si>
    <t>1. Enter Customer ID.
2. Click Edit Profile.
3. Click Deceased option.
4. Leave all fields empty.
5. Click Save.</t>
  </si>
  <si>
    <t>Deceased Date: [empty]
Cause: [empty]
Document: [none]</t>
  </si>
  <si>
    <t>Error: All 3 fields must be filled before saving. Save should be blocked.</t>
  </si>
  <si>
    <t>Error: Form invalid.</t>
  </si>
  <si>
    <t>CIF-010</t>
  </si>
  <si>
    <t>Enter Deceased Date only, leave Cause and Document empty</t>
  </si>
  <si>
    <t>Same as above but only enter a valid Deceased Date</t>
  </si>
  <si>
    <t>Deceased Date: 2024-05-01
Cause: [empty]
Document: [none]</t>
  </si>
  <si>
    <t>Error: Cause of Death and Document are mandatory.</t>
  </si>
  <si>
    <t>As expected Form Invalid</t>
  </si>
  <si>
    <t>CIF-011</t>
  </si>
  <si>
    <t>Enter Cause only, leave Deceased Date and Document empty</t>
  </si>
  <si>
    <t xml:space="preserve">Only input "Causes of death" </t>
  </si>
  <si>
    <t>Deceased Date: [empty]
Cause: “Natural”
Document: [none]</t>
  </si>
  <si>
    <t>Error: Deceased Date and Document are mandatory.</t>
  </si>
  <si>
    <t>CIF-012</t>
  </si>
  <si>
    <t>Upload document only, skip Deceased Date and Cause</t>
  </si>
  <si>
    <t>Upload valid PDF file but leave others blank</t>
  </si>
  <si>
    <t>Deceased Date: [empty]
Cause: [empty]
Document: death_certificate.pdf</t>
  </si>
  <si>
    <t>Error: Deceased Date and Cause are mandatory.</t>
  </si>
  <si>
    <t>CIF-013</t>
  </si>
  <si>
    <t>Verify system does not allow invalid file type (e.g., exe or .doc .txt instead of PDF &amp; img)</t>
  </si>
  <si>
    <t xml:space="preserve">
1. Upload file with extension: .exe, .txt, .doc.
2. Click Save.</t>
  </si>
  <si>
    <t>File: virus.exe, notes.txt.</t>
  </si>
  <si>
    <t>Error: Only PDF or Image (JPG/PNG) file types are allowed.</t>
  </si>
  <si>
    <t>System correctly blocked upload.</t>
  </si>
  <si>
    <t>CIF-014</t>
  </si>
  <si>
    <t xml:space="preserve">Ensure the system restricts Upload oversized file </t>
  </si>
  <si>
    <t>Upload a large file (&gt;500KB)</t>
  </si>
  <si>
    <t>File: large.pdf (1150KB)</t>
  </si>
  <si>
    <t>Error: File size exceeds maximum allowed limit.</t>
  </si>
  <si>
    <t>Invalid file size, maximum upload size is 500 KB</t>
  </si>
  <si>
    <t>CIF-015</t>
  </si>
  <si>
    <t>Verify future date in "Deceased Date" field</t>
  </si>
  <si>
    <t>1. Enter Customer ID.
2. Click Edit Profile.
3. Enable Deceased.
4. Enter a future date in "Deceased Date".
5. Click Save.</t>
  </si>
  <si>
    <t>Deceased Date: 11/04/2027</t>
  </si>
  <si>
    <t>Error: Deceased Date cannot be in the future. Save should be blocked.</t>
  </si>
  <si>
    <t>System does not allow future date</t>
  </si>
  <si>
    <t>CIF-016</t>
  </si>
  <si>
    <t>Enter special characters/numbers in "Cause of Death" field</t>
  </si>
  <si>
    <t>1. Enter Customer ID.
2. Click Edit Profile.
3. Enable Deceased.
4. In "Cause of Death", enter special characters or numbers.
5. Click Save.</t>
  </si>
  <si>
    <t>Cause: @@@!!!, 34545, &lt;script&gt;</t>
  </si>
  <si>
    <t xml:space="preserve">Error: Invalid characters not allowed. </t>
  </si>
  <si>
    <t>As expected – Format is invalid</t>
  </si>
  <si>
    <t>CIF-017</t>
  </si>
  <si>
    <r>
      <rPr>
        <rFont val="Arial"/>
        <b/>
        <color theme="1"/>
        <sz val="12.0"/>
      </rPr>
      <t>Account Enquiry – Demand Deposit:</t>
    </r>
    <r>
      <rPr>
        <rFont val="Arial"/>
        <color theme="1"/>
        <sz val="12.0"/>
      </rPr>
      <t xml:space="preserve"> Show “Deceased: Yes” for deceased customer</t>
    </r>
  </si>
  <si>
    <t xml:space="preserve">
1. Enter Account No and click Search.
2. Verify account summary pane shows Deceased: Yes.
3. Verify the overlay exposes the Deceased Date field.</t>
  </si>
  <si>
    <t>Account No: 1120000000455(deceased)</t>
  </si>
  <si>
    <t>Account summary shows Deceased: Yes immediately.</t>
  </si>
  <si>
    <t>As expected  Account summary shows Deceased: Yes immediately after search</t>
  </si>
  <si>
    <t>CIF-018</t>
  </si>
  <si>
    <r>
      <rPr>
        <rFont val="Arial"/>
        <b/>
        <color theme="1"/>
        <sz val="12.0"/>
      </rPr>
      <t xml:space="preserve">Account Enquiry – Fixed Deposit: </t>
    </r>
    <r>
      <rPr>
        <rFont val="Arial"/>
        <color theme="1"/>
        <sz val="12.0"/>
      </rPr>
      <t xml:space="preserve">Show “Deceased: Yes” for deceased customer </t>
    </r>
  </si>
  <si>
    <t>Account No: 1240000000344(deceased)</t>
  </si>
  <si>
    <t>CIF-019</t>
  </si>
  <si>
    <r>
      <rPr>
        <rFont val="Arial"/>
        <b/>
        <color theme="1"/>
        <sz val="12.0"/>
      </rPr>
      <t>Account Enquiry – Installment Deposit:</t>
    </r>
    <r>
      <rPr>
        <rFont val="Arial"/>
        <color theme="1"/>
        <sz val="12.0"/>
      </rPr>
      <t xml:space="preserve"> Show “Deceased: Yes” for deceased customer</t>
    </r>
  </si>
  <si>
    <t>Account No: 1351000000003(deceased)</t>
  </si>
  <si>
    <t>CIF-020</t>
  </si>
  <si>
    <t>Verify that the deceased status can be successfully removed when all required fields are filled</t>
  </si>
  <si>
    <t>1. Click Remove Deceased.
2. Enter valid Customer ID.
3. Confirm Is Deceased = Yes.
4. Enter valid Remarks
5. Upload a valid PDF document.
6. Click Save.</t>
  </si>
  <si>
    <t xml:space="preserve">Remark: Wrong Information
Upload Valid Document file </t>
  </si>
  <si>
    <t>Deceased status is removed, and confirmation message appears.</t>
  </si>
  <si>
    <t>Individual decease removed successfully</t>
  </si>
  <si>
    <t>CIF-021</t>
  </si>
  <si>
    <t>Verify "Is Deceased = No" is displayed in Deceased Individual details view</t>
  </si>
  <si>
    <t>Open the Deceased Individual panel</t>
  </si>
  <si>
    <t xml:space="preserve">The details view shows Is Deceased = No </t>
  </si>
  <si>
    <t>As expected – “Is Deceased = No” is clearly displayed;</t>
  </si>
  <si>
    <t>CIF-022</t>
  </si>
  <si>
    <t>Verify that “Remark” is mandatory in Approval Task screen</t>
  </si>
  <si>
    <t xml:space="preserve"> Go to the Approval Task UI </t>
  </si>
  <si>
    <t xml:space="preserve">Remark: Wrong Information
</t>
  </si>
  <si>
    <t>“Remark” field should be marked with a * indicating mandatory.</t>
  </si>
  <si>
    <t>CIF-023</t>
  </si>
  <si>
    <r>
      <rPr>
        <rFont val="Arial"/>
        <color theme="1"/>
        <sz val="12.0"/>
      </rPr>
      <t>Verify "Deceased" Field Value in</t>
    </r>
    <r>
      <rPr>
        <rFont val="Arial"/>
        <b/>
        <color theme="1"/>
        <sz val="12.0"/>
      </rPr>
      <t xml:space="preserve"> Account Enquiry </t>
    </r>
    <r>
      <rPr>
        <rFont val="Arial"/>
        <color theme="1"/>
        <sz val="12.0"/>
      </rPr>
      <t>After Status Removal</t>
    </r>
  </si>
  <si>
    <t xml:space="preserve">
1. Enter Account Number
2. Click Search
3.Observe the "Deceased" field in the account summary
</t>
  </si>
  <si>
    <t>Account Number:1120000000455</t>
  </si>
  <si>
    <t xml:space="preserve">Deceased field should show: No
</t>
  </si>
  <si>
    <t>Deceased field is correctly shown as "No"</t>
  </si>
  <si>
    <t>CIF-024</t>
  </si>
  <si>
    <t>Ensure that validation prevents Save when no input is provided.</t>
  </si>
  <si>
    <t xml:space="preserve">1. Click Remove Deceased
2. Leave Remarks empty
3. Do not upload document
4. Click Save </t>
  </si>
  <si>
    <t xml:space="preserve">Remark: Empty also No document file upload </t>
  </si>
  <si>
    <t>System should display validation errors (e.g., “Remarks is required”, “Document is required”).</t>
  </si>
  <si>
    <t>Error: Reason is required.</t>
  </si>
  <si>
    <t>CIF-025</t>
  </si>
  <si>
    <t>Ensure Remarks is mandatory when removing deceased status</t>
  </si>
  <si>
    <t>1. Upload valid PDF
2. Leave Remarks blank
3. Click Save</t>
  </si>
  <si>
    <t xml:space="preserve">Remark: Empty </t>
  </si>
  <si>
    <t>System shows: “Remarks is required.” Save fails</t>
  </si>
  <si>
    <t>CIF-026</t>
  </si>
  <si>
    <t>Verify file format validation when uploading a non-PDF.</t>
  </si>
  <si>
    <t>1. Enter valid Remarks
2. Upload .docx or .exe file
3. Click Save</t>
  </si>
  <si>
    <t>Upload document: .doc file</t>
  </si>
  <si>
    <t>System rejects the upload</t>
  </si>
  <si>
    <t>System does not allow upload</t>
  </si>
  <si>
    <t>CIF-027</t>
  </si>
  <si>
    <t xml:space="preserve">Ensure the system restricts upload of files exceeding size limit </t>
  </si>
  <si>
    <t>1. Enter valid Remarks
2. Upload a large file (&gt;500KB)
3. Click Save</t>
  </si>
  <si>
    <t>Upload should fail. Error: “File size exceeds allowed limit.</t>
  </si>
  <si>
    <t>REQ_DECEASED_002</t>
  </si>
  <si>
    <r>
      <rPr>
        <rFont val="Arial"/>
        <color theme="1"/>
        <sz val="12.0"/>
      </rPr>
      <t xml:space="preserve">Add "Deceased Date" field to Deceased Individual overlay panel to record day of passing of an individual </t>
    </r>
    <r>
      <rPr>
        <rFont val="Arial"/>
        <b/>
        <color theme="1"/>
        <sz val="12.0"/>
      </rPr>
      <t>(Joint Customer)</t>
    </r>
  </si>
  <si>
    <t>CIF-028</t>
  </si>
  <si>
    <t xml:space="preserve">
1. Enter Customer ID
2. Click Edit Profile.
3. Enable Is Deceased.
4. Enter Deceased Date
5. Enter Cause of Death
6. Upload a PDF 
7. Click Save.</t>
  </si>
  <si>
    <t xml:space="preserve">Customer Type: Joint
Customer ID: 4000001831
Date: 15/02/2023 
Cause: “Accident ”
File: valid PDF
</t>
  </si>
  <si>
    <t xml:space="preserve">
Individual deceased should be saved successfully.
</t>
  </si>
  <si>
    <t>Successfully Deceased date, cause and document saved correctly.</t>
  </si>
  <si>
    <t>CIF-029</t>
  </si>
  <si>
    <t>1. Mark individual customer as deceased.
2. Enter Date of Passing and Cause of Death.
3. Save the record.
4. Open "Deceased Individual" view and check field values</t>
  </si>
  <si>
    <t>"Date of Passing: 15/02/2023 
Cause of Death: Accident"</t>
  </si>
  <si>
    <r>
      <rPr>
        <color theme="1"/>
        <sz val="12.0"/>
      </rPr>
      <t xml:space="preserve">incorrect format (yyyy-mm-dd), whereas it should display in dd-mm-yyyy format, matching the entered or configured UI standard. </t>
    </r>
    <r>
      <rPr>
        <color rgb="FF1155CC"/>
        <sz val="12.0"/>
        <u/>
      </rPr>
      <t>https://prnt.sc/dnN8A89bVkSf</t>
    </r>
  </si>
  <si>
    <t>CIF-030</t>
  </si>
  <si>
    <t>Verify that Customer Name displays correctly in Approval Task for Joint Customers</t>
  </si>
  <si>
    <t>1. Submit a deceased record for a Joint Customer.
2. Go to the Approve Task screen.
3. Observe the Customer Name in Applicant Info</t>
  </si>
  <si>
    <t xml:space="preserve">
Names: Jannatul Ferdous &amp; Jf.Jannat</t>
  </si>
  <si>
    <t xml:space="preserve">Customer Name should show both names correctly, e.g., “Jannatul Ferdous &amp; Jf.Jannat”  </t>
  </si>
  <si>
    <t>Shown: Customer Name: undefined Jannatul Ferdous &amp; Jf.Jannat</t>
  </si>
  <si>
    <t>https://prnt.sc/yvlEdLu_aBMu</t>
  </si>
  <si>
    <t>CIF-031</t>
  </si>
  <si>
    <t>Customer ID:  4000001831
Deceased Date: 23-05-2024
Cause of Death: High Fever
Document: Valid PDF</t>
  </si>
  <si>
    <t>Deceased Date should display in the same format as entered (23-05-2024) or match configured UI standard (e.g., dd-mm-yyyy)</t>
  </si>
  <si>
    <t>Deceased Date is shown as 2024-05-23 (format changed to yyyy-mm-dd) in Approval UI</t>
  </si>
  <si>
    <t>CIF-032</t>
  </si>
  <si>
    <t>CIF-033</t>
  </si>
  <si>
    <t>Deceased Date: 23-05-2024</t>
  </si>
  <si>
    <t>CIF-034</t>
  </si>
  <si>
    <t>CIF-035</t>
  </si>
  <si>
    <t>Deceased Date: 29/02/2024
Cause: [empty]
Document: [none]</t>
  </si>
  <si>
    <t>CIF-036</t>
  </si>
  <si>
    <t>Date of passing is required</t>
  </si>
  <si>
    <t>CIF-037</t>
  </si>
  <si>
    <t>CIF-038</t>
  </si>
  <si>
    <t>Deceased Date: 18/07/2027</t>
  </si>
  <si>
    <t>CIF-039</t>
  </si>
  <si>
    <t>Cause: 13535, #462@, &lt;script&gt;</t>
  </si>
  <si>
    <t>CIF-040</t>
  </si>
  <si>
    <r>
      <rPr>
        <rFont val="Arial"/>
        <b/>
        <color theme="1"/>
        <sz val="12.0"/>
      </rPr>
      <t>Account Enquiry – Demand Deposit:</t>
    </r>
    <r>
      <rPr>
        <rFont val="Arial"/>
        <color theme="1"/>
        <sz val="12.0"/>
      </rPr>
      <t xml:space="preserve"> Show “Deceased: Yes” for deceased customer</t>
    </r>
  </si>
  <si>
    <t>Account No: 1120000000482(deceased)</t>
  </si>
  <si>
    <t>Account summary correctly displays Deceased: Yes and Deceased Date: 15/02/2023 in overlay.</t>
  </si>
  <si>
    <t>CIF-041</t>
  </si>
  <si>
    <r>
      <rPr>
        <rFont val="Arial"/>
        <b/>
        <color theme="1"/>
        <sz val="12.0"/>
      </rPr>
      <t xml:space="preserve">Account Enquiry – Fixed Deposit: </t>
    </r>
    <r>
      <rPr>
        <rFont val="Arial"/>
        <color theme="1"/>
        <sz val="12.0"/>
      </rPr>
      <t xml:space="preserve">Show “Deceased: Yes” for deceased customer </t>
    </r>
  </si>
  <si>
    <t>Account No: 1976000000027(deceased)</t>
  </si>
  <si>
    <t>CIF-042</t>
  </si>
  <si>
    <r>
      <rPr>
        <rFont val="Arial"/>
        <b/>
        <color theme="1"/>
        <sz val="12.0"/>
      </rPr>
      <t>Account Enquiry – Installment Deposit:</t>
    </r>
    <r>
      <rPr>
        <rFont val="Arial"/>
        <color theme="1"/>
        <sz val="12.0"/>
      </rPr>
      <t xml:space="preserve"> Show “Deceased: Yes” for deceased customer</t>
    </r>
  </si>
  <si>
    <t>Account No: 1351000000004(deceased)</t>
  </si>
  <si>
    <t>CIF-043</t>
  </si>
  <si>
    <t>CIF-044</t>
  </si>
  <si>
    <t>CIF-045</t>
  </si>
  <si>
    <t>CIF-046</t>
  </si>
  <si>
    <r>
      <rPr>
        <rFont val="Arial"/>
        <color theme="1"/>
        <sz val="12.0"/>
      </rPr>
      <t>Verify "Deceased" Field Value in</t>
    </r>
    <r>
      <rPr>
        <rFont val="Arial"/>
        <b/>
        <color theme="1"/>
        <sz val="12.0"/>
      </rPr>
      <t xml:space="preserve"> Account Enquiry </t>
    </r>
    <r>
      <rPr>
        <rFont val="Arial"/>
        <color theme="1"/>
        <sz val="12.0"/>
      </rPr>
      <t>After Status Removal</t>
    </r>
  </si>
  <si>
    <t>Account Number:1350000000012</t>
  </si>
  <si>
    <t>REQ_DECEASED_003</t>
  </si>
  <si>
    <r>
      <rPr>
        <rFont val="Arial"/>
        <color theme="1"/>
        <sz val="12.0"/>
      </rPr>
      <t xml:space="preserve">Add "Deceased Date" field to Deceased Individual overlay panel to record day of passing of an individual </t>
    </r>
    <r>
      <rPr>
        <rFont val="Arial"/>
        <b/>
        <color theme="1"/>
        <sz val="12.0"/>
      </rPr>
      <t>(Organization Customer)</t>
    </r>
  </si>
  <si>
    <t>CIF-047</t>
  </si>
  <si>
    <t xml:space="preserve">Customer Type:Organization
Customer ID:4000001847
Date: 2024-08-29
Cause: “Accident ”
File: valid PDF
</t>
  </si>
  <si>
    <t>CIF-048</t>
  </si>
  <si>
    <t>Date of Passing: 2024-08-29 
Cause of Death: Accident</t>
  </si>
  <si>
    <t>Values doest not displayed.</t>
  </si>
  <si>
    <r>
      <rPr>
        <color theme="1"/>
        <sz val="12.0"/>
      </rPr>
      <t xml:space="preserve">incorrect format (yyyy-mm-dd), whereas it should display in dd-mm-yyyy format, matching the entered or configured UI standard.                                 </t>
    </r>
    <r>
      <rPr>
        <color rgb="FF1155CC"/>
        <sz val="12.0"/>
        <u/>
      </rPr>
      <t>https://prnt.sc/2GZISdwKIS97</t>
    </r>
  </si>
  <si>
    <t>CIF-049</t>
  </si>
  <si>
    <t>Verify that Customer Name displays correctly in Approval Task for Org. Customers</t>
  </si>
  <si>
    <t>1. Submit a deceased record for a Org. Customer.
2. Go to the Approve Task screen.
3. Observe the Customer Name in Applicant Info</t>
  </si>
  <si>
    <t xml:space="preserve">Joint Customer: 4000001847
Names: Jannat </t>
  </si>
  <si>
    <t xml:space="preserve">Customer Name should show both names correctly, e.g., “Jannat" </t>
  </si>
  <si>
    <t xml:space="preserve">Shown: Customer Name: undefined Jannat </t>
  </si>
  <si>
    <t>CIF-050</t>
  </si>
  <si>
    <t>Verify that “Cause of Death” is mandatory on Approval UI</t>
  </si>
  <si>
    <t>CIF-051</t>
  </si>
  <si>
    <t>Customer ID:  4000001847
Deceased Date: 29-08-2024
Cause of Death: Accident
Document: Valid PDF</t>
  </si>
  <si>
    <t>Deceased Date should display in the same format as entered (29-08-2024) or match configured UI standard (e.g., dd-mm-yyyy)</t>
  </si>
  <si>
    <t>Deceased Date is shown as  2024-08-29 (format changed to yyyy-mm-dd) in Approval UI</t>
  </si>
  <si>
    <t>CIF-052</t>
  </si>
  <si>
    <t>Deceased Date: 19/09/2026</t>
  </si>
  <si>
    <t>CIF-053</t>
  </si>
  <si>
    <t>Cause: 2345, #577#, &lt;script&gt;</t>
  </si>
  <si>
    <t>CIF-054</t>
  </si>
  <si>
    <r>
      <rPr>
        <rFont val="Arial"/>
        <b/>
        <color theme="1"/>
        <sz val="12.0"/>
      </rPr>
      <t>Account Enquiry – Demand Deposit:</t>
    </r>
    <r>
      <rPr>
        <rFont val="Arial"/>
        <color theme="1"/>
        <sz val="12.0"/>
      </rPr>
      <t xml:space="preserve"> Show “Deceased: No” for deceased customer</t>
    </r>
  </si>
  <si>
    <t xml:space="preserve">
1. Enter Account No and click Search.
2. Verify account summary pane shows Deceased: No.
</t>
  </si>
  <si>
    <t>Account No: 1120000000453(deceased)</t>
  </si>
  <si>
    <t>Account summary shows Deceased: No immediately after search</t>
  </si>
  <si>
    <t>As expected – Deceased: No shown correctly</t>
  </si>
  <si>
    <t>CIF-055</t>
  </si>
  <si>
    <r>
      <rPr>
        <rFont val="Arial"/>
        <b/>
        <color theme="1"/>
        <sz val="12.0"/>
      </rPr>
      <t>Account Enquiry – Fixed Deposit:</t>
    </r>
    <r>
      <rPr>
        <rFont val="Arial"/>
        <color theme="1"/>
        <sz val="12.0"/>
      </rPr>
      <t xml:space="preserve"> Verify that for a known deceased account, Deceased: No is shown </t>
    </r>
  </si>
  <si>
    <t>Account No: 1240000000346(deceased)</t>
  </si>
  <si>
    <t>Account summary shows Deceased: No immediately.</t>
  </si>
  <si>
    <t>CIF-056</t>
  </si>
  <si>
    <r>
      <rPr>
        <rFont val="Arial"/>
        <b/>
        <color theme="1"/>
        <sz val="12.0"/>
      </rPr>
      <t>Account Enquiry – Installment  Deposit:</t>
    </r>
    <r>
      <rPr>
        <rFont val="Arial"/>
        <color theme="1"/>
        <sz val="12.0"/>
      </rPr>
      <t xml:space="preserve"> Verify that for a known deceased account, Deceased: No is shown </t>
    </r>
  </si>
  <si>
    <t>Account No: 1310000000243(deceased)</t>
  </si>
  <si>
    <t>As expected  Account summary shows Deceased: No immediately after search</t>
  </si>
  <si>
    <t>CIF-057</t>
  </si>
  <si>
    <t>CIF-058</t>
  </si>
  <si>
    <t>CIF-059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</si>
</sst>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sz val="12.0"/>
      <color theme="1"/>
      <name val="Source Sans Pro"/>
    </font>
    <font/>
    <font>
      <sz val="12.0"/>
      <color theme="1"/>
      <name val="Source Sans Pro"/>
    </font>
    <font>
      <u/>
      <sz val="12.0"/>
      <color rgb="FF0000FF"/>
      <name val="Source Sans Pro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sz val="12.0"/>
      <color theme="1"/>
    </font>
    <font>
      <u/>
      <sz val="12.0"/>
      <color rgb="FF0000FF"/>
    </font>
    <font>
      <sz val="12.0"/>
      <color theme="1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0" fontId="3" numFmtId="164" xfId="0" applyAlignment="1" applyBorder="1" applyFont="1" applyNumberForma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ont="1">
      <alignment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3" fillId="8" fontId="5" numFmtId="0" xfId="0" applyAlignment="1" applyBorder="1" applyFont="1">
      <alignment horizontal="center" readingOrder="0" shrinkToFit="0" vertical="center" wrapText="1"/>
    </xf>
    <xf borderId="3" fillId="7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6" fillId="0" fontId="2" numFmtId="0" xfId="0" applyBorder="1" applyFont="1"/>
    <xf borderId="3" fillId="5" fontId="5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6" fillId="0" fontId="6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YW-2yW3c4I2q" TargetMode="External"/><Relationship Id="rId2" Type="http://schemas.openxmlformats.org/officeDocument/2006/relationships/hyperlink" Target="https://prnt.sc/7PWf41arMKh4" TargetMode="External"/><Relationship Id="rId3" Type="http://schemas.openxmlformats.org/officeDocument/2006/relationships/hyperlink" Target="https://prnt.sc/dnN8A89bVkSf" TargetMode="External"/><Relationship Id="rId4" Type="http://schemas.openxmlformats.org/officeDocument/2006/relationships/hyperlink" Target="https://prnt.sc/yvlEdLu_aBMu" TargetMode="External"/><Relationship Id="rId5" Type="http://schemas.openxmlformats.org/officeDocument/2006/relationships/hyperlink" Target="https://prnt.sc/2GZISdwKIS97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8.13"/>
    <col customWidth="1" min="4" max="4" width="36.75"/>
    <col customWidth="1" min="5" max="5" width="50.5"/>
    <col customWidth="1" min="6" max="6" width="26.5"/>
    <col customWidth="1" min="7" max="7" width="25.75"/>
    <col customWidth="1" min="8" max="8" width="25.38"/>
    <col customWidth="1" min="9" max="9" width="13.1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/>
      <c r="G1" s="7"/>
      <c r="H1" s="8"/>
      <c r="I1" s="1" t="s">
        <v>4</v>
      </c>
      <c r="J1" s="9"/>
      <c r="K1" s="8"/>
      <c r="L1" s="8"/>
      <c r="M1" s="8"/>
      <c r="N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5</v>
      </c>
      <c r="B2" s="2"/>
      <c r="C2" s="8"/>
      <c r="D2" s="4" t="s">
        <v>6</v>
      </c>
      <c r="E2" s="5" t="s">
        <v>7</v>
      </c>
      <c r="F2" s="6"/>
      <c r="G2" s="7"/>
      <c r="H2" s="8"/>
      <c r="I2" s="11" t="s">
        <v>8</v>
      </c>
      <c r="J2" s="12">
        <f>COUNTIF(I7:I1021, "PASS")</f>
        <v>41</v>
      </c>
      <c r="K2" s="8"/>
      <c r="L2" s="8"/>
      <c r="M2" s="8"/>
      <c r="N2" s="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" t="s">
        <v>9</v>
      </c>
      <c r="B3" s="2"/>
      <c r="C3" s="12" t="s">
        <v>10</v>
      </c>
      <c r="D3" s="4" t="s">
        <v>11</v>
      </c>
      <c r="E3" s="4" t="s">
        <v>12</v>
      </c>
      <c r="F3" s="8"/>
      <c r="G3" s="7"/>
      <c r="H3" s="8"/>
      <c r="I3" s="13" t="s">
        <v>13</v>
      </c>
      <c r="J3" s="12">
        <f>COUNTIF(I7:I1021, "FAIL")</f>
        <v>5</v>
      </c>
      <c r="K3" s="8"/>
      <c r="L3" s="8"/>
      <c r="M3" s="8"/>
      <c r="N3" s="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" t="s">
        <v>14</v>
      </c>
      <c r="B4" s="2"/>
      <c r="C4" s="14"/>
      <c r="D4" s="4" t="s">
        <v>15</v>
      </c>
      <c r="E4" s="7"/>
      <c r="F4" s="8"/>
      <c r="G4" s="7"/>
      <c r="H4" s="8"/>
      <c r="I4" s="15" t="s">
        <v>16</v>
      </c>
      <c r="J4" s="12">
        <f>COUNTIF(I7:I1021, "NT")</f>
        <v>0</v>
      </c>
      <c r="K4" s="8"/>
      <c r="L4" s="8"/>
      <c r="M4" s="8"/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" t="s">
        <v>17</v>
      </c>
      <c r="B5" s="2"/>
      <c r="C5" s="16" t="s">
        <v>12</v>
      </c>
      <c r="D5" s="4" t="s">
        <v>18</v>
      </c>
      <c r="E5" s="17" t="s">
        <v>19</v>
      </c>
      <c r="F5" s="8"/>
      <c r="G5" s="7"/>
      <c r="H5" s="8"/>
      <c r="I5" s="16" t="s">
        <v>20</v>
      </c>
      <c r="J5" s="12">
        <f>SUM(J2,J3,J4)</f>
        <v>46</v>
      </c>
      <c r="K5" s="8"/>
      <c r="L5" s="8"/>
      <c r="M5" s="8"/>
      <c r="N5" s="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8" t="s">
        <v>26</v>
      </c>
      <c r="G6" s="18" t="s">
        <v>27</v>
      </c>
      <c r="H6" s="18" t="s">
        <v>28</v>
      </c>
      <c r="I6" s="19" t="s">
        <v>29</v>
      </c>
      <c r="J6" s="19" t="s">
        <v>30</v>
      </c>
      <c r="K6" s="19" t="s">
        <v>31</v>
      </c>
      <c r="L6" s="20" t="s">
        <v>32</v>
      </c>
      <c r="M6" s="21" t="s">
        <v>33</v>
      </c>
      <c r="N6" s="20" t="s">
        <v>34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>
      <c r="A7" s="23" t="s">
        <v>35</v>
      </c>
      <c r="B7" s="24" t="s">
        <v>36</v>
      </c>
      <c r="C7" s="25" t="s">
        <v>37</v>
      </c>
      <c r="D7" s="26" t="s">
        <v>38</v>
      </c>
      <c r="E7" s="26" t="s">
        <v>39</v>
      </c>
      <c r="F7" s="26" t="s">
        <v>40</v>
      </c>
      <c r="G7" s="26" t="s">
        <v>41</v>
      </c>
      <c r="H7" s="26" t="s">
        <v>42</v>
      </c>
      <c r="I7" s="27" t="s">
        <v>8</v>
      </c>
      <c r="J7" s="28"/>
      <c r="K7" s="27" t="s">
        <v>8</v>
      </c>
      <c r="L7" s="27" t="s">
        <v>8</v>
      </c>
      <c r="M7" s="28"/>
      <c r="N7" s="27" t="s">
        <v>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>
      <c r="A8" s="29"/>
      <c r="B8" s="29"/>
      <c r="C8" s="25" t="s">
        <v>43</v>
      </c>
      <c r="D8" s="26" t="s">
        <v>44</v>
      </c>
      <c r="E8" s="26" t="s">
        <v>45</v>
      </c>
      <c r="F8" s="26" t="s">
        <v>46</v>
      </c>
      <c r="G8" s="26" t="s">
        <v>47</v>
      </c>
      <c r="H8" s="26" t="s">
        <v>48</v>
      </c>
      <c r="I8" s="30" t="s">
        <v>13</v>
      </c>
      <c r="J8" s="28"/>
      <c r="K8" s="27" t="s">
        <v>8</v>
      </c>
      <c r="L8" s="27" t="s">
        <v>8</v>
      </c>
      <c r="M8" s="31" t="s">
        <v>49</v>
      </c>
      <c r="N8" s="27" t="s">
        <v>8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29"/>
      <c r="B9" s="29"/>
      <c r="C9" s="25" t="s">
        <v>50</v>
      </c>
      <c r="D9" s="26" t="s">
        <v>51</v>
      </c>
      <c r="E9" s="26" t="s">
        <v>52</v>
      </c>
      <c r="F9" s="26" t="s">
        <v>53</v>
      </c>
      <c r="G9" s="26" t="s">
        <v>54</v>
      </c>
      <c r="H9" s="26" t="s">
        <v>55</v>
      </c>
      <c r="I9" s="30" t="s">
        <v>13</v>
      </c>
      <c r="J9" s="28"/>
      <c r="K9" s="27" t="s">
        <v>8</v>
      </c>
      <c r="L9" s="27" t="s">
        <v>8</v>
      </c>
      <c r="M9" s="28"/>
      <c r="N9" s="27" t="s">
        <v>8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29"/>
      <c r="B10" s="29"/>
      <c r="C10" s="25" t="s">
        <v>56</v>
      </c>
      <c r="D10" s="26" t="s">
        <v>57</v>
      </c>
      <c r="E10" s="26" t="s">
        <v>58</v>
      </c>
      <c r="F10" s="26" t="s">
        <v>59</v>
      </c>
      <c r="G10" s="26" t="s">
        <v>60</v>
      </c>
      <c r="H10" s="26" t="s">
        <v>61</v>
      </c>
      <c r="I10" s="28"/>
      <c r="J10" s="28"/>
      <c r="K10" s="30" t="s">
        <v>13</v>
      </c>
      <c r="L10" s="27" t="s">
        <v>8</v>
      </c>
      <c r="M10" s="28"/>
      <c r="N10" s="27" t="s">
        <v>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29"/>
      <c r="B11" s="29"/>
      <c r="C11" s="25" t="s">
        <v>62</v>
      </c>
      <c r="D11" s="26" t="s">
        <v>63</v>
      </c>
      <c r="E11" s="26" t="s">
        <v>64</v>
      </c>
      <c r="F11" s="26" t="s">
        <v>65</v>
      </c>
      <c r="G11" s="26" t="s">
        <v>66</v>
      </c>
      <c r="H11" s="26" t="s">
        <v>67</v>
      </c>
      <c r="I11" s="28"/>
      <c r="J11" s="28"/>
      <c r="K11" s="30" t="s">
        <v>13</v>
      </c>
      <c r="L11" s="27" t="s">
        <v>8</v>
      </c>
      <c r="M11" s="28"/>
      <c r="N11" s="27" t="s">
        <v>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29"/>
      <c r="B12" s="29"/>
      <c r="C12" s="25" t="s">
        <v>68</v>
      </c>
      <c r="D12" s="26" t="s">
        <v>69</v>
      </c>
      <c r="E12" s="26" t="s">
        <v>70</v>
      </c>
      <c r="F12" s="26" t="s">
        <v>71</v>
      </c>
      <c r="G12" s="26" t="s">
        <v>66</v>
      </c>
      <c r="H12" s="26" t="s">
        <v>72</v>
      </c>
      <c r="I12" s="28"/>
      <c r="J12" s="28"/>
      <c r="K12" s="27" t="s">
        <v>8</v>
      </c>
      <c r="L12" s="27" t="s">
        <v>8</v>
      </c>
      <c r="M12" s="28"/>
      <c r="N12" s="27" t="s">
        <v>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29"/>
      <c r="B13" s="29"/>
      <c r="C13" s="25" t="s">
        <v>73</v>
      </c>
      <c r="D13" s="26" t="s">
        <v>74</v>
      </c>
      <c r="E13" s="26" t="s">
        <v>75</v>
      </c>
      <c r="F13" s="26"/>
      <c r="G13" s="26" t="s">
        <v>76</v>
      </c>
      <c r="H13" s="26" t="s">
        <v>77</v>
      </c>
      <c r="I13" s="28"/>
      <c r="J13" s="28"/>
      <c r="K13" s="30" t="s">
        <v>13</v>
      </c>
      <c r="L13" s="30" t="s">
        <v>13</v>
      </c>
      <c r="M13" s="32" t="s">
        <v>78</v>
      </c>
      <c r="N13" s="27" t="s">
        <v>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29"/>
      <c r="B14" s="29"/>
      <c r="C14" s="25" t="s">
        <v>79</v>
      </c>
      <c r="D14" s="26" t="s">
        <v>80</v>
      </c>
      <c r="E14" s="26" t="s">
        <v>81</v>
      </c>
      <c r="F14" s="26" t="s">
        <v>82</v>
      </c>
      <c r="G14" s="26" t="s">
        <v>83</v>
      </c>
      <c r="H14" s="26" t="s">
        <v>84</v>
      </c>
      <c r="I14" s="30" t="s">
        <v>13</v>
      </c>
      <c r="J14" s="28"/>
      <c r="K14" s="27" t="s">
        <v>8</v>
      </c>
      <c r="L14" s="27" t="s">
        <v>8</v>
      </c>
      <c r="M14" s="28"/>
      <c r="N14" s="27" t="s">
        <v>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29"/>
      <c r="B15" s="29"/>
      <c r="C15" s="25" t="s">
        <v>85</v>
      </c>
      <c r="D15" s="26" t="s">
        <v>86</v>
      </c>
      <c r="E15" s="26" t="s">
        <v>87</v>
      </c>
      <c r="F15" s="26" t="s">
        <v>88</v>
      </c>
      <c r="G15" s="26" t="s">
        <v>89</v>
      </c>
      <c r="H15" s="26" t="s">
        <v>90</v>
      </c>
      <c r="I15" s="33" t="s">
        <v>8</v>
      </c>
      <c r="J15" s="28"/>
      <c r="K15" s="33" t="s">
        <v>8</v>
      </c>
      <c r="L15" s="33" t="s">
        <v>8</v>
      </c>
      <c r="M15" s="28"/>
      <c r="N15" s="33" t="s">
        <v>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29"/>
      <c r="B16" s="29"/>
      <c r="C16" s="25" t="s">
        <v>91</v>
      </c>
      <c r="D16" s="28" t="s">
        <v>92</v>
      </c>
      <c r="E16" s="34" t="s">
        <v>93</v>
      </c>
      <c r="F16" s="28" t="s">
        <v>94</v>
      </c>
      <c r="G16" s="28" t="s">
        <v>95</v>
      </c>
      <c r="H16" s="28" t="s">
        <v>96</v>
      </c>
      <c r="I16" s="27" t="s">
        <v>8</v>
      </c>
      <c r="J16" s="28"/>
      <c r="K16" s="33" t="s">
        <v>8</v>
      </c>
      <c r="L16" s="33" t="s">
        <v>8</v>
      </c>
      <c r="M16" s="28"/>
      <c r="N16" s="33" t="s">
        <v>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29"/>
      <c r="B17" s="29"/>
      <c r="C17" s="25" t="s">
        <v>97</v>
      </c>
      <c r="D17" s="28" t="s">
        <v>98</v>
      </c>
      <c r="E17" s="26" t="s">
        <v>99</v>
      </c>
      <c r="F17" s="28" t="s">
        <v>100</v>
      </c>
      <c r="G17" s="28" t="s">
        <v>101</v>
      </c>
      <c r="H17" s="28" t="s">
        <v>96</v>
      </c>
      <c r="I17" s="27" t="s">
        <v>8</v>
      </c>
      <c r="J17" s="28"/>
      <c r="K17" s="33" t="s">
        <v>8</v>
      </c>
      <c r="L17" s="33" t="s">
        <v>8</v>
      </c>
      <c r="M17" s="28"/>
      <c r="N17" s="33" t="s">
        <v>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29"/>
      <c r="B18" s="29"/>
      <c r="C18" s="25" t="s">
        <v>102</v>
      </c>
      <c r="D18" s="35" t="s">
        <v>103</v>
      </c>
      <c r="E18" s="36" t="s">
        <v>104</v>
      </c>
      <c r="F18" s="35" t="s">
        <v>105</v>
      </c>
      <c r="G18" s="35" t="s">
        <v>106</v>
      </c>
      <c r="H18" s="35" t="s">
        <v>96</v>
      </c>
      <c r="I18" s="37" t="s">
        <v>8</v>
      </c>
      <c r="J18" s="28"/>
      <c r="K18" s="33" t="s">
        <v>8</v>
      </c>
      <c r="L18" s="33" t="s">
        <v>8</v>
      </c>
      <c r="M18" s="28"/>
      <c r="N18" s="33" t="s">
        <v>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9"/>
      <c r="B19" s="29"/>
      <c r="C19" s="25" t="s">
        <v>107</v>
      </c>
      <c r="D19" s="38" t="s">
        <v>108</v>
      </c>
      <c r="E19" s="38" t="s">
        <v>109</v>
      </c>
      <c r="F19" s="35" t="s">
        <v>110</v>
      </c>
      <c r="G19" s="38" t="s">
        <v>111</v>
      </c>
      <c r="H19" s="38" t="s">
        <v>112</v>
      </c>
      <c r="I19" s="37" t="s">
        <v>8</v>
      </c>
      <c r="J19" s="28"/>
      <c r="K19" s="33" t="s">
        <v>8</v>
      </c>
      <c r="L19" s="33" t="s">
        <v>8</v>
      </c>
      <c r="M19" s="28"/>
      <c r="N19" s="33" t="s">
        <v>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9"/>
      <c r="B20" s="29"/>
      <c r="C20" s="25" t="s">
        <v>113</v>
      </c>
      <c r="D20" s="28" t="s">
        <v>114</v>
      </c>
      <c r="E20" s="28" t="s">
        <v>115</v>
      </c>
      <c r="F20" s="28" t="s">
        <v>116</v>
      </c>
      <c r="G20" s="28" t="s">
        <v>117</v>
      </c>
      <c r="H20" s="28" t="s">
        <v>118</v>
      </c>
      <c r="I20" s="27" t="s">
        <v>8</v>
      </c>
      <c r="J20" s="28"/>
      <c r="K20" s="33" t="s">
        <v>8</v>
      </c>
      <c r="L20" s="33" t="s">
        <v>8</v>
      </c>
      <c r="M20" s="28"/>
      <c r="N20" s="33" t="s">
        <v>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29"/>
      <c r="B21" s="29"/>
      <c r="C21" s="25" t="s">
        <v>119</v>
      </c>
      <c r="D21" s="26" t="s">
        <v>120</v>
      </c>
      <c r="E21" s="26" t="s">
        <v>121</v>
      </c>
      <c r="F21" s="26" t="s">
        <v>122</v>
      </c>
      <c r="G21" s="26" t="s">
        <v>123</v>
      </c>
      <c r="H21" s="26" t="s">
        <v>124</v>
      </c>
      <c r="I21" s="33" t="s">
        <v>8</v>
      </c>
      <c r="J21" s="28"/>
      <c r="K21" s="33" t="s">
        <v>8</v>
      </c>
      <c r="L21" s="33" t="s">
        <v>8</v>
      </c>
      <c r="M21" s="28"/>
      <c r="N21" s="33" t="s">
        <v>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9"/>
      <c r="B22" s="29"/>
      <c r="C22" s="25" t="s">
        <v>125</v>
      </c>
      <c r="D22" s="26" t="s">
        <v>126</v>
      </c>
      <c r="E22" s="26" t="s">
        <v>127</v>
      </c>
      <c r="F22" s="26" t="s">
        <v>128</v>
      </c>
      <c r="G22" s="26" t="s">
        <v>129</v>
      </c>
      <c r="H22" s="26" t="s">
        <v>130</v>
      </c>
      <c r="I22" s="33" t="s">
        <v>8</v>
      </c>
      <c r="J22" s="28"/>
      <c r="K22" s="33" t="s">
        <v>8</v>
      </c>
      <c r="L22" s="33" t="s">
        <v>8</v>
      </c>
      <c r="M22" s="28"/>
      <c r="N22" s="33" t="s">
        <v>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9"/>
      <c r="B23" s="29"/>
      <c r="C23" s="25" t="s">
        <v>131</v>
      </c>
      <c r="D23" s="26" t="s">
        <v>132</v>
      </c>
      <c r="E23" s="26" t="s">
        <v>133</v>
      </c>
      <c r="F23" s="26" t="s">
        <v>134</v>
      </c>
      <c r="G23" s="28" t="s">
        <v>135</v>
      </c>
      <c r="H23" s="28" t="s">
        <v>136</v>
      </c>
      <c r="I23" s="27" t="s">
        <v>8</v>
      </c>
      <c r="J23" s="28"/>
      <c r="K23" s="33" t="s">
        <v>8</v>
      </c>
      <c r="L23" s="33" t="s">
        <v>8</v>
      </c>
      <c r="M23" s="28"/>
      <c r="N23" s="33" t="s">
        <v>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9"/>
      <c r="B24" s="29"/>
      <c r="C24" s="25" t="s">
        <v>137</v>
      </c>
      <c r="D24" s="26" t="s">
        <v>138</v>
      </c>
      <c r="E24" s="26" t="s">
        <v>133</v>
      </c>
      <c r="F24" s="28" t="s">
        <v>139</v>
      </c>
      <c r="G24" s="28" t="s">
        <v>135</v>
      </c>
      <c r="H24" s="28" t="s">
        <v>136</v>
      </c>
      <c r="I24" s="27" t="s">
        <v>8</v>
      </c>
      <c r="J24" s="28"/>
      <c r="K24" s="33" t="s">
        <v>8</v>
      </c>
      <c r="L24" s="33" t="s">
        <v>8</v>
      </c>
      <c r="M24" s="28"/>
      <c r="N24" s="33" t="s">
        <v>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29"/>
      <c r="B25" s="29"/>
      <c r="C25" s="25" t="s">
        <v>140</v>
      </c>
      <c r="D25" s="26" t="s">
        <v>141</v>
      </c>
      <c r="E25" s="26" t="s">
        <v>133</v>
      </c>
      <c r="F25" s="28" t="s">
        <v>142</v>
      </c>
      <c r="G25" s="28" t="s">
        <v>135</v>
      </c>
      <c r="H25" s="28" t="s">
        <v>136</v>
      </c>
      <c r="I25" s="27" t="s">
        <v>8</v>
      </c>
      <c r="J25" s="28"/>
      <c r="K25" s="33" t="s">
        <v>8</v>
      </c>
      <c r="L25" s="33" t="s">
        <v>8</v>
      </c>
      <c r="M25" s="28"/>
      <c r="N25" s="33" t="s">
        <v>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9"/>
      <c r="B26" s="29"/>
      <c r="C26" s="25" t="s">
        <v>143</v>
      </c>
      <c r="D26" s="26" t="s">
        <v>144</v>
      </c>
      <c r="E26" s="26" t="s">
        <v>145</v>
      </c>
      <c r="F26" s="28" t="s">
        <v>146</v>
      </c>
      <c r="G26" s="28" t="s">
        <v>147</v>
      </c>
      <c r="H26" s="28" t="s">
        <v>148</v>
      </c>
      <c r="I26" s="27" t="s">
        <v>8</v>
      </c>
      <c r="J26" s="28"/>
      <c r="K26" s="33" t="s">
        <v>8</v>
      </c>
      <c r="L26" s="33" t="s">
        <v>8</v>
      </c>
      <c r="M26" s="28"/>
      <c r="N26" s="33" t="s">
        <v>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29"/>
      <c r="B27" s="29"/>
      <c r="C27" s="25" t="s">
        <v>149</v>
      </c>
      <c r="D27" s="26" t="s">
        <v>150</v>
      </c>
      <c r="E27" s="26" t="s">
        <v>151</v>
      </c>
      <c r="F27" s="26" t="s">
        <v>53</v>
      </c>
      <c r="G27" s="26" t="s">
        <v>152</v>
      </c>
      <c r="H27" s="26" t="s">
        <v>153</v>
      </c>
      <c r="I27" s="33" t="s">
        <v>8</v>
      </c>
      <c r="J27" s="28"/>
      <c r="K27" s="33" t="s">
        <v>8</v>
      </c>
      <c r="L27" s="33" t="s">
        <v>8</v>
      </c>
      <c r="M27" s="28"/>
      <c r="N27" s="33" t="s">
        <v>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9"/>
      <c r="B28" s="29"/>
      <c r="C28" s="25" t="s">
        <v>154</v>
      </c>
      <c r="D28" s="26" t="s">
        <v>155</v>
      </c>
      <c r="E28" s="26" t="s">
        <v>156</v>
      </c>
      <c r="F28" s="26" t="s">
        <v>157</v>
      </c>
      <c r="G28" s="26" t="s">
        <v>158</v>
      </c>
      <c r="H28" s="26" t="s">
        <v>67</v>
      </c>
      <c r="I28" s="28"/>
      <c r="J28" s="28"/>
      <c r="K28" s="30" t="s">
        <v>13</v>
      </c>
      <c r="L28" s="33" t="s">
        <v>8</v>
      </c>
      <c r="M28" s="28"/>
      <c r="N28" s="33" t="s">
        <v>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9"/>
      <c r="B29" s="29"/>
      <c r="C29" s="25" t="s">
        <v>159</v>
      </c>
      <c r="D29" s="26" t="s">
        <v>160</v>
      </c>
      <c r="E29" s="26" t="s">
        <v>161</v>
      </c>
      <c r="F29" s="26" t="s">
        <v>162</v>
      </c>
      <c r="G29" s="28" t="s">
        <v>163</v>
      </c>
      <c r="H29" s="28" t="s">
        <v>164</v>
      </c>
      <c r="I29" s="27" t="s">
        <v>8</v>
      </c>
      <c r="J29" s="28"/>
      <c r="K29" s="33" t="s">
        <v>8</v>
      </c>
      <c r="L29" s="33" t="s">
        <v>8</v>
      </c>
      <c r="M29" s="28"/>
      <c r="N29" s="33" t="s">
        <v>8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9"/>
      <c r="B30" s="29"/>
      <c r="C30" s="25" t="s">
        <v>165</v>
      </c>
      <c r="D30" s="28" t="s">
        <v>166</v>
      </c>
      <c r="E30" s="28" t="s">
        <v>167</v>
      </c>
      <c r="F30" s="28" t="s">
        <v>168</v>
      </c>
      <c r="G30" s="28" t="s">
        <v>169</v>
      </c>
      <c r="H30" s="28" t="s">
        <v>170</v>
      </c>
      <c r="I30" s="27" t="s">
        <v>8</v>
      </c>
      <c r="J30" s="28"/>
      <c r="K30" s="33" t="s">
        <v>8</v>
      </c>
      <c r="L30" s="33" t="s">
        <v>8</v>
      </c>
      <c r="M30" s="28"/>
      <c r="N30" s="33" t="s">
        <v>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29"/>
      <c r="B31" s="29"/>
      <c r="C31" s="25" t="s">
        <v>171</v>
      </c>
      <c r="D31" s="28" t="s">
        <v>172</v>
      </c>
      <c r="E31" s="28" t="s">
        <v>173</v>
      </c>
      <c r="F31" s="28" t="s">
        <v>174</v>
      </c>
      <c r="G31" s="28" t="s">
        <v>175</v>
      </c>
      <c r="H31" s="28" t="s">
        <v>170</v>
      </c>
      <c r="I31" s="27" t="s">
        <v>8</v>
      </c>
      <c r="J31" s="28"/>
      <c r="K31" s="33" t="s">
        <v>8</v>
      </c>
      <c r="L31" s="33" t="s">
        <v>8</v>
      </c>
      <c r="M31" s="28"/>
      <c r="N31" s="33" t="s">
        <v>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9"/>
      <c r="B32" s="29"/>
      <c r="C32" s="25" t="s">
        <v>176</v>
      </c>
      <c r="D32" s="28" t="s">
        <v>177</v>
      </c>
      <c r="E32" s="28" t="s">
        <v>178</v>
      </c>
      <c r="F32" s="28" t="s">
        <v>179</v>
      </c>
      <c r="G32" s="28" t="s">
        <v>180</v>
      </c>
      <c r="H32" s="28" t="s">
        <v>181</v>
      </c>
      <c r="I32" s="27" t="s">
        <v>8</v>
      </c>
      <c r="J32" s="28"/>
      <c r="K32" s="33" t="s">
        <v>8</v>
      </c>
      <c r="L32" s="33" t="s">
        <v>8</v>
      </c>
      <c r="M32" s="28"/>
      <c r="N32" s="33" t="s">
        <v>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ht="45.0" customHeight="1">
      <c r="A33" s="29"/>
      <c r="B33" s="39"/>
      <c r="C33" s="25" t="s">
        <v>182</v>
      </c>
      <c r="D33" s="28" t="s">
        <v>183</v>
      </c>
      <c r="E33" s="28" t="s">
        <v>184</v>
      </c>
      <c r="F33" s="28" t="s">
        <v>116</v>
      </c>
      <c r="G33" s="28" t="s">
        <v>185</v>
      </c>
      <c r="H33" s="28" t="s">
        <v>118</v>
      </c>
      <c r="I33" s="27" t="s">
        <v>8</v>
      </c>
      <c r="J33" s="28"/>
      <c r="K33" s="33" t="s">
        <v>8</v>
      </c>
      <c r="L33" s="33" t="s">
        <v>8</v>
      </c>
      <c r="M33" s="28"/>
      <c r="N33" s="33" t="s">
        <v>8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23" t="s">
        <v>186</v>
      </c>
      <c r="B34" s="40" t="s">
        <v>187</v>
      </c>
      <c r="C34" s="25" t="s">
        <v>188</v>
      </c>
      <c r="D34" s="26" t="s">
        <v>38</v>
      </c>
      <c r="E34" s="26" t="s">
        <v>189</v>
      </c>
      <c r="F34" s="26" t="s">
        <v>190</v>
      </c>
      <c r="G34" s="26" t="s">
        <v>191</v>
      </c>
      <c r="H34" s="26" t="s">
        <v>192</v>
      </c>
      <c r="I34" s="27" t="s">
        <v>8</v>
      </c>
      <c r="J34" s="28"/>
      <c r="K34" s="33" t="s">
        <v>8</v>
      </c>
      <c r="L34" s="33" t="s">
        <v>8</v>
      </c>
      <c r="M34" s="28"/>
      <c r="N34" s="33" t="s">
        <v>8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29"/>
      <c r="B35" s="29"/>
      <c r="C35" s="25" t="s">
        <v>193</v>
      </c>
      <c r="D35" s="26" t="s">
        <v>44</v>
      </c>
      <c r="E35" s="26" t="s">
        <v>194</v>
      </c>
      <c r="F35" s="26" t="s">
        <v>195</v>
      </c>
      <c r="G35" s="26" t="s">
        <v>47</v>
      </c>
      <c r="H35" s="26" t="s">
        <v>48</v>
      </c>
      <c r="I35" s="30" t="s">
        <v>13</v>
      </c>
      <c r="J35" s="28"/>
      <c r="K35" s="33" t="s">
        <v>8</v>
      </c>
      <c r="L35" s="33" t="s">
        <v>8</v>
      </c>
      <c r="M35" s="31" t="s">
        <v>196</v>
      </c>
      <c r="N35" s="33" t="s">
        <v>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9"/>
      <c r="B36" s="29"/>
      <c r="C36" s="25" t="s">
        <v>197</v>
      </c>
      <c r="D36" s="26" t="s">
        <v>198</v>
      </c>
      <c r="E36" s="26" t="s">
        <v>199</v>
      </c>
      <c r="F36" s="26" t="s">
        <v>200</v>
      </c>
      <c r="G36" s="26" t="s">
        <v>201</v>
      </c>
      <c r="H36" s="26" t="s">
        <v>202</v>
      </c>
      <c r="I36" s="28"/>
      <c r="J36" s="28"/>
      <c r="K36" s="30" t="s">
        <v>13</v>
      </c>
      <c r="L36" s="30" t="s">
        <v>13</v>
      </c>
      <c r="M36" s="32" t="s">
        <v>203</v>
      </c>
      <c r="N36" s="33" t="s">
        <v>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29"/>
      <c r="B37" s="29"/>
      <c r="C37" s="25" t="s">
        <v>204</v>
      </c>
      <c r="D37" s="26" t="s">
        <v>57</v>
      </c>
      <c r="E37" s="26" t="s">
        <v>58</v>
      </c>
      <c r="F37" s="26" t="s">
        <v>205</v>
      </c>
      <c r="G37" s="26" t="s">
        <v>206</v>
      </c>
      <c r="H37" s="26" t="s">
        <v>207</v>
      </c>
      <c r="I37" s="28"/>
      <c r="J37" s="28"/>
      <c r="K37" s="30" t="s">
        <v>13</v>
      </c>
      <c r="L37" s="33" t="s">
        <v>8</v>
      </c>
      <c r="M37" s="28"/>
      <c r="N37" s="33" t="s">
        <v>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29"/>
      <c r="B38" s="29"/>
      <c r="C38" s="25" t="s">
        <v>208</v>
      </c>
      <c r="D38" s="26" t="s">
        <v>63</v>
      </c>
      <c r="E38" s="26" t="s">
        <v>64</v>
      </c>
      <c r="F38" s="26" t="s">
        <v>65</v>
      </c>
      <c r="G38" s="26" t="s">
        <v>66</v>
      </c>
      <c r="H38" s="26" t="s">
        <v>67</v>
      </c>
      <c r="I38" s="28"/>
      <c r="J38" s="28"/>
      <c r="K38" s="30" t="s">
        <v>13</v>
      </c>
      <c r="L38" s="33" t="s">
        <v>8</v>
      </c>
      <c r="M38" s="28"/>
      <c r="N38" s="33" t="s">
        <v>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29"/>
      <c r="B39" s="29"/>
      <c r="C39" s="25" t="s">
        <v>209</v>
      </c>
      <c r="D39" s="26" t="s">
        <v>69</v>
      </c>
      <c r="E39" s="26" t="s">
        <v>70</v>
      </c>
      <c r="F39" s="26" t="s">
        <v>210</v>
      </c>
      <c r="G39" s="26" t="s">
        <v>66</v>
      </c>
      <c r="H39" s="26" t="s">
        <v>72</v>
      </c>
      <c r="I39" s="33" t="s">
        <v>8</v>
      </c>
      <c r="J39" s="28"/>
      <c r="K39" s="33" t="s">
        <v>8</v>
      </c>
      <c r="L39" s="33" t="s">
        <v>8</v>
      </c>
      <c r="M39" s="28"/>
      <c r="N39" s="33" t="s">
        <v>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9"/>
      <c r="B40" s="29"/>
      <c r="C40" s="25" t="s">
        <v>211</v>
      </c>
      <c r="D40" s="26" t="s">
        <v>86</v>
      </c>
      <c r="E40" s="26" t="s">
        <v>87</v>
      </c>
      <c r="F40" s="26" t="s">
        <v>88</v>
      </c>
      <c r="G40" s="26" t="s">
        <v>89</v>
      </c>
      <c r="H40" s="26" t="s">
        <v>90</v>
      </c>
      <c r="I40" s="33" t="s">
        <v>8</v>
      </c>
      <c r="J40" s="28"/>
      <c r="K40" s="33" t="s">
        <v>8</v>
      </c>
      <c r="L40" s="33" t="s">
        <v>8</v>
      </c>
      <c r="M40" s="28"/>
      <c r="N40" s="33" t="s">
        <v>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9"/>
      <c r="B41" s="29"/>
      <c r="C41" s="25" t="s">
        <v>212</v>
      </c>
      <c r="D41" s="28" t="s">
        <v>92</v>
      </c>
      <c r="E41" s="34" t="s">
        <v>93</v>
      </c>
      <c r="F41" s="26" t="s">
        <v>213</v>
      </c>
      <c r="G41" s="28" t="s">
        <v>95</v>
      </c>
      <c r="H41" s="28" t="s">
        <v>96</v>
      </c>
      <c r="I41" s="27" t="s">
        <v>8</v>
      </c>
      <c r="J41" s="28"/>
      <c r="K41" s="33" t="s">
        <v>8</v>
      </c>
      <c r="L41" s="33" t="s">
        <v>8</v>
      </c>
      <c r="M41" s="28"/>
      <c r="N41" s="33" t="s">
        <v>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9"/>
      <c r="B42" s="29"/>
      <c r="C42" s="25" t="s">
        <v>214</v>
      </c>
      <c r="D42" s="28" t="s">
        <v>98</v>
      </c>
      <c r="E42" s="26" t="s">
        <v>99</v>
      </c>
      <c r="F42" s="28" t="s">
        <v>100</v>
      </c>
      <c r="G42" s="28" t="s">
        <v>101</v>
      </c>
      <c r="H42" s="26" t="s">
        <v>215</v>
      </c>
      <c r="I42" s="27" t="s">
        <v>8</v>
      </c>
      <c r="J42" s="28"/>
      <c r="K42" s="33" t="s">
        <v>8</v>
      </c>
      <c r="L42" s="33" t="s">
        <v>8</v>
      </c>
      <c r="M42" s="28"/>
      <c r="N42" s="33" t="s">
        <v>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9"/>
      <c r="B43" s="29"/>
      <c r="C43" s="25" t="s">
        <v>216</v>
      </c>
      <c r="D43" s="35" t="s">
        <v>103</v>
      </c>
      <c r="E43" s="36" t="s">
        <v>104</v>
      </c>
      <c r="F43" s="35" t="s">
        <v>105</v>
      </c>
      <c r="G43" s="35" t="s">
        <v>106</v>
      </c>
      <c r="H43" s="35" t="s">
        <v>96</v>
      </c>
      <c r="I43" s="37" t="s">
        <v>8</v>
      </c>
      <c r="J43" s="28"/>
      <c r="K43" s="33" t="s">
        <v>8</v>
      </c>
      <c r="L43" s="33" t="s">
        <v>8</v>
      </c>
      <c r="M43" s="28"/>
      <c r="N43" s="33" t="s">
        <v>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9"/>
      <c r="B44" s="29"/>
      <c r="C44" s="25" t="s">
        <v>217</v>
      </c>
      <c r="D44" s="26" t="s">
        <v>120</v>
      </c>
      <c r="E44" s="26" t="s">
        <v>121</v>
      </c>
      <c r="F44" s="26" t="s">
        <v>218</v>
      </c>
      <c r="G44" s="26" t="s">
        <v>123</v>
      </c>
      <c r="H44" s="26" t="s">
        <v>124</v>
      </c>
      <c r="I44" s="33" t="s">
        <v>8</v>
      </c>
      <c r="J44" s="28"/>
      <c r="K44" s="33" t="s">
        <v>8</v>
      </c>
      <c r="L44" s="33" t="s">
        <v>8</v>
      </c>
      <c r="M44" s="28"/>
      <c r="N44" s="33" t="s">
        <v>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9"/>
      <c r="B45" s="29"/>
      <c r="C45" s="25" t="s">
        <v>219</v>
      </c>
      <c r="D45" s="26" t="s">
        <v>126</v>
      </c>
      <c r="E45" s="26" t="s">
        <v>127</v>
      </c>
      <c r="F45" s="26" t="s">
        <v>220</v>
      </c>
      <c r="G45" s="26" t="s">
        <v>129</v>
      </c>
      <c r="H45" s="26" t="s">
        <v>130</v>
      </c>
      <c r="I45" s="33" t="s">
        <v>8</v>
      </c>
      <c r="J45" s="28"/>
      <c r="K45" s="33" t="s">
        <v>8</v>
      </c>
      <c r="L45" s="33" t="s">
        <v>8</v>
      </c>
      <c r="M45" s="28"/>
      <c r="N45" s="33" t="s">
        <v>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29"/>
      <c r="B46" s="29"/>
      <c r="C46" s="25" t="s">
        <v>221</v>
      </c>
      <c r="D46" s="26" t="s">
        <v>222</v>
      </c>
      <c r="E46" s="26" t="s">
        <v>133</v>
      </c>
      <c r="F46" s="26" t="s">
        <v>223</v>
      </c>
      <c r="G46" s="28" t="s">
        <v>135</v>
      </c>
      <c r="H46" s="26" t="s">
        <v>224</v>
      </c>
      <c r="I46" s="27" t="s">
        <v>8</v>
      </c>
      <c r="J46" s="28"/>
      <c r="K46" s="33" t="s">
        <v>8</v>
      </c>
      <c r="L46" s="33" t="s">
        <v>8</v>
      </c>
      <c r="M46" s="28"/>
      <c r="N46" s="33" t="s">
        <v>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29"/>
      <c r="B47" s="29"/>
      <c r="C47" s="25" t="s">
        <v>225</v>
      </c>
      <c r="D47" s="26" t="s">
        <v>226</v>
      </c>
      <c r="E47" s="26" t="s">
        <v>133</v>
      </c>
      <c r="F47" s="26" t="s">
        <v>227</v>
      </c>
      <c r="G47" s="28" t="s">
        <v>135</v>
      </c>
      <c r="H47" s="26" t="s">
        <v>224</v>
      </c>
      <c r="I47" s="27" t="s">
        <v>8</v>
      </c>
      <c r="J47" s="28"/>
      <c r="K47" s="33" t="s">
        <v>8</v>
      </c>
      <c r="L47" s="33" t="s">
        <v>8</v>
      </c>
      <c r="M47" s="28"/>
      <c r="N47" s="33" t="s">
        <v>8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29"/>
      <c r="B48" s="29"/>
      <c r="C48" s="25" t="s">
        <v>228</v>
      </c>
      <c r="D48" s="26" t="s">
        <v>229</v>
      </c>
      <c r="E48" s="26" t="s">
        <v>133</v>
      </c>
      <c r="F48" s="26" t="s">
        <v>230</v>
      </c>
      <c r="G48" s="28" t="s">
        <v>135</v>
      </c>
      <c r="H48" s="26" t="s">
        <v>224</v>
      </c>
      <c r="I48" s="27" t="s">
        <v>8</v>
      </c>
      <c r="J48" s="28"/>
      <c r="K48" s="33" t="s">
        <v>8</v>
      </c>
      <c r="L48" s="33" t="s">
        <v>8</v>
      </c>
      <c r="M48" s="28"/>
      <c r="N48" s="33" t="s">
        <v>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9"/>
      <c r="B49" s="29"/>
      <c r="C49" s="25" t="s">
        <v>231</v>
      </c>
      <c r="D49" s="26" t="s">
        <v>144</v>
      </c>
      <c r="E49" s="26" t="s">
        <v>145</v>
      </c>
      <c r="F49" s="28" t="s">
        <v>146</v>
      </c>
      <c r="G49" s="28" t="s">
        <v>147</v>
      </c>
      <c r="H49" s="28" t="s">
        <v>148</v>
      </c>
      <c r="I49" s="27" t="s">
        <v>8</v>
      </c>
      <c r="J49" s="28"/>
      <c r="K49" s="33" t="s">
        <v>8</v>
      </c>
      <c r="L49" s="33" t="s">
        <v>8</v>
      </c>
      <c r="M49" s="28"/>
      <c r="N49" s="33" t="s">
        <v>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9"/>
      <c r="B50" s="29"/>
      <c r="C50" s="25" t="s">
        <v>232</v>
      </c>
      <c r="D50" s="26" t="s">
        <v>150</v>
      </c>
      <c r="E50" s="26" t="s">
        <v>151</v>
      </c>
      <c r="F50" s="26" t="s">
        <v>53</v>
      </c>
      <c r="G50" s="26" t="s">
        <v>152</v>
      </c>
      <c r="H50" s="26" t="s">
        <v>153</v>
      </c>
      <c r="I50" s="33" t="s">
        <v>8</v>
      </c>
      <c r="J50" s="28"/>
      <c r="K50" s="33" t="s">
        <v>8</v>
      </c>
      <c r="L50" s="33" t="s">
        <v>8</v>
      </c>
      <c r="M50" s="28"/>
      <c r="N50" s="33" t="s">
        <v>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9"/>
      <c r="B51" s="29"/>
      <c r="C51" s="25" t="s">
        <v>233</v>
      </c>
      <c r="D51" s="26" t="s">
        <v>155</v>
      </c>
      <c r="E51" s="26" t="s">
        <v>156</v>
      </c>
      <c r="F51" s="26" t="s">
        <v>157</v>
      </c>
      <c r="G51" s="26" t="s">
        <v>158</v>
      </c>
      <c r="H51" s="26" t="s">
        <v>67</v>
      </c>
      <c r="I51" s="28"/>
      <c r="J51" s="28"/>
      <c r="K51" s="30" t="s">
        <v>13</v>
      </c>
      <c r="L51" s="33" t="s">
        <v>8</v>
      </c>
      <c r="M51" s="28"/>
      <c r="N51" s="33" t="s">
        <v>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39"/>
      <c r="B52" s="39"/>
      <c r="C52" s="25" t="s">
        <v>234</v>
      </c>
      <c r="D52" s="26" t="s">
        <v>235</v>
      </c>
      <c r="E52" s="26" t="s">
        <v>161</v>
      </c>
      <c r="F52" s="26" t="s">
        <v>236</v>
      </c>
      <c r="G52" s="28" t="s">
        <v>163</v>
      </c>
      <c r="H52" s="28" t="s">
        <v>164</v>
      </c>
      <c r="I52" s="27" t="s">
        <v>8</v>
      </c>
      <c r="J52" s="28"/>
      <c r="K52" s="33" t="s">
        <v>8</v>
      </c>
      <c r="L52" s="33" t="s">
        <v>8</v>
      </c>
      <c r="M52" s="28"/>
      <c r="N52" s="33" t="s">
        <v>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4" t="s">
        <v>237</v>
      </c>
      <c r="B53" s="24" t="s">
        <v>238</v>
      </c>
      <c r="C53" s="25" t="s">
        <v>239</v>
      </c>
      <c r="D53" s="26" t="s">
        <v>38</v>
      </c>
      <c r="E53" s="26" t="s">
        <v>189</v>
      </c>
      <c r="F53" s="26" t="s">
        <v>240</v>
      </c>
      <c r="G53" s="26" t="s">
        <v>191</v>
      </c>
      <c r="H53" s="26" t="s">
        <v>192</v>
      </c>
      <c r="I53" s="27" t="s">
        <v>8</v>
      </c>
      <c r="J53" s="28"/>
      <c r="K53" s="33" t="s">
        <v>8</v>
      </c>
      <c r="L53" s="33" t="s">
        <v>8</v>
      </c>
      <c r="M53" s="28"/>
      <c r="N53" s="33" t="s">
        <v>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9"/>
      <c r="B54" s="29"/>
      <c r="C54" s="25" t="s">
        <v>241</v>
      </c>
      <c r="D54" s="26" t="s">
        <v>44</v>
      </c>
      <c r="E54" s="26" t="s">
        <v>194</v>
      </c>
      <c r="F54" s="26" t="s">
        <v>242</v>
      </c>
      <c r="G54" s="26" t="s">
        <v>47</v>
      </c>
      <c r="H54" s="26" t="s">
        <v>243</v>
      </c>
      <c r="I54" s="30" t="s">
        <v>13</v>
      </c>
      <c r="J54" s="28"/>
      <c r="K54" s="33" t="s">
        <v>8</v>
      </c>
      <c r="L54" s="33" t="s">
        <v>8</v>
      </c>
      <c r="M54" s="31" t="s">
        <v>244</v>
      </c>
      <c r="N54" s="33" t="s">
        <v>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29"/>
      <c r="B55" s="29"/>
      <c r="C55" s="25" t="s">
        <v>245</v>
      </c>
      <c r="D55" s="26" t="s">
        <v>246</v>
      </c>
      <c r="E55" s="26" t="s">
        <v>247</v>
      </c>
      <c r="F55" s="26" t="s">
        <v>248</v>
      </c>
      <c r="G55" s="26" t="s">
        <v>249</v>
      </c>
      <c r="H55" s="26" t="s">
        <v>250</v>
      </c>
      <c r="I55" s="28"/>
      <c r="J55" s="28"/>
      <c r="K55" s="33" t="s">
        <v>8</v>
      </c>
      <c r="L55" s="33" t="s">
        <v>8</v>
      </c>
      <c r="M55" s="28"/>
      <c r="N55" s="33" t="s">
        <v>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29"/>
      <c r="B56" s="29"/>
      <c r="C56" s="25" t="s">
        <v>251</v>
      </c>
      <c r="D56" s="26" t="s">
        <v>252</v>
      </c>
      <c r="E56" s="26" t="s">
        <v>64</v>
      </c>
      <c r="F56" s="26" t="s">
        <v>65</v>
      </c>
      <c r="G56" s="26" t="s">
        <v>66</v>
      </c>
      <c r="H56" s="26" t="s">
        <v>67</v>
      </c>
      <c r="I56" s="28"/>
      <c r="J56" s="28"/>
      <c r="K56" s="30" t="s">
        <v>13</v>
      </c>
      <c r="L56" s="33" t="s">
        <v>8</v>
      </c>
      <c r="M56" s="28"/>
      <c r="N56" s="33" t="s">
        <v>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29"/>
      <c r="B57" s="29"/>
      <c r="C57" s="25" t="s">
        <v>253</v>
      </c>
      <c r="D57" s="26" t="s">
        <v>57</v>
      </c>
      <c r="E57" s="26" t="s">
        <v>58</v>
      </c>
      <c r="F57" s="26" t="s">
        <v>254</v>
      </c>
      <c r="G57" s="26" t="s">
        <v>255</v>
      </c>
      <c r="H57" s="26" t="s">
        <v>256</v>
      </c>
      <c r="I57" s="28"/>
      <c r="J57" s="28"/>
      <c r="K57" s="30" t="s">
        <v>13</v>
      </c>
      <c r="L57" s="33" t="s">
        <v>8</v>
      </c>
      <c r="M57" s="28"/>
      <c r="N57" s="33" t="s">
        <v>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29"/>
      <c r="B58" s="29"/>
      <c r="C58" s="25" t="s">
        <v>257</v>
      </c>
      <c r="D58" s="26" t="s">
        <v>120</v>
      </c>
      <c r="E58" s="26" t="s">
        <v>121</v>
      </c>
      <c r="F58" s="26" t="s">
        <v>258</v>
      </c>
      <c r="G58" s="26" t="s">
        <v>123</v>
      </c>
      <c r="H58" s="26" t="s">
        <v>124</v>
      </c>
      <c r="I58" s="33" t="s">
        <v>8</v>
      </c>
      <c r="J58" s="28"/>
      <c r="K58" s="33" t="s">
        <v>8</v>
      </c>
      <c r="L58" s="33" t="s">
        <v>8</v>
      </c>
      <c r="M58" s="28"/>
      <c r="N58" s="33" t="s">
        <v>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29"/>
      <c r="B59" s="29"/>
      <c r="C59" s="25" t="s">
        <v>259</v>
      </c>
      <c r="D59" s="26" t="s">
        <v>126</v>
      </c>
      <c r="E59" s="26" t="s">
        <v>127</v>
      </c>
      <c r="F59" s="26" t="s">
        <v>260</v>
      </c>
      <c r="G59" s="26" t="s">
        <v>129</v>
      </c>
      <c r="H59" s="26" t="s">
        <v>130</v>
      </c>
      <c r="I59" s="33" t="s">
        <v>8</v>
      </c>
      <c r="J59" s="28"/>
      <c r="K59" s="33" t="s">
        <v>8</v>
      </c>
      <c r="L59" s="33" t="s">
        <v>8</v>
      </c>
      <c r="M59" s="28"/>
      <c r="N59" s="33" t="s">
        <v>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29"/>
      <c r="B60" s="29"/>
      <c r="C60" s="25" t="s">
        <v>261</v>
      </c>
      <c r="D60" s="26" t="s">
        <v>262</v>
      </c>
      <c r="E60" s="26" t="s">
        <v>263</v>
      </c>
      <c r="F60" s="26" t="s">
        <v>264</v>
      </c>
      <c r="G60" s="26" t="s">
        <v>265</v>
      </c>
      <c r="H60" s="26" t="s">
        <v>266</v>
      </c>
      <c r="I60" s="27" t="s">
        <v>8</v>
      </c>
      <c r="J60" s="28"/>
      <c r="K60" s="33" t="s">
        <v>8</v>
      </c>
      <c r="L60" s="33" t="s">
        <v>8</v>
      </c>
      <c r="M60" s="28"/>
      <c r="N60" s="33" t="s">
        <v>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9"/>
      <c r="B61" s="29"/>
      <c r="C61" s="25" t="s">
        <v>267</v>
      </c>
      <c r="D61" s="26" t="s">
        <v>268</v>
      </c>
      <c r="E61" s="26" t="s">
        <v>263</v>
      </c>
      <c r="F61" s="28" t="s">
        <v>269</v>
      </c>
      <c r="G61" s="28" t="s">
        <v>270</v>
      </c>
      <c r="H61" s="26" t="s">
        <v>266</v>
      </c>
      <c r="I61" s="27" t="s">
        <v>8</v>
      </c>
      <c r="J61" s="28"/>
      <c r="K61" s="33" t="s">
        <v>8</v>
      </c>
      <c r="L61" s="33" t="s">
        <v>8</v>
      </c>
      <c r="M61" s="28"/>
      <c r="N61" s="33" t="s">
        <v>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29"/>
      <c r="B62" s="29"/>
      <c r="C62" s="25" t="s">
        <v>271</v>
      </c>
      <c r="D62" s="26" t="s">
        <v>272</v>
      </c>
      <c r="E62" s="26" t="s">
        <v>263</v>
      </c>
      <c r="F62" s="28" t="s">
        <v>273</v>
      </c>
      <c r="G62" s="28" t="s">
        <v>270</v>
      </c>
      <c r="H62" s="28" t="s">
        <v>274</v>
      </c>
      <c r="I62" s="27" t="s">
        <v>8</v>
      </c>
      <c r="J62" s="28"/>
      <c r="K62" s="33" t="s">
        <v>8</v>
      </c>
      <c r="L62" s="33" t="s">
        <v>8</v>
      </c>
      <c r="M62" s="28"/>
      <c r="N62" s="33" t="s">
        <v>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29"/>
      <c r="B63" s="29"/>
      <c r="C63" s="25" t="s">
        <v>275</v>
      </c>
      <c r="D63" s="26" t="s">
        <v>144</v>
      </c>
      <c r="E63" s="26" t="s">
        <v>145</v>
      </c>
      <c r="F63" s="28" t="s">
        <v>146</v>
      </c>
      <c r="G63" s="28" t="s">
        <v>147</v>
      </c>
      <c r="H63" s="28" t="s">
        <v>148</v>
      </c>
      <c r="I63" s="27" t="s">
        <v>8</v>
      </c>
      <c r="J63" s="28"/>
      <c r="K63" s="33" t="s">
        <v>8</v>
      </c>
      <c r="L63" s="33" t="s">
        <v>8</v>
      </c>
      <c r="M63" s="28"/>
      <c r="N63" s="33" t="s">
        <v>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29"/>
      <c r="B64" s="29"/>
      <c r="C64" s="25" t="s">
        <v>276</v>
      </c>
      <c r="D64" s="26" t="s">
        <v>155</v>
      </c>
      <c r="E64" s="26" t="s">
        <v>156</v>
      </c>
      <c r="F64" s="26" t="s">
        <v>157</v>
      </c>
      <c r="G64" s="26" t="s">
        <v>158</v>
      </c>
      <c r="H64" s="26" t="s">
        <v>67</v>
      </c>
      <c r="I64" s="28"/>
      <c r="J64" s="28"/>
      <c r="K64" s="30" t="s">
        <v>13</v>
      </c>
      <c r="L64" s="33" t="s">
        <v>8</v>
      </c>
      <c r="M64" s="28"/>
      <c r="N64" s="33" t="s">
        <v>8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39"/>
      <c r="B65" s="39"/>
      <c r="C65" s="25" t="s">
        <v>277</v>
      </c>
      <c r="D65" s="26" t="s">
        <v>150</v>
      </c>
      <c r="E65" s="26" t="s">
        <v>151</v>
      </c>
      <c r="F65" s="26" t="s">
        <v>53</v>
      </c>
      <c r="G65" s="26" t="s">
        <v>152</v>
      </c>
      <c r="H65" s="26" t="s">
        <v>153</v>
      </c>
      <c r="I65" s="33" t="s">
        <v>8</v>
      </c>
      <c r="J65" s="28"/>
      <c r="K65" s="33" t="s">
        <v>8</v>
      </c>
      <c r="L65" s="33" t="s">
        <v>8</v>
      </c>
      <c r="M65" s="28"/>
      <c r="N65" s="33" t="s">
        <v>8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28"/>
      <c r="B66" s="28"/>
      <c r="C66" s="8"/>
      <c r="D66" s="8"/>
      <c r="E66" s="8"/>
      <c r="F66" s="8"/>
      <c r="G66" s="8"/>
      <c r="H66" s="8"/>
      <c r="I66" s="8"/>
      <c r="J66" s="28"/>
      <c r="K66" s="28"/>
      <c r="L66" s="28"/>
      <c r="M66" s="28"/>
      <c r="N66" s="28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28"/>
      <c r="B67" s="28"/>
      <c r="C67" s="8"/>
      <c r="D67" s="8"/>
      <c r="E67" s="8"/>
      <c r="F67" s="8"/>
      <c r="G67" s="8"/>
      <c r="H67" s="8"/>
      <c r="I67" s="8"/>
      <c r="J67" s="28"/>
      <c r="K67" s="28"/>
      <c r="L67" s="28"/>
      <c r="M67" s="28"/>
      <c r="N67" s="28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8"/>
      <c r="B68" s="28"/>
      <c r="C68" s="8"/>
      <c r="D68" s="8"/>
      <c r="E68" s="8"/>
      <c r="F68" s="8"/>
      <c r="G68" s="8"/>
      <c r="H68" s="8"/>
      <c r="I68" s="8"/>
      <c r="J68" s="28"/>
      <c r="K68" s="28"/>
      <c r="L68" s="28"/>
      <c r="M68" s="28"/>
      <c r="N68" s="28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>
      <c r="A69" s="28"/>
      <c r="B69" s="28"/>
      <c r="C69" s="8"/>
      <c r="D69" s="8"/>
      <c r="E69" s="8"/>
      <c r="F69" s="8"/>
      <c r="G69" s="8"/>
      <c r="H69" s="8"/>
      <c r="I69" s="8"/>
      <c r="J69" s="8"/>
      <c r="K69" s="28"/>
      <c r="L69" s="28"/>
      <c r="M69" s="28"/>
      <c r="N69" s="28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>
      <c r="A70" s="28"/>
      <c r="B70" s="28"/>
      <c r="C70" s="8"/>
      <c r="D70" s="8"/>
      <c r="E70" s="8"/>
      <c r="F70" s="8"/>
      <c r="G70" s="8"/>
      <c r="H70" s="8"/>
      <c r="I70" s="8"/>
      <c r="J70" s="8"/>
      <c r="K70" s="28"/>
      <c r="L70" s="28"/>
      <c r="M70" s="28"/>
      <c r="N70" s="28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A71" s="28"/>
      <c r="B71" s="28"/>
      <c r="C71" s="8"/>
      <c r="D71" s="8"/>
      <c r="E71" s="8"/>
      <c r="F71" s="8"/>
      <c r="G71" s="8"/>
      <c r="H71" s="8"/>
      <c r="I71" s="8"/>
      <c r="J71" s="8"/>
      <c r="K71" s="28"/>
      <c r="L71" s="28"/>
      <c r="M71" s="28"/>
      <c r="N71" s="28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>
      <c r="A72" s="28"/>
      <c r="B72" s="28"/>
      <c r="C72" s="8"/>
      <c r="D72" s="8"/>
      <c r="E72" s="8"/>
      <c r="F72" s="8"/>
      <c r="G72" s="8"/>
      <c r="H72" s="8"/>
      <c r="I72" s="8"/>
      <c r="J72" s="8"/>
      <c r="K72" s="28"/>
      <c r="L72" s="28"/>
      <c r="M72" s="28"/>
      <c r="N72" s="28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>
      <c r="A73" s="28"/>
      <c r="B73" s="28"/>
      <c r="C73" s="8"/>
      <c r="D73" s="8"/>
      <c r="E73" s="8"/>
      <c r="F73" s="8"/>
      <c r="G73" s="8"/>
      <c r="H73" s="8"/>
      <c r="I73" s="8"/>
      <c r="J73" s="8"/>
      <c r="K73" s="28"/>
      <c r="L73" s="28"/>
      <c r="M73" s="28"/>
      <c r="N73" s="28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>
      <c r="A74" s="28"/>
      <c r="B74" s="28"/>
      <c r="C74" s="8"/>
      <c r="D74" s="8"/>
      <c r="E74" s="8"/>
      <c r="F74" s="8"/>
      <c r="G74" s="8"/>
      <c r="H74" s="8"/>
      <c r="I74" s="8"/>
      <c r="J74" s="8"/>
      <c r="K74" s="28"/>
      <c r="L74" s="28"/>
      <c r="M74" s="28"/>
      <c r="N74" s="28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8"/>
      <c r="B76" s="8"/>
      <c r="C76" s="10"/>
      <c r="D76" s="10"/>
      <c r="E76" s="10"/>
      <c r="F76" s="10"/>
      <c r="G76" s="10"/>
      <c r="H76" s="10"/>
      <c r="I76" s="10"/>
      <c r="J76" s="8"/>
      <c r="K76" s="8"/>
      <c r="L76" s="8"/>
      <c r="M76" s="8"/>
      <c r="N76" s="8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8"/>
      <c r="B77" s="8"/>
      <c r="C77" s="10"/>
      <c r="D77" s="10"/>
      <c r="E77" s="10"/>
      <c r="F77" s="10"/>
      <c r="G77" s="10"/>
      <c r="H77" s="10"/>
      <c r="I77" s="10"/>
      <c r="J77" s="8"/>
      <c r="K77" s="8"/>
      <c r="L77" s="8"/>
      <c r="M77" s="8"/>
      <c r="N77" s="8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8"/>
      <c r="B78" s="8"/>
      <c r="C78" s="10"/>
      <c r="D78" s="10"/>
      <c r="E78" s="10"/>
      <c r="F78" s="10"/>
      <c r="G78" s="10"/>
      <c r="H78" s="10"/>
      <c r="I78" s="10"/>
      <c r="J78" s="8"/>
      <c r="K78" s="8"/>
      <c r="L78" s="8"/>
      <c r="M78" s="8"/>
      <c r="N78" s="8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8"/>
      <c r="B79" s="8"/>
      <c r="C79" s="10"/>
      <c r="D79" s="10"/>
      <c r="E79" s="10"/>
      <c r="F79" s="10"/>
      <c r="G79" s="10"/>
      <c r="H79" s="10"/>
      <c r="I79" s="10"/>
      <c r="J79" s="10"/>
      <c r="K79" s="8"/>
      <c r="L79" s="8"/>
      <c r="M79" s="8"/>
      <c r="N79" s="8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8"/>
      <c r="B80" s="8"/>
      <c r="C80" s="10"/>
      <c r="D80" s="10"/>
      <c r="E80" s="10"/>
      <c r="F80" s="10"/>
      <c r="G80" s="10"/>
      <c r="H80" s="10"/>
      <c r="I80" s="10"/>
      <c r="J80" s="10"/>
      <c r="K80" s="8"/>
      <c r="L80" s="8"/>
      <c r="M80" s="8"/>
      <c r="N80" s="8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8"/>
      <c r="B81" s="8"/>
      <c r="C81" s="10"/>
      <c r="D81" s="10"/>
      <c r="E81" s="10"/>
      <c r="F81" s="10"/>
      <c r="G81" s="10"/>
      <c r="H81" s="10"/>
      <c r="I81" s="10"/>
      <c r="J81" s="10"/>
      <c r="K81" s="8"/>
      <c r="L81" s="8"/>
      <c r="M81" s="8"/>
      <c r="N81" s="8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8"/>
      <c r="B82" s="8"/>
      <c r="C82" s="10"/>
      <c r="D82" s="10"/>
      <c r="E82" s="10"/>
      <c r="F82" s="10"/>
      <c r="G82" s="10"/>
      <c r="H82" s="10"/>
      <c r="I82" s="10"/>
      <c r="J82" s="10"/>
      <c r="K82" s="8"/>
      <c r="L82" s="8"/>
      <c r="M82" s="8"/>
      <c r="N82" s="8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8"/>
      <c r="B83" s="8"/>
      <c r="C83" s="10"/>
      <c r="D83" s="10"/>
      <c r="E83" s="10"/>
      <c r="F83" s="10"/>
      <c r="G83" s="10"/>
      <c r="H83" s="10"/>
      <c r="I83" s="10"/>
      <c r="J83" s="10"/>
      <c r="K83" s="8"/>
      <c r="L83" s="8"/>
      <c r="M83" s="8"/>
      <c r="N83" s="8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8"/>
      <c r="B84" s="8"/>
      <c r="C84" s="10"/>
      <c r="D84" s="10"/>
      <c r="E84" s="10"/>
      <c r="F84" s="10"/>
      <c r="G84" s="10"/>
      <c r="H84" s="10"/>
      <c r="I84" s="10"/>
      <c r="J84" s="10"/>
      <c r="K84" s="8"/>
      <c r="L84" s="8"/>
      <c r="M84" s="8"/>
      <c r="N84" s="8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41"/>
      <c r="D266" s="41"/>
      <c r="E266" s="41"/>
      <c r="F266" s="41"/>
      <c r="G266" s="41"/>
      <c r="H266" s="41"/>
      <c r="I266" s="41"/>
      <c r="J266" s="10"/>
      <c r="K266" s="10"/>
      <c r="L266" s="10"/>
      <c r="M266" s="8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41"/>
      <c r="D267" s="41"/>
      <c r="E267" s="41"/>
      <c r="F267" s="41"/>
      <c r="G267" s="41"/>
      <c r="H267" s="41"/>
      <c r="I267" s="41"/>
      <c r="J267" s="10"/>
      <c r="K267" s="10"/>
      <c r="L267" s="10"/>
      <c r="M267" s="8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41"/>
      <c r="D268" s="41"/>
      <c r="E268" s="41"/>
      <c r="F268" s="41"/>
      <c r="G268" s="41"/>
      <c r="H268" s="41"/>
      <c r="I268" s="41"/>
      <c r="J268" s="10"/>
      <c r="K268" s="10"/>
      <c r="L268" s="10"/>
      <c r="M268" s="8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41"/>
      <c r="D269" s="41"/>
      <c r="E269" s="41"/>
      <c r="F269" s="41"/>
      <c r="G269" s="41"/>
      <c r="H269" s="41"/>
      <c r="I269" s="41"/>
      <c r="J269" s="41"/>
      <c r="K269" s="10"/>
      <c r="L269" s="10"/>
      <c r="M269" s="8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41"/>
      <c r="D270" s="41"/>
      <c r="E270" s="41"/>
      <c r="F270" s="41"/>
      <c r="G270" s="41"/>
      <c r="H270" s="41"/>
      <c r="I270" s="41"/>
      <c r="J270" s="41"/>
      <c r="K270" s="10"/>
      <c r="L270" s="10"/>
      <c r="M270" s="8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41"/>
      <c r="D271" s="41"/>
      <c r="E271" s="41"/>
      <c r="F271" s="41"/>
      <c r="G271" s="41"/>
      <c r="H271" s="41"/>
      <c r="I271" s="41"/>
      <c r="J271" s="41"/>
      <c r="K271" s="10"/>
      <c r="L271" s="10"/>
      <c r="M271" s="8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41"/>
      <c r="D272" s="41"/>
      <c r="E272" s="41"/>
      <c r="F272" s="41"/>
      <c r="G272" s="41"/>
      <c r="H272" s="41"/>
      <c r="I272" s="41"/>
      <c r="J272" s="41"/>
      <c r="K272" s="10"/>
      <c r="L272" s="10"/>
      <c r="M272" s="8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41"/>
      <c r="D273" s="41"/>
      <c r="E273" s="41"/>
      <c r="F273" s="41"/>
      <c r="G273" s="41"/>
      <c r="H273" s="41"/>
      <c r="I273" s="41"/>
      <c r="J273" s="41"/>
      <c r="K273" s="10"/>
      <c r="L273" s="10"/>
      <c r="M273" s="8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41"/>
      <c r="D274" s="41"/>
      <c r="E274" s="41"/>
      <c r="F274" s="41"/>
      <c r="G274" s="41"/>
      <c r="H274" s="41"/>
      <c r="I274" s="41"/>
      <c r="J274" s="41"/>
      <c r="K274" s="10"/>
      <c r="L274" s="10"/>
      <c r="M274" s="8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2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2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2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2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2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2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2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2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2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2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2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2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2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2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2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2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2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2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2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2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2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2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2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2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2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2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2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2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2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2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2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2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2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2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2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2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2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2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2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2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2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2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2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2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2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2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2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2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2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2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2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2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2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2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2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2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2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2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2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2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2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2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2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2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2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2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2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2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2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2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2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2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2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2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2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2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2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2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2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2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2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2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2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2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2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2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2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2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2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2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2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2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2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2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2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2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2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2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2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2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2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2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2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2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2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2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2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2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2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2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2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2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2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2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2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2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2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2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2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2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2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2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2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2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2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2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2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2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2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2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2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2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2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2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2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2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2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2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2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2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2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2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2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2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2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2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2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2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2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2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2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2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2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2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2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2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2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2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2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2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2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2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2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2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2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2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2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2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2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2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2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2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2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2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2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2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2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2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2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2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2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2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2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2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2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2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2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2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2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2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2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2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2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2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2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2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2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2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2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2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2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2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2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2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2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2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2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2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2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2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2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2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2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2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2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2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2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2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2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2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2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2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2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2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2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2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2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2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2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2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2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2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2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2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2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2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2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2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2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2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2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2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2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2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2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2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2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2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2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2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2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2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2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2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2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2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2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2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2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2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2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2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2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2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2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2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2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2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2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2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2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2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2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2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2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2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2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2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2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2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2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2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2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2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2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2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2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2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2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2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2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2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2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2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2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2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2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2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2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2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2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2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2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2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2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2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2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2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2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2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2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2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2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2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2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2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2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2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2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2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2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2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2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2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2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2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2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2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2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2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2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2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2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2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2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2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2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2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2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2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2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2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2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2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2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2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2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2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2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2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2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2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2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2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2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2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2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2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2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2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2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2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2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2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2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2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2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2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2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2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2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2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2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2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2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2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2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2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2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2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2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2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2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2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2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2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2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2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2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2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2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2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2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2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2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2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2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2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2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2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2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2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2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2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2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2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2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2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2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2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2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2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2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2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2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2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2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2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2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2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2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2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2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2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2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2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2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2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2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2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2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2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2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2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2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2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2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2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2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2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2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2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2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2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2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2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2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2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2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2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2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2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2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2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2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2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2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2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2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2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2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2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2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2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2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2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2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2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2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2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2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2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2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2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2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2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2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2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2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2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2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2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2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2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2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2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2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2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2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2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2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2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2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2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2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2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2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2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2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2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2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2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2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2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2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2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2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2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2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2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2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2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2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2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2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2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2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2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2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2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2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2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2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2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2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2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2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2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2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2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2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2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2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2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2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2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2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2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2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2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2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2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2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2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2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2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2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2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2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2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2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2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2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2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2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2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2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2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2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2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2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2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2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2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2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2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2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2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2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2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2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2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2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2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2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2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2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2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2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2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2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2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2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2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2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2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2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2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2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2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2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2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2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2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2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2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2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2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2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2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2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2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2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2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2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2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2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2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2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2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2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2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2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2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2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2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2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2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2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2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2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2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2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2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2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2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2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2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2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2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2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2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2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2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2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2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2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2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2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2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2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2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2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2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2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2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2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2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2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2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2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2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2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2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2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2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2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2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2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2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2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2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2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2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2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2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2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2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2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2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2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2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2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2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2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2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2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2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2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2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2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2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2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2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2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2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2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2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2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2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2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2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2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2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2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2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2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2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2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2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2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2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2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2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2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2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2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2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2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2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2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2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2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2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2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2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2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2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2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2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2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2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2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2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2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2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2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2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2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2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2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2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2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2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2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2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</row>
    <row r="101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2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</row>
    <row r="1012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2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</row>
    <row r="1013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2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</row>
    <row r="1014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2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</row>
    <row r="1015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2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</row>
    <row r="10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2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</row>
    <row r="10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2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</row>
    <row r="1018">
      <c r="A1018" s="41"/>
      <c r="B1018" s="41"/>
      <c r="J1018" s="41"/>
      <c r="K1018" s="41"/>
      <c r="L1018" s="41"/>
      <c r="M1018" s="42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</row>
    <row r="1019">
      <c r="A1019" s="41"/>
      <c r="B1019" s="41"/>
      <c r="J1019" s="41"/>
      <c r="K1019" s="41"/>
      <c r="L1019" s="41"/>
      <c r="M1019" s="42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</row>
    <row r="1020">
      <c r="A1020" s="41"/>
      <c r="B1020" s="41"/>
      <c r="J1020" s="41"/>
      <c r="K1020" s="41"/>
      <c r="L1020" s="41"/>
      <c r="M1020" s="42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</row>
    <row r="1021">
      <c r="A1021" s="41"/>
      <c r="B1021" s="41"/>
      <c r="K1021" s="41"/>
      <c r="L1021" s="41"/>
      <c r="M1021" s="42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</row>
    <row r="1022">
      <c r="A1022" s="41"/>
      <c r="B1022" s="41"/>
      <c r="K1022" s="41"/>
      <c r="L1022" s="41"/>
      <c r="M1022" s="42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</row>
    <row r="1023">
      <c r="A1023" s="41"/>
      <c r="B1023" s="41"/>
      <c r="K1023" s="41"/>
      <c r="L1023" s="41"/>
      <c r="M1023" s="42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</row>
    <row r="1024">
      <c r="A1024" s="41"/>
      <c r="B1024" s="41"/>
      <c r="K1024" s="41"/>
      <c r="L1024" s="41"/>
      <c r="M1024" s="42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</row>
    <row r="1025">
      <c r="A1025" s="41"/>
      <c r="B1025" s="41"/>
      <c r="K1025" s="41"/>
      <c r="L1025" s="41"/>
      <c r="M1025" s="42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</row>
    <row r="1026">
      <c r="A1026" s="41"/>
      <c r="B1026" s="41"/>
      <c r="K1026" s="41"/>
      <c r="L1026" s="41"/>
      <c r="M1026" s="42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</row>
  </sheetData>
  <mergeCells count="12">
    <mergeCell ref="A7:A33"/>
    <mergeCell ref="A34:A52"/>
    <mergeCell ref="B34:B52"/>
    <mergeCell ref="A53:A65"/>
    <mergeCell ref="B53:B65"/>
    <mergeCell ref="A1:B1"/>
    <mergeCell ref="I1:J1"/>
    <mergeCell ref="A2:B2"/>
    <mergeCell ref="A3:B3"/>
    <mergeCell ref="A4:B4"/>
    <mergeCell ref="A5:B5"/>
    <mergeCell ref="B7:B33"/>
  </mergeCells>
  <dataValidations>
    <dataValidation type="list" allowBlank="1" sqref="I7:I9 I14:I27 I29:I35 I39:I50 I52:I54 I58:I63 I65:I1017 K7:L1026 N7:N1026">
      <formula1>"PASS,FAIL,NT"</formula1>
    </dataValidation>
    <dataValidation type="list" allowBlank="1" showErrorMessage="1" sqref="M55:M58">
      <formula1>"Accepted,Rejected"</formula1>
    </dataValidation>
  </dataValidations>
  <hyperlinks>
    <hyperlink display="17601" location="null!A1" ref="E5"/>
    <hyperlink r:id="rId1" ref="M8"/>
    <hyperlink r:id="rId2" ref="M13"/>
    <hyperlink r:id="rId3" ref="M35"/>
    <hyperlink r:id="rId4" ref="M36"/>
    <hyperlink r:id="rId5" ref="M54"/>
  </hyperlinks>
  <drawing r:id="rId6"/>
</worksheet>
</file>