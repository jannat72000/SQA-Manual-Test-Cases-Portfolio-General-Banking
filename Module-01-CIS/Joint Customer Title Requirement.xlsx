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<sst xmlns="http://schemas.openxmlformats.org/spreadsheetml/2006/main" count="261" uniqueCount="163">
  <si>
    <t>Product Name</t>
  </si>
  <si>
    <t>ABABIL NG</t>
  </si>
  <si>
    <t>TC Start Date</t>
  </si>
  <si>
    <t>TC Execution Start Date</t>
  </si>
  <si>
    <t>TEST CASE STATUS</t>
  </si>
  <si>
    <t>Severity</t>
  </si>
  <si>
    <t>Priority</t>
  </si>
  <si>
    <t>Event Name</t>
  </si>
  <si>
    <t>Ensure Joint Customer Title Requirement Follows System Configuration Parameter</t>
  </si>
  <si>
    <t>TC End Date</t>
  </si>
  <si>
    <t>TC Execution End Date</t>
  </si>
  <si>
    <t>PASS</t>
  </si>
  <si>
    <t>Critical</t>
  </si>
  <si>
    <t>High</t>
  </si>
  <si>
    <t>Para Form Name</t>
  </si>
  <si>
    <t>Test Case Developed By</t>
  </si>
  <si>
    <t>FAIL</t>
  </si>
  <si>
    <t>Medium</t>
  </si>
  <si>
    <t>Developer Name (TL)</t>
  </si>
  <si>
    <t>Test Case Reviewed By</t>
  </si>
  <si>
    <t>Jannat</t>
  </si>
  <si>
    <t>NT</t>
  </si>
  <si>
    <t>Low</t>
  </si>
  <si>
    <t>Test Executed by</t>
  </si>
  <si>
    <t>MITS ID</t>
  </si>
  <si>
    <t>TOTAL</t>
  </si>
  <si>
    <t>Issue Accepted</t>
  </si>
  <si>
    <t>Req ID</t>
  </si>
  <si>
    <t>Requirement Description</t>
  </si>
  <si>
    <t>TC ID</t>
  </si>
  <si>
    <t>Test Case Description</t>
  </si>
  <si>
    <t>Category</t>
  </si>
  <si>
    <t>Automation TC ID</t>
  </si>
  <si>
    <t>Test Steps</t>
  </si>
  <si>
    <t>Test Data</t>
  </si>
  <si>
    <t>Expected Result</t>
  </si>
  <si>
    <t>Actual Result</t>
  </si>
  <si>
    <t>QA Status</t>
  </si>
  <si>
    <t>Tested By</t>
  </si>
  <si>
    <t>QA Remarks</t>
  </si>
  <si>
    <t>Dev Status</t>
  </si>
  <si>
    <t>Developed By</t>
  </si>
  <si>
    <t>Dev Remarks</t>
  </si>
  <si>
    <t>Updated QA Status</t>
  </si>
  <si>
    <t>TC_001</t>
  </si>
  <si>
    <t>Verify Customer Title appears optional when IS_CUSTOMER_TITLE_REQUIRED = 'N</t>
  </si>
  <si>
    <t>UI</t>
  </si>
  <si>
    <t>1.Set system parameter IS_CUSTOMER_TITLE_REQUIRED = 'N'.
2.Navigate to Joint Customer Onboarding/Edit UI.
3.Observe the Customer Title field.</t>
  </si>
  <si>
    <t>Parameter value = 'N'</t>
  </si>
  <si>
    <t>Customer Title should appear optional (no required indicator)</t>
  </si>
  <si>
    <t>Customer Title is not required as expected; it appears optional.</t>
  </si>
  <si>
    <r>
      <rPr>
        <rFont val="Arial"/>
        <color rgb="FF1155CC"/>
        <u/>
      </rPr>
      <t>https://prnt.sc/gbnv8nYKZoHQ</t>
    </r>
    <r>
      <rPr>
        <rFont val="Arial"/>
        <color rgb="FF000000"/>
      </rPr>
      <t xml:space="preserve">   </t>
    </r>
    <r>
      <rPr>
        <rFont val="Arial"/>
        <color rgb="FF1155CC"/>
        <u/>
      </rPr>
      <t>https://prnt.sc/97WEJaqXNOhU</t>
    </r>
  </si>
  <si>
    <t>TC_002</t>
  </si>
  <si>
    <t>Verify UI Does Not Block Submission When Title Is Empty (Parameter = 'N')</t>
  </si>
  <si>
    <t>1. Set parameter IS_CUSTOMER_TITLE_REQUIRED = 'N'.
2. Open Joint Customer Onboarding/Edit UI.
3. Leave Customer Title field empty.
4. Fill all other mandatory fields.
5. Click Save/Submit.</t>
  </si>
  <si>
    <t>1. Customer Title = (empty)
2. Parameter = 'N'</t>
  </si>
  <si>
    <t>No validation error for Customer Title should appear.</t>
  </si>
  <si>
    <t>As expected</t>
  </si>
  <si>
    <t>https://prnt.sc/GgAGe3AWJzTD</t>
  </si>
  <si>
    <t>TC_003</t>
  </si>
  <si>
    <t>Verify Customer Title Display on View Page (Parameter = 'N')</t>
  </si>
  <si>
    <t>1. Set parameter IS_CUSTOMER_TITLE_REQUIRED = 'N'.
2. Create or edit a Joint Customer with Customer Title left empty.
3. Navigate to the View Customer page.</t>
  </si>
  <si>
    <t>Customer Title field should show as empty or optional.</t>
  </si>
  <si>
    <t>Customer Title field is show empty and required. but Title shows (*) required indicator  on View page.</t>
  </si>
  <si>
    <t>https://prnt.sc/0K5vcSHtsC2Y</t>
  </si>
  <si>
    <t>TC_004</t>
  </si>
  <si>
    <t>Verify Customer Title Requirement in Approval Flow (Parameter = 'N')</t>
  </si>
  <si>
    <t>1. Set system parameter IS_CUSTOMER_TITLE_REQUIRED = 'N'.
2. Create a Joint Customer with Customer Title left empty.
3. Submit the customer for approval.</t>
  </si>
  <si>
    <t>Customer Title should not be required in the approval flow.</t>
  </si>
  <si>
    <t>Customer Title field is show empty and required. but Title shows (*) required indicator  on Approval page.</t>
  </si>
  <si>
    <t>https://prnt.sc/44MUFyL5qoPi</t>
  </si>
  <si>
    <t>TC_005</t>
  </si>
  <si>
    <t>Verify that the Customer Title displays correctly after a Joint Customer account is activated.</t>
  </si>
  <si>
    <t>1.Navigate to the View Customer Page after activation.
2.Check the Customer Title field for correct display.</t>
  </si>
  <si>
    <t xml:space="preserve">Customer Title: “Mr.” 
Parameter: 'N' (Optional) </t>
  </si>
  <si>
    <t>Customer Title should display correctly as per the value entered during creation/edit</t>
  </si>
  <si>
    <t>Customer title is display as per value and also title is non-editable in task flow</t>
  </si>
  <si>
    <r>
      <rPr>
        <rFont val="Arial"/>
        <color rgb="FF1155CC"/>
        <u/>
      </rPr>
      <t>https://prnt.sc/bmCgiLZ-sXXq</t>
    </r>
    <r>
      <rPr>
        <rFont val="Arial"/>
      </rPr>
      <t xml:space="preserve">  </t>
    </r>
    <r>
      <rPr>
        <rFont val="Arial"/>
        <color rgb="FF1155CC"/>
        <u/>
      </rPr>
      <t>https://prnt.sc/P36FRme0_0Yt</t>
    </r>
    <r>
      <rPr>
        <rFont val="Arial"/>
      </rPr>
      <t xml:space="preserve">  </t>
    </r>
    <r>
      <rPr>
        <rFont val="Arial"/>
        <color rgb="FF1155CC"/>
        <u/>
      </rPr>
      <t>https://prnt.sc/m_AB3ng_QAFb</t>
    </r>
    <r>
      <rPr>
        <rFont val="Arial"/>
      </rPr>
      <t xml:space="preserve">   </t>
    </r>
    <r>
      <rPr>
        <rFont val="Arial"/>
        <color rgb="FF1155CC"/>
        <u/>
      </rPr>
      <t>https://prnt.sc/gEdV0i5zBQmh</t>
    </r>
  </si>
  <si>
    <t>TC_006</t>
  </si>
  <si>
    <t>Verify that a Joint Customer’s Customer Title can be updated/modified successfully in the Edit UI.</t>
  </si>
  <si>
    <t>1. Navigate to Joint Customer Edit UI.
2. Select an existing Joint Customer record.
3. Modify the Customer Title field.
4. Fill other mandatory fields if required.
5. Click Save/Submit.
6. Navigate to View Customer Page to verify the updated title.</t>
  </si>
  <si>
    <t>Existing Customer Title: “Empty”
New Customer Title: “Miss.”</t>
  </si>
  <si>
    <t>Customer Title field should accept the new value.</t>
  </si>
  <si>
    <t>Customer Title field is accept the new value.</t>
  </si>
  <si>
    <r>
      <rPr>
        <rFont val="Arial"/>
        <color rgb="FF1155CC"/>
        <u/>
      </rPr>
      <t>https://prnt.sc/teoCY_c_3_c8</t>
    </r>
    <r>
      <rPr>
        <rFont val="Arial"/>
      </rPr>
      <t xml:space="preserve">  </t>
    </r>
    <r>
      <rPr>
        <rFont val="Arial"/>
        <color rgb="FF1155CC"/>
        <u/>
      </rPr>
      <t>https://prnt.sc/fLN8b4XuLd7t</t>
    </r>
    <r>
      <rPr>
        <rFont val="Arial"/>
      </rPr>
      <t xml:space="preserve">  </t>
    </r>
    <r>
      <rPr>
        <rFont val="Arial"/>
        <color rgb="FF1155CC"/>
        <u/>
      </rPr>
      <t>https://prnt.sc/4BAqMGfP38sf</t>
    </r>
  </si>
  <si>
    <t>TC_007</t>
  </si>
  <si>
    <t>Verify Customer Title Must Be Required When Parameter = 'Y'</t>
  </si>
  <si>
    <t>1. Set IS_CUSTOMER_TITLE_REQUIRED = 'Y'.
2. Open Joint Customer Onboarding/Edit UI.
3. Observe Customer Title field.</t>
  </si>
  <si>
    <t>Parameter = 'Y'</t>
  </si>
  <si>
    <t>Customer Title must show required indicator.</t>
  </si>
  <si>
    <t>Title is required as expected</t>
  </si>
  <si>
    <r>
      <rPr>
        <rFont val="Arial"/>
        <color rgb="FF1155CC"/>
        <u/>
      </rPr>
      <t>https://prnt.sc/u6GRAU59R_z7</t>
    </r>
    <r>
      <rPr>
        <rFont val="Arial"/>
      </rPr>
      <t xml:space="preserve">  </t>
    </r>
    <r>
      <rPr>
        <rFont val="Arial"/>
        <color rgb="FF1155CC"/>
        <u/>
      </rPr>
      <t>https://prnt.sc/wBocQMQJYT0Z</t>
    </r>
  </si>
  <si>
    <t>TC_008</t>
  </si>
  <si>
    <t>Verify Form Submission Fails When Title Missing (Parameter = 'Y')</t>
  </si>
  <si>
    <t>1. Set parameter IS_CUSTOMER_TITLE_REQUIRED = 'Y'.
2. Open Joint Customer Onboarding/Edit UI.
3. Keep Customer Title empty.
4. Fill other mandatory fields.
5. Click Save/Submit.</t>
  </si>
  <si>
    <t>Customer Title = (empty)
Parameter = 'Y'</t>
  </si>
  <si>
    <t>Error message should appear: "Customer Title is required."</t>
  </si>
  <si>
    <t>as expected customer title is required and successfully create customer.</t>
  </si>
  <si>
    <r>
      <rPr>
        <rFont val="Arial"/>
        <color rgb="FF1155CC"/>
        <u/>
      </rPr>
      <t>https://prnt.sc/m7VeSTfwsM-4</t>
    </r>
    <r>
      <rPr>
        <rFont val="Arial"/>
        <color rgb="FF000000"/>
      </rPr>
      <t xml:space="preserve">  </t>
    </r>
    <r>
      <rPr>
        <rFont val="Arial"/>
        <color rgb="FF1155CC"/>
        <u/>
      </rPr>
      <t>https://prnt.sc/Ujrb6LMZj1Vg</t>
    </r>
  </si>
  <si>
    <t>TC_009</t>
  </si>
  <si>
    <t xml:space="preserve">Verify Customer Title displays correctly on Joint Customer View page when required.
</t>
  </si>
  <si>
    <t>1. Set parameter IS_CUSTOMER_TITLE_REQUIRED = 'Y'.
2. Create a Joint Customer and fill Customer Title.
3. Navigate to View Customer page.</t>
  </si>
  <si>
    <t>1. Customer Title = e.g., “Mr.”
2. Parameter = 'Y'</t>
  </si>
  <si>
    <t>Customer Title field should display the entered value.</t>
  </si>
  <si>
    <t xml:space="preserve">Customer title is show on View page </t>
  </si>
  <si>
    <t>https://prnt.sc/ZK7eqf7soXOL</t>
  </si>
  <si>
    <t>TC_010</t>
  </si>
  <si>
    <t>Verify Customer Title Requirement in Approval Flow (Parameter = 'Y')</t>
  </si>
  <si>
    <t>1. Set system parameter IS_CUSTOMER_TITLE_REQUIRED = 'Y'.
2. Create a Joint Customer with Customer Title filled.
3. Submit the customer for approval.
4. Try creating/submitting a Joint Customer without Customer Title and see if approval blocks.</t>
  </si>
  <si>
    <t>Approval flow should require Customer Title.</t>
  </si>
  <si>
    <t xml:space="preserve">customer title is show on approval flow </t>
  </si>
  <si>
    <t>TC_011</t>
  </si>
  <si>
    <t>Verify Customer Title Requirement in Edit page (Parameter = 'Y')</t>
  </si>
  <si>
    <t xml:space="preserve"> should require Customer Title.</t>
  </si>
  <si>
    <t>Customer Title is required.</t>
  </si>
  <si>
    <r>
      <rPr>
        <rFont val="Arial"/>
        <color rgb="FF1155CC"/>
        <u/>
      </rPr>
      <t>https://prnt.sc/KIV9N6S2eyjd</t>
    </r>
    <r>
      <rPr>
        <rFont val="Arial"/>
      </rPr>
      <t xml:space="preserve">    </t>
    </r>
    <r>
      <rPr>
        <rFont val="Arial"/>
        <color rgb="FF1155CC"/>
        <u/>
      </rPr>
      <t>https://prnt.sc/CTuwvPO9HSSK</t>
    </r>
    <r>
      <rPr>
        <rFont val="Arial"/>
      </rPr>
      <t xml:space="preserve">  </t>
    </r>
    <r>
      <rPr>
        <rFont val="Arial"/>
        <color rgb="FF1155CC"/>
        <u/>
      </rPr>
      <t>https://prnt.sc/dtSbnIxKtuzc</t>
    </r>
    <r>
      <rPr>
        <rFont val="Arial"/>
      </rPr>
      <t xml:space="preserve">    </t>
    </r>
    <r>
      <rPr>
        <rFont val="Arial"/>
        <color rgb="FF1155CC"/>
        <u/>
      </rPr>
      <t>https://prnt.sc/8WznO97imZX9</t>
    </r>
  </si>
  <si>
    <t>TC_012</t>
  </si>
  <si>
    <t>Existing Customer Title: “Miss.”
New Customer Title: “Mrs.”</t>
  </si>
  <si>
    <r>
      <rPr>
        <rFont val="Arial"/>
        <color rgb="FF1155CC"/>
        <u/>
      </rPr>
      <t>https://prnt.sc/Er3IIh1bqx5X</t>
    </r>
    <r>
      <rPr>
        <rFont val="Arial"/>
      </rPr>
      <t xml:space="preserve">   </t>
    </r>
    <r>
      <rPr>
        <rFont val="Arial"/>
        <color rgb="FF1155CC"/>
        <u/>
      </rPr>
      <t>https://prnt.sc/431GInYaYtdW</t>
    </r>
    <r>
      <rPr>
        <rFont val="Arial"/>
      </rPr>
      <t xml:space="preserve">  </t>
    </r>
    <r>
      <rPr>
        <rFont val="Arial"/>
        <color rgb="FF1155CC"/>
        <u/>
      </rPr>
      <t>https://prnt.sc/II_kPmFEoqTX</t>
    </r>
    <r>
      <rPr>
        <rFont val="Arial"/>
      </rPr>
      <t xml:space="preserve">   </t>
    </r>
    <r>
      <rPr>
        <rFont val="Arial"/>
        <color rgb="FF1155CC"/>
        <u/>
      </rPr>
      <t>https://prnt.sc/CjzZs19GBxoD</t>
    </r>
    <r>
      <rPr>
        <rFont val="Arial"/>
      </rPr>
      <t xml:space="preserve">  </t>
    </r>
    <r>
      <rPr>
        <rFont val="Arial"/>
        <color rgb="FF1155CC"/>
        <u/>
      </rPr>
      <t>https://prnt.sc/OP44LFKocaO3</t>
    </r>
    <r>
      <rPr>
        <rFont val="Arial"/>
      </rPr>
      <t xml:space="preserve">   </t>
    </r>
    <r>
      <rPr>
        <rFont val="Arial"/>
        <color rgb="FF1155CC"/>
        <u/>
      </rPr>
      <t>https://prnt.sc/25Flz57qd2R9</t>
    </r>
    <r>
      <rPr>
        <rFont val="Arial"/>
      </rPr>
      <t xml:space="preserve"> </t>
    </r>
  </si>
  <si>
    <t>TC_013</t>
  </si>
  <si>
    <t xml:space="preserve">Customer Title: “Mr.” 
Parameter: 'Y' (required) </t>
  </si>
  <si>
    <r>
      <rPr>
        <rFont val="Arial"/>
        <color rgb="FF1155CC"/>
        <u/>
      </rPr>
      <t>https://prnt.sc/E1DM6qA7iuLx</t>
    </r>
    <r>
      <rPr>
        <rFont val="Arial"/>
      </rPr>
      <t xml:space="preserve">    </t>
    </r>
    <r>
      <rPr>
        <rFont val="Arial"/>
        <color rgb="FF1155CC"/>
        <u/>
      </rPr>
      <t>https://prnt.sc/6CBYyvMnJcv4</t>
    </r>
    <r>
      <rPr>
        <rFont val="Arial"/>
      </rPr>
      <t xml:space="preserve">  </t>
    </r>
    <r>
      <rPr>
        <rFont val="Arial"/>
        <color rgb="FF1155CC"/>
        <u/>
      </rPr>
      <t>https://prnt.sc/OqDkBD-Ds4iZ</t>
    </r>
    <r>
      <rPr>
        <rFont val="Arial"/>
      </rPr>
      <t xml:space="preserve">  </t>
    </r>
    <r>
      <rPr>
        <rFont val="Arial"/>
        <color rgb="FF1155CC"/>
        <u/>
      </rPr>
      <t>https://prnt.sc/zdT8bKXXUW9A</t>
    </r>
  </si>
  <si>
    <t>TC_014</t>
  </si>
  <si>
    <t>Verify UI Behavior Updates Immediately After Parameter Change</t>
  </si>
  <si>
    <t>1. Set parameter to 'N', open Joint Customer UI, observe behavior.
2. Change parameter to 'Y', re-open UI.
3. Verify updated UI behavior.</t>
  </si>
  <si>
    <t>Parameter = 'N' → 'Y'</t>
  </si>
  <si>
    <t>When 'Y' → field required.
When 'N' → field optional.</t>
  </si>
  <si>
    <t xml:space="preserve">Customer title is required </t>
  </si>
  <si>
    <r>
      <rPr>
        <rFont val="Arial"/>
        <color rgb="FF1155CC"/>
        <u/>
      </rPr>
      <t>https://prnt.sc/mJuR3ptGyTyV</t>
    </r>
    <r>
      <rPr>
        <rFont val="Arial"/>
      </rPr>
      <t xml:space="preserve">  </t>
    </r>
    <r>
      <rPr>
        <rFont val="Arial"/>
        <color rgb="FF1155CC"/>
        <u/>
      </rPr>
      <t>https://prnt.sc/qMrIcFjaiVkc</t>
    </r>
    <r>
      <rPr>
        <rFont val="Arial"/>
      </rPr>
      <t xml:space="preserve">  </t>
    </r>
    <r>
      <rPr>
        <rFont val="Arial"/>
        <color rgb="FF1155CC"/>
        <u/>
      </rPr>
      <t>https://prnt.sc/8a6fUls6taIY</t>
    </r>
    <r>
      <rPr>
        <rFont val="Arial"/>
      </rPr>
      <t xml:space="preserve">   </t>
    </r>
    <r>
      <rPr>
        <rFont val="Arial"/>
        <color rgb="FF1155CC"/>
        <u/>
      </rPr>
      <t>https://prnt.sc/-vtLTw8Qm4NY</t>
    </r>
  </si>
  <si>
    <t>TC_015</t>
  </si>
  <si>
    <t>Verify Customer Title appears optional for Single/Individual Customer when IS_CUSTOMER_TITLE_REQUIRED = 'N</t>
  </si>
  <si>
    <t>1.Set system parameter IS_CUSTOMER_TITLE_REQUIRED = 'N'.
2.Navigate to Single Customer Onboarding/Edit UI.
3.Observe the Customer Title field.</t>
  </si>
  <si>
    <r>
      <rPr>
        <rFont val="Arial"/>
        <color rgb="FF1155CC"/>
        <u/>
      </rPr>
      <t>https://prnt.sc/au5fw52EJNDp</t>
    </r>
    <r>
      <rPr>
        <rFont val="Arial"/>
      </rPr>
      <t xml:space="preserve">   </t>
    </r>
    <r>
      <rPr>
        <rFont val="Arial"/>
        <color rgb="FF1155CC"/>
        <u/>
      </rPr>
      <t>https://prnt.sc/S15gv0SY8c3A</t>
    </r>
    <r>
      <rPr>
        <rFont val="Arial"/>
      </rPr>
      <t xml:space="preserve">  </t>
    </r>
    <r>
      <rPr>
        <rFont val="Arial"/>
        <color rgb="FF1155CC"/>
        <u/>
      </rPr>
      <t>https://prnt.sc/uwAU1xAmT0qn</t>
    </r>
  </si>
  <si>
    <t>TC_016</t>
  </si>
  <si>
    <t>1. Set parameter IS_CUSTOMER_TITLE_REQUIRED = 'N'.
2. Open Single Customer Onboarding/Edit UI.
3. Leave Customer Title field empty.
4. Fill all other mandatory fields.
5. Click Save/Submit.</t>
  </si>
  <si>
    <t>https://prnt.sc/BEKcSvjo37OX</t>
  </si>
  <si>
    <t>TC_017</t>
  </si>
  <si>
    <t>1. Set parameter IS_CUSTOMER_TITLE_REQUIRED = 'N'.
2. Create or edit a Single Customer with Customer Title left empty.
3. Navigate to the View Customer page.</t>
  </si>
  <si>
    <t>https://prnt.sc/qa7O7HIA-Dfp</t>
  </si>
  <si>
    <t>TC_018</t>
  </si>
  <si>
    <t>1. Set system parameter IS_CUSTOMER_TITLE_REQUIRED = 'N'.
2. Create a Single Customer with Customer Title left empty.
3. Submit the customer for approval.</t>
  </si>
  <si>
    <t>https://prnt.sc/F_bJu1C4ZmuQ</t>
  </si>
  <si>
    <t>TC_019</t>
  </si>
  <si>
    <t>Verify that a Single Customer’s Customer Title can be updated/modified successfully in the Edit UI.</t>
  </si>
  <si>
    <t>1. Navigate to Joint Customer Edit UI.
2. Select an existing Single Customer record.
3. Modify the Customer Title field.
4. Fill other mandatory fields if required.
5. Click Save/Submit.
6. Navigate to View Customer Page to verify the updated title.</t>
  </si>
  <si>
    <r>
      <rPr>
        <rFont val="Arial"/>
        <color rgb="FF1155CC"/>
        <u/>
      </rPr>
      <t>https://prnt.sc/Hzb0Fl9wnNgi</t>
    </r>
    <r>
      <rPr>
        <rFont val="Arial"/>
      </rPr>
      <t xml:space="preserve">  </t>
    </r>
    <r>
      <rPr>
        <rFont val="Arial"/>
        <color rgb="FF1155CC"/>
        <u/>
      </rPr>
      <t>https://prnt.sc/59xNYOWYP04p</t>
    </r>
    <r>
      <rPr>
        <rFont val="Arial"/>
      </rPr>
      <t xml:space="preserve">  </t>
    </r>
    <r>
      <rPr>
        <rFont val="Arial"/>
        <color rgb="FF1155CC"/>
        <u/>
      </rPr>
      <t>https://prnt.sc/u5tuGQzAa6eu</t>
    </r>
  </si>
  <si>
    <t>TC_020</t>
  </si>
  <si>
    <t>1. Set IS_CUSTOMER_TITLE_REQUIRED = 'Y'.
2. Open Single Customer Onboarding/Edit UI.
3. Observe Customer Title field.</t>
  </si>
  <si>
    <r>
      <rPr>
        <rFont val="Arial"/>
        <color rgb="FF1155CC"/>
        <u/>
      </rPr>
      <t>https://prnt.sc/hC9qgm-NXodW</t>
    </r>
    <r>
      <rPr>
        <rFont val="Arial"/>
      </rPr>
      <t xml:space="preserve">  </t>
    </r>
    <r>
      <rPr>
        <rFont val="Arial"/>
        <color rgb="FF1155CC"/>
        <u/>
      </rPr>
      <t>https://prnt.sc/TxM0_ExPcHhZ</t>
    </r>
    <r>
      <rPr>
        <rFont val="Arial"/>
      </rPr>
      <t xml:space="preserve"> </t>
    </r>
    <r>
      <rPr>
        <rFont val="Arial"/>
        <color rgb="FF1155CC"/>
        <u/>
      </rPr>
      <t>https://prnt.sc/Et_v-kH8z2CT</t>
    </r>
  </si>
  <si>
    <t>TC_021</t>
  </si>
  <si>
    <t>1. Set parameter IS_CUSTOMER_TITLE_REQUIRED = 'Y'.
2. Open Single Customer Onboarding/Edit UI.
3. Keep Customer Title empty.
4. Fill other mandatory fields.
5. Click Save/Submit.</t>
  </si>
  <si>
    <r>
      <rPr>
        <rFont val="Arial"/>
        <color rgb="FF1155CC"/>
        <u/>
      </rPr>
      <t>https://prnt.sc/gu_1HHKEAATp</t>
    </r>
    <r>
      <rPr>
        <rFont val="Arial"/>
        <color rgb="FF000000"/>
      </rPr>
      <t xml:space="preserve">   </t>
    </r>
    <r>
      <rPr>
        <rFont val="Arial"/>
        <color rgb="FF1155CC"/>
        <u/>
      </rPr>
      <t>https://prnt.sc/sEC5adEOAXNJ</t>
    </r>
  </si>
  <si>
    <t>TC_022</t>
  </si>
  <si>
    <t>Verify Customer Title appears optional for Organization Customer when IS_CUSTOMER_TITLE_REQUIRED = 'N</t>
  </si>
  <si>
    <t>1.Set system parameter IS_CUSTOMER_TITLE_REQUIRED = 'N'.
2.Navigate to for Organization Customer Onboarding/Edit UI.
3.Observe the Customer Title field.</t>
  </si>
  <si>
    <r>
      <rPr>
        <rFont val="Arial"/>
        <color rgb="FF1155CC"/>
        <u/>
      </rPr>
      <t>https://prnt.sc/y58dGvoJFBzo</t>
    </r>
    <r>
      <rPr>
        <rFont val="Arial"/>
        <color rgb="FF000000"/>
      </rPr>
      <t xml:space="preserve">  </t>
    </r>
    <r>
      <rPr>
        <rFont val="Arial"/>
        <color rgb="FF1155CC"/>
        <u/>
      </rPr>
      <t>https://prnt.sc/7fVywtCYUQl7</t>
    </r>
  </si>
  <si>
    <t>TC_023</t>
  </si>
  <si>
    <t>1. Set parameter IS_CUSTOMER_TITLE_REQUIRED = 'N'.
2. Open Org Customer Onboarding/Edit UI.
3. Leave Customer Title field empty.
4. Fill all other mandatory fields.
5. Click Save/Submit.</t>
  </si>
  <si>
    <r>
      <rPr>
        <rFont val="Arial"/>
        <color rgb="FF1155CC"/>
        <u/>
      </rPr>
      <t>https://prnt.sc/GgAGe3AWJzTD</t>
    </r>
    <r>
      <rPr>
        <rFont val="Arial"/>
      </rPr>
      <t xml:space="preserve">  </t>
    </r>
    <r>
      <rPr>
        <rFont val="Arial"/>
        <color rgb="FF1155CC"/>
        <u/>
      </rPr>
      <t>https://prnt.sc/wX2Uci8GwJig</t>
    </r>
    <r>
      <rPr>
        <rFont val="Arial"/>
      </rPr>
      <t xml:space="preserve">  </t>
    </r>
    <r>
      <rPr>
        <rFont val="Arial"/>
        <color rgb="FF1155CC"/>
        <u/>
      </rPr>
      <t>https://prnt.sc/VnnnD33ErI9N</t>
    </r>
    <r>
      <rPr>
        <rFont val="Arial"/>
      </rPr>
      <t xml:space="preserve">  </t>
    </r>
    <r>
      <rPr>
        <rFont val="Arial"/>
        <color rgb="FF1155CC"/>
        <u/>
      </rPr>
      <t>https://prnt.sc/d53kuVuoHIXv</t>
    </r>
    <r>
      <rPr>
        <rFont val="Arial"/>
      </rPr>
      <t xml:space="preserve">  </t>
    </r>
    <r>
      <rPr>
        <rFont val="Arial"/>
        <color rgb="FF1155CC"/>
        <u/>
      </rPr>
      <t>https://prnt.sc/ycS70aXyGUY6</t>
    </r>
    <r>
      <rPr>
        <rFont val="Arial"/>
      </rPr>
      <t xml:space="preserve">   </t>
    </r>
    <r>
      <rPr>
        <rFont val="Arial"/>
        <color rgb="FF1155CC"/>
        <u/>
      </rPr>
      <t>https://prnt.sc/cpcaVakwDJQz</t>
    </r>
  </si>
  <si>
    <t>TC_024</t>
  </si>
  <si>
    <t>Verify Customer Title Must Be Required Organization Customer When Parameter = 'Y'</t>
  </si>
  <si>
    <t>1. Set IS_CUSTOMER_TITLE_REQUIRED = 'Y'.
2. Open OrgCustomer Onboarding/Edit UI.
3. Observe Customer Title field.</t>
  </si>
  <si>
    <r>
      <rPr>
        <rFont val="Arial"/>
        <color rgb="FF1155CC"/>
        <u/>
      </rPr>
      <t>https://prnt.sc/wuab9Fk7lUSB</t>
    </r>
    <r>
      <rPr>
        <rFont val="Arial"/>
      </rPr>
      <t xml:space="preserve">  </t>
    </r>
    <r>
      <rPr>
        <rFont val="Arial"/>
        <color rgb="FF1155CC"/>
        <u/>
      </rPr>
      <t>https://prnt.sc/KpiQKofwGThb</t>
    </r>
    <r>
      <rPr>
        <rFont val="Arial"/>
      </rPr>
      <t xml:space="preserve">  </t>
    </r>
    <r>
      <rPr>
        <rFont val="Arial"/>
        <color rgb="FF1155CC"/>
        <u/>
      </rPr>
      <t>https://prnt.sc/xjOvln4ZDMcR</t>
    </r>
    <r>
      <rPr>
        <rFont val="Arial"/>
      </rPr>
      <t xml:space="preserve"> </t>
    </r>
    <r>
      <rPr>
        <rFont val="Arial"/>
        <color rgb="FF1155CC"/>
        <u/>
      </rPr>
      <t>https://prnt.sc/xbbjAuNjVIAU</t>
    </r>
    <r>
      <rPr>
        <rFont val="Arial"/>
      </rPr>
      <t xml:space="preserve">  </t>
    </r>
    <r>
      <rPr>
        <rFont val="Arial"/>
        <color rgb="FF1155CC"/>
        <u/>
      </rPr>
      <t>https://prnt.sc/NSqRV0HAb6fK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</si>
</sst>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horizontal="center" shrinkToFit="0" wrapText="1"/>
    </xf>
    <xf borderId="1" fillId="0" fontId="4" numFmtId="164" xfId="0" applyBorder="1" applyFont="1" applyNumberFormat="1"/>
    <xf borderId="3" fillId="0" fontId="4" numFmtId="164" xfId="0" applyBorder="1" applyFont="1" applyNumberFormat="1"/>
    <xf borderId="3" fillId="2" fontId="4" numFmtId="0" xfId="0" applyBorder="1" applyFont="1"/>
    <xf borderId="3" fillId="0" fontId="4" numFmtId="0" xfId="0" applyBorder="1" applyFont="1"/>
    <xf borderId="4" fillId="0" fontId="2" numFmtId="0" xfId="0" applyBorder="1" applyFont="1"/>
    <xf borderId="4" fillId="2" fontId="1" numFmtId="0" xfId="0" applyAlignment="1" applyBorder="1" applyFont="1">
      <alignment horizontal="center" shrinkToFit="0" wrapText="1"/>
    </xf>
    <xf borderId="1" fillId="2" fontId="4" numFmtId="0" xfId="0" applyBorder="1" applyFont="1"/>
    <xf borderId="0" fillId="0" fontId="4" numFmtId="0" xfId="0" applyFont="1"/>
    <xf borderId="3" fillId="0" fontId="4" numFmtId="0" xfId="0" applyAlignment="1" applyBorder="1" applyFont="1">
      <alignment shrinkToFit="0" wrapText="1"/>
    </xf>
    <xf borderId="3" fillId="3" fontId="1" numFmtId="0" xfId="0" applyAlignment="1" applyBorder="1" applyFill="1" applyFont="1">
      <alignment horizontal="center" shrinkToFit="0" wrapText="1"/>
    </xf>
    <xf borderId="3" fillId="4" fontId="3" numFmtId="0" xfId="0" applyAlignment="1" applyBorder="1" applyFill="1" applyFont="1">
      <alignment horizontal="center" shrinkToFit="0" wrapText="1"/>
    </xf>
    <xf borderId="3" fillId="5" fontId="1" numFmtId="0" xfId="0" applyAlignment="1" applyBorder="1" applyFill="1" applyFont="1">
      <alignment horizontal="center" shrinkToFit="0" wrapText="1"/>
    </xf>
    <xf borderId="3" fillId="6" fontId="1" numFmtId="0" xfId="0" applyAlignment="1" applyBorder="1" applyFill="1" applyFont="1">
      <alignment horizontal="center" shrinkToFit="0" wrapText="1"/>
    </xf>
    <xf borderId="3" fillId="4" fontId="4" numFmtId="0" xfId="0" applyBorder="1" applyFont="1"/>
    <xf borderId="1" fillId="0" fontId="4" numFmtId="0" xfId="0" applyBorder="1" applyFont="1"/>
    <xf borderId="3" fillId="7" fontId="1" numFmtId="0" xfId="0" applyAlignment="1" applyBorder="1" applyFill="1" applyFont="1">
      <alignment horizontal="center" shrinkToFit="0" wrapText="1"/>
    </xf>
    <xf borderId="1" fillId="0" fontId="4" numFmtId="0" xfId="0" applyAlignment="1" applyBorder="1" applyFont="1">
      <alignment horizontal="center" readingOrder="0"/>
    </xf>
    <xf borderId="3" fillId="8" fontId="1" numFmtId="0" xfId="0" applyAlignment="1" applyBorder="1" applyFill="1" applyFont="1">
      <alignment horizontal="center" shrinkToFit="0" wrapText="1"/>
    </xf>
    <xf borderId="3" fillId="9" fontId="1" numFmtId="0" xfId="0" applyAlignment="1" applyBorder="1" applyFill="1" applyFon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3" fillId="4" fontId="1" numFmtId="0" xfId="0" applyAlignment="1" applyBorder="1" applyFont="1">
      <alignment horizontal="center" shrinkToFit="0" wrapText="1"/>
    </xf>
    <xf borderId="3" fillId="10" fontId="1" numFmtId="0" xfId="0" applyAlignment="1" applyBorder="1" applyFill="1" applyFont="1">
      <alignment horizontal="center" shrinkToFit="0" wrapText="1"/>
    </xf>
    <xf borderId="3" fillId="11" fontId="1" numFmtId="0" xfId="0" applyAlignment="1" applyBorder="1" applyFill="1" applyFont="1">
      <alignment horizontal="center" shrinkToFit="0" wrapText="1"/>
    </xf>
    <xf borderId="3" fillId="12" fontId="1" numFmtId="0" xfId="0" applyAlignment="1" applyBorder="1" applyFill="1" applyFont="1">
      <alignment horizontal="center" shrinkToFit="0" wrapText="1"/>
    </xf>
    <xf borderId="3" fillId="0" fontId="4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wrapText="1"/>
    </xf>
    <xf borderId="3" fillId="5" fontId="4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rnt.sc/gu_1HHKEAATp" TargetMode="External"/><Relationship Id="rId11" Type="http://schemas.openxmlformats.org/officeDocument/2006/relationships/hyperlink" Target="https://prnt.sc/Er3IIh1bqx5X" TargetMode="External"/><Relationship Id="rId22" Type="http://schemas.openxmlformats.org/officeDocument/2006/relationships/hyperlink" Target="https://prnt.sc/GgAGe3AWJzTD" TargetMode="External"/><Relationship Id="rId10" Type="http://schemas.openxmlformats.org/officeDocument/2006/relationships/hyperlink" Target="https://prnt.sc/KIV9N6S2eyjd" TargetMode="External"/><Relationship Id="rId21" Type="http://schemas.openxmlformats.org/officeDocument/2006/relationships/hyperlink" Target="https://prnt.sc/y58dGvoJFBzo" TargetMode="External"/><Relationship Id="rId13" Type="http://schemas.openxmlformats.org/officeDocument/2006/relationships/hyperlink" Target="https://prnt.sc/mJuR3ptGyTyV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prnt.sc/E1DM6qA7iuLx" TargetMode="External"/><Relationship Id="rId23" Type="http://schemas.openxmlformats.org/officeDocument/2006/relationships/hyperlink" Target="https://prnt.sc/wuab9Fk7lUSB" TargetMode="External"/><Relationship Id="rId1" Type="http://schemas.openxmlformats.org/officeDocument/2006/relationships/hyperlink" Target="https://prnt.sc/gbnv8nYKZoHQ" TargetMode="External"/><Relationship Id="rId2" Type="http://schemas.openxmlformats.org/officeDocument/2006/relationships/hyperlink" Target="https://prnt.sc/GgAGe3AWJzTD" TargetMode="External"/><Relationship Id="rId3" Type="http://schemas.openxmlformats.org/officeDocument/2006/relationships/hyperlink" Target="https://prnt.sc/0K5vcSHtsC2Y" TargetMode="External"/><Relationship Id="rId4" Type="http://schemas.openxmlformats.org/officeDocument/2006/relationships/hyperlink" Target="https://prnt.sc/44MUFyL5qoPi" TargetMode="External"/><Relationship Id="rId9" Type="http://schemas.openxmlformats.org/officeDocument/2006/relationships/hyperlink" Target="https://prnt.sc/ZK7eqf7soXOL" TargetMode="External"/><Relationship Id="rId15" Type="http://schemas.openxmlformats.org/officeDocument/2006/relationships/hyperlink" Target="https://prnt.sc/BEKcSvjo37OX" TargetMode="External"/><Relationship Id="rId14" Type="http://schemas.openxmlformats.org/officeDocument/2006/relationships/hyperlink" Target="https://prnt.sc/au5fw52EJNDp" TargetMode="External"/><Relationship Id="rId17" Type="http://schemas.openxmlformats.org/officeDocument/2006/relationships/hyperlink" Target="https://prnt.sc/F_bJu1C4ZmuQ" TargetMode="External"/><Relationship Id="rId16" Type="http://schemas.openxmlformats.org/officeDocument/2006/relationships/hyperlink" Target="https://prnt.sc/qa7O7HIA-Dfp" TargetMode="External"/><Relationship Id="rId5" Type="http://schemas.openxmlformats.org/officeDocument/2006/relationships/hyperlink" Target="https://prnt.sc/bmCgiLZ-sXXq" TargetMode="External"/><Relationship Id="rId19" Type="http://schemas.openxmlformats.org/officeDocument/2006/relationships/hyperlink" Target="https://prnt.sc/hC9qgm-NXodW" TargetMode="External"/><Relationship Id="rId6" Type="http://schemas.openxmlformats.org/officeDocument/2006/relationships/hyperlink" Target="https://prnt.sc/teoCY_c_3_c8" TargetMode="External"/><Relationship Id="rId18" Type="http://schemas.openxmlformats.org/officeDocument/2006/relationships/hyperlink" Target="https://prnt.sc/Hzb0Fl9wnNgi" TargetMode="External"/><Relationship Id="rId7" Type="http://schemas.openxmlformats.org/officeDocument/2006/relationships/hyperlink" Target="https://prnt.sc/u6GRAU59R_z7" TargetMode="External"/><Relationship Id="rId8" Type="http://schemas.openxmlformats.org/officeDocument/2006/relationships/hyperlink" Target="https://prnt.sc/m7VeSTfwsM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4" t="s">
        <v>2</v>
      </c>
      <c r="E1" s="5"/>
      <c r="F1" s="2"/>
      <c r="G1" s="4" t="s">
        <v>3</v>
      </c>
      <c r="H1" s="6"/>
      <c r="I1" s="7"/>
      <c r="J1" s="8"/>
      <c r="K1" s="1" t="s">
        <v>4</v>
      </c>
      <c r="L1" s="9"/>
      <c r="M1" s="10" t="s">
        <v>5</v>
      </c>
      <c r="N1" s="2"/>
      <c r="O1" s="1" t="s">
        <v>6</v>
      </c>
      <c r="P1" s="2"/>
      <c r="Q1" s="11"/>
      <c r="R1" s="2"/>
      <c r="S1" s="8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>
      <c r="A2" s="1" t="s">
        <v>7</v>
      </c>
      <c r="B2" s="2"/>
      <c r="C2" s="13" t="s">
        <v>8</v>
      </c>
      <c r="D2" s="4" t="s">
        <v>9</v>
      </c>
      <c r="E2" s="5"/>
      <c r="F2" s="2"/>
      <c r="G2" s="4" t="s">
        <v>10</v>
      </c>
      <c r="H2" s="6"/>
      <c r="I2" s="7"/>
      <c r="J2" s="8"/>
      <c r="K2" s="14" t="s">
        <v>11</v>
      </c>
      <c r="L2" s="15">
        <f>COUNTIF(K7:K1002, "PASS")</f>
        <v>20</v>
      </c>
      <c r="M2" s="16" t="s">
        <v>12</v>
      </c>
      <c r="N2" s="15">
        <f>COUNTIF(M7:M1002, "Critical")</f>
        <v>0</v>
      </c>
      <c r="O2" s="17" t="s">
        <v>13</v>
      </c>
      <c r="P2" s="15">
        <f>COUNTIF(N6:N1001, "High")</f>
        <v>0</v>
      </c>
      <c r="Q2" s="11"/>
      <c r="R2" s="2"/>
      <c r="S2" s="8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>
      <c r="A3" s="1" t="s">
        <v>14</v>
      </c>
      <c r="B3" s="2"/>
      <c r="C3" s="18"/>
      <c r="D3" s="4" t="s">
        <v>15</v>
      </c>
      <c r="E3" s="19"/>
      <c r="F3" s="2"/>
      <c r="G3" s="7"/>
      <c r="H3" s="8"/>
      <c r="I3" s="7"/>
      <c r="J3" s="8"/>
      <c r="K3" s="16" t="s">
        <v>16</v>
      </c>
      <c r="L3" s="15">
        <f>COUNTIF(K7:K1002, "FAIL")</f>
        <v>4</v>
      </c>
      <c r="M3" s="17" t="s">
        <v>13</v>
      </c>
      <c r="N3" s="15">
        <f>COUNTIF(M7:M1002, "High")</f>
        <v>0</v>
      </c>
      <c r="O3" s="20" t="s">
        <v>17</v>
      </c>
      <c r="P3" s="15">
        <f>COUNTIF(N6:N1001, "Medium")</f>
        <v>0</v>
      </c>
      <c r="Q3" s="11"/>
      <c r="R3" s="2"/>
      <c r="S3" s="8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>
      <c r="A4" s="1" t="s">
        <v>18</v>
      </c>
      <c r="B4" s="2"/>
      <c r="C4" s="18"/>
      <c r="D4" s="4" t="s">
        <v>19</v>
      </c>
      <c r="E4" s="21" t="s">
        <v>20</v>
      </c>
      <c r="F4" s="2"/>
      <c r="G4" s="7"/>
      <c r="H4" s="8"/>
      <c r="I4" s="7"/>
      <c r="J4" s="8"/>
      <c r="K4" s="22" t="s">
        <v>21</v>
      </c>
      <c r="L4" s="15">
        <f>COUNTIF(K7:K1002, "NT")</f>
        <v>0</v>
      </c>
      <c r="M4" s="20" t="s">
        <v>17</v>
      </c>
      <c r="N4" s="15">
        <f>COUNTIF(M7:M1002, "Medium")</f>
        <v>0</v>
      </c>
      <c r="O4" s="23" t="s">
        <v>22</v>
      </c>
      <c r="P4" s="15">
        <f>COUNTIF(N6:N1002, "Low")</f>
        <v>0</v>
      </c>
      <c r="Q4" s="11"/>
      <c r="R4" s="2"/>
      <c r="S4" s="8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>
      <c r="A5" s="1" t="s">
        <v>23</v>
      </c>
      <c r="B5" s="2"/>
      <c r="C5" s="18"/>
      <c r="D5" s="4" t="s">
        <v>24</v>
      </c>
      <c r="E5" s="24">
        <v>18632.0</v>
      </c>
      <c r="F5" s="2"/>
      <c r="G5" s="7"/>
      <c r="H5" s="8"/>
      <c r="I5" s="7"/>
      <c r="J5" s="8"/>
      <c r="K5" s="25" t="s">
        <v>25</v>
      </c>
      <c r="L5" s="15">
        <f>SUM(L2,L3,L4)</f>
        <v>24</v>
      </c>
      <c r="M5" s="23" t="s">
        <v>22</v>
      </c>
      <c r="N5" s="15">
        <f>COUNTIF(M7:M1003, "Low")</f>
        <v>0</v>
      </c>
      <c r="O5" s="26" t="s">
        <v>26</v>
      </c>
      <c r="P5" s="15">
        <f>COUNTIF(P7:P1002, "Accepted")</f>
        <v>0</v>
      </c>
      <c r="Q5" s="11"/>
      <c r="R5" s="2"/>
      <c r="S5" s="8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>
      <c r="A6" s="27" t="s">
        <v>27</v>
      </c>
      <c r="B6" s="27" t="s">
        <v>28</v>
      </c>
      <c r="C6" s="27" t="s">
        <v>29</v>
      </c>
      <c r="D6" s="27" t="s">
        <v>30</v>
      </c>
      <c r="E6" s="27" t="s">
        <v>31</v>
      </c>
      <c r="F6" s="27" t="s">
        <v>32</v>
      </c>
      <c r="G6" s="27" t="s">
        <v>33</v>
      </c>
      <c r="H6" s="27" t="s">
        <v>34</v>
      </c>
      <c r="I6" s="27" t="s">
        <v>35</v>
      </c>
      <c r="J6" s="27" t="s">
        <v>36</v>
      </c>
      <c r="K6" s="28" t="s">
        <v>37</v>
      </c>
      <c r="L6" s="28" t="s">
        <v>38</v>
      </c>
      <c r="M6" s="27" t="s">
        <v>5</v>
      </c>
      <c r="N6" s="27" t="s">
        <v>6</v>
      </c>
      <c r="O6" s="27" t="s">
        <v>39</v>
      </c>
      <c r="P6" s="28" t="s">
        <v>40</v>
      </c>
      <c r="Q6" s="28" t="s">
        <v>41</v>
      </c>
      <c r="R6" s="28" t="s">
        <v>42</v>
      </c>
      <c r="S6" s="28" t="s">
        <v>43</v>
      </c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>
      <c r="A7" s="8"/>
      <c r="B7" s="8"/>
      <c r="C7" s="3" t="s">
        <v>44</v>
      </c>
      <c r="D7" s="13" t="s">
        <v>45</v>
      </c>
      <c r="E7" s="29" t="s">
        <v>46</v>
      </c>
      <c r="F7" s="8"/>
      <c r="G7" s="13" t="s">
        <v>47</v>
      </c>
      <c r="H7" s="13" t="s">
        <v>48</v>
      </c>
      <c r="I7" s="13" t="s">
        <v>49</v>
      </c>
      <c r="J7" s="13" t="s">
        <v>50</v>
      </c>
      <c r="K7" s="14" t="s">
        <v>11</v>
      </c>
      <c r="L7" s="8"/>
      <c r="M7" s="8"/>
      <c r="N7" s="8"/>
      <c r="O7" s="30" t="s">
        <v>51</v>
      </c>
      <c r="P7" s="8"/>
      <c r="Q7" s="8"/>
      <c r="R7" s="8"/>
      <c r="S7" s="8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>
      <c r="A8" s="8"/>
      <c r="B8" s="8"/>
      <c r="C8" s="3" t="s">
        <v>52</v>
      </c>
      <c r="D8" s="13" t="s">
        <v>53</v>
      </c>
      <c r="E8" s="29" t="s">
        <v>46</v>
      </c>
      <c r="F8" s="8"/>
      <c r="G8" s="13" t="s">
        <v>54</v>
      </c>
      <c r="H8" s="13" t="s">
        <v>55</v>
      </c>
      <c r="I8" s="13" t="s">
        <v>56</v>
      </c>
      <c r="J8" s="13" t="s">
        <v>57</v>
      </c>
      <c r="K8" s="14" t="s">
        <v>11</v>
      </c>
      <c r="L8" s="8"/>
      <c r="M8" s="8"/>
      <c r="N8" s="8"/>
      <c r="O8" s="31" t="s">
        <v>58</v>
      </c>
      <c r="P8" s="8"/>
      <c r="Q8" s="8"/>
      <c r="R8" s="8"/>
      <c r="S8" s="8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>
      <c r="A9" s="8"/>
      <c r="B9" s="8"/>
      <c r="C9" s="3" t="s">
        <v>59</v>
      </c>
      <c r="D9" s="13" t="s">
        <v>60</v>
      </c>
      <c r="E9" s="29" t="s">
        <v>46</v>
      </c>
      <c r="F9" s="8"/>
      <c r="G9" s="13" t="s">
        <v>61</v>
      </c>
      <c r="H9" s="13" t="s">
        <v>55</v>
      </c>
      <c r="I9" s="13" t="s">
        <v>62</v>
      </c>
      <c r="J9" s="13" t="s">
        <v>63</v>
      </c>
      <c r="K9" s="32" t="s">
        <v>16</v>
      </c>
      <c r="L9" s="8"/>
      <c r="M9" s="8"/>
      <c r="N9" s="8"/>
      <c r="O9" s="31" t="s">
        <v>64</v>
      </c>
      <c r="P9" s="8"/>
      <c r="Q9" s="8"/>
      <c r="R9" s="8"/>
      <c r="S9" s="8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>
      <c r="A10" s="8"/>
      <c r="B10" s="8"/>
      <c r="C10" s="3" t="s">
        <v>65</v>
      </c>
      <c r="D10" s="13" t="s">
        <v>66</v>
      </c>
      <c r="E10" s="29" t="s">
        <v>46</v>
      </c>
      <c r="F10" s="8"/>
      <c r="G10" s="13" t="s">
        <v>67</v>
      </c>
      <c r="H10" s="13" t="s">
        <v>55</v>
      </c>
      <c r="I10" s="13" t="s">
        <v>68</v>
      </c>
      <c r="J10" s="13" t="s">
        <v>69</v>
      </c>
      <c r="K10" s="32" t="s">
        <v>16</v>
      </c>
      <c r="L10" s="8"/>
      <c r="M10" s="8"/>
      <c r="N10" s="8"/>
      <c r="O10" s="31" t="s">
        <v>70</v>
      </c>
      <c r="P10" s="8"/>
      <c r="Q10" s="8"/>
      <c r="R10" s="8"/>
      <c r="S10" s="8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>
      <c r="A11" s="8"/>
      <c r="B11" s="8"/>
      <c r="C11" s="3" t="s">
        <v>71</v>
      </c>
      <c r="D11" s="13" t="s">
        <v>72</v>
      </c>
      <c r="E11" s="29" t="s">
        <v>46</v>
      </c>
      <c r="F11" s="8"/>
      <c r="G11" s="13" t="s">
        <v>73</v>
      </c>
      <c r="H11" s="13" t="s">
        <v>74</v>
      </c>
      <c r="I11" s="13" t="s">
        <v>75</v>
      </c>
      <c r="J11" s="13" t="s">
        <v>76</v>
      </c>
      <c r="K11" s="14" t="s">
        <v>11</v>
      </c>
      <c r="L11" s="8"/>
      <c r="M11" s="8"/>
      <c r="N11" s="8"/>
      <c r="O11" s="30" t="s">
        <v>77</v>
      </c>
      <c r="P11" s="8"/>
      <c r="Q11" s="8"/>
      <c r="R11" s="8"/>
      <c r="S11" s="8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>
      <c r="A12" s="8"/>
      <c r="B12" s="8"/>
      <c r="C12" s="3" t="s">
        <v>78</v>
      </c>
      <c r="D12" s="13" t="s">
        <v>79</v>
      </c>
      <c r="E12" s="29" t="s">
        <v>46</v>
      </c>
      <c r="F12" s="8"/>
      <c r="G12" s="13" t="s">
        <v>80</v>
      </c>
      <c r="H12" s="13" t="s">
        <v>81</v>
      </c>
      <c r="I12" s="13" t="s">
        <v>82</v>
      </c>
      <c r="J12" s="13" t="s">
        <v>83</v>
      </c>
      <c r="K12" s="14" t="s">
        <v>11</v>
      </c>
      <c r="L12" s="8"/>
      <c r="M12" s="8"/>
      <c r="N12" s="8"/>
      <c r="O12" s="30" t="s">
        <v>84</v>
      </c>
      <c r="P12" s="8"/>
      <c r="Q12" s="8"/>
      <c r="R12" s="8"/>
      <c r="S12" s="8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>
      <c r="A13" s="8"/>
      <c r="B13" s="8"/>
      <c r="C13" s="3" t="s">
        <v>85</v>
      </c>
      <c r="D13" s="13" t="s">
        <v>86</v>
      </c>
      <c r="E13" s="29" t="s">
        <v>46</v>
      </c>
      <c r="F13" s="8"/>
      <c r="G13" s="13" t="s">
        <v>87</v>
      </c>
      <c r="H13" s="13" t="s">
        <v>88</v>
      </c>
      <c r="I13" s="13" t="s">
        <v>89</v>
      </c>
      <c r="J13" s="13" t="s">
        <v>90</v>
      </c>
      <c r="K13" s="14" t="s">
        <v>11</v>
      </c>
      <c r="L13" s="8"/>
      <c r="M13" s="8"/>
      <c r="N13" s="8"/>
      <c r="O13" s="30" t="s">
        <v>91</v>
      </c>
      <c r="P13" s="8"/>
      <c r="Q13" s="8"/>
      <c r="R13" s="8"/>
      <c r="S13" s="8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>
      <c r="A14" s="8"/>
      <c r="B14" s="8"/>
      <c r="C14" s="3" t="s">
        <v>92</v>
      </c>
      <c r="D14" s="13" t="s">
        <v>93</v>
      </c>
      <c r="E14" s="29" t="s">
        <v>46</v>
      </c>
      <c r="F14" s="8"/>
      <c r="G14" s="13" t="s">
        <v>94</v>
      </c>
      <c r="H14" s="13" t="s">
        <v>95</v>
      </c>
      <c r="I14" s="13" t="s">
        <v>96</v>
      </c>
      <c r="J14" s="13" t="s">
        <v>97</v>
      </c>
      <c r="K14" s="14" t="s">
        <v>11</v>
      </c>
      <c r="L14" s="8"/>
      <c r="M14" s="8"/>
      <c r="N14" s="8"/>
      <c r="O14" s="30" t="s">
        <v>98</v>
      </c>
      <c r="P14" s="8"/>
      <c r="Q14" s="8"/>
      <c r="R14" s="8"/>
      <c r="S14" s="8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>
      <c r="A15" s="8"/>
      <c r="B15" s="8"/>
      <c r="C15" s="3" t="s">
        <v>99</v>
      </c>
      <c r="D15" s="13" t="s">
        <v>100</v>
      </c>
      <c r="E15" s="29" t="s">
        <v>46</v>
      </c>
      <c r="F15" s="8"/>
      <c r="G15" s="13" t="s">
        <v>101</v>
      </c>
      <c r="H15" s="13" t="s">
        <v>102</v>
      </c>
      <c r="I15" s="13" t="s">
        <v>103</v>
      </c>
      <c r="J15" s="13" t="s">
        <v>104</v>
      </c>
      <c r="K15" s="14" t="s">
        <v>11</v>
      </c>
      <c r="L15" s="8"/>
      <c r="M15" s="8"/>
      <c r="N15" s="8"/>
      <c r="O15" s="31" t="s">
        <v>105</v>
      </c>
      <c r="P15" s="8"/>
      <c r="Q15" s="8"/>
      <c r="R15" s="8"/>
      <c r="S15" s="8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>
      <c r="A16" s="8"/>
      <c r="B16" s="8"/>
      <c r="C16" s="3" t="s">
        <v>106</v>
      </c>
      <c r="D16" s="13" t="s">
        <v>107</v>
      </c>
      <c r="E16" s="29" t="s">
        <v>46</v>
      </c>
      <c r="F16" s="8"/>
      <c r="G16" s="13" t="s">
        <v>108</v>
      </c>
      <c r="H16" s="8"/>
      <c r="I16" s="13" t="s">
        <v>109</v>
      </c>
      <c r="J16" s="13" t="s">
        <v>110</v>
      </c>
      <c r="K16" s="14" t="s">
        <v>11</v>
      </c>
      <c r="L16" s="8"/>
      <c r="M16" s="8"/>
      <c r="N16" s="8"/>
      <c r="O16" s="8"/>
      <c r="P16" s="8"/>
      <c r="Q16" s="8"/>
      <c r="R16" s="8"/>
      <c r="S16" s="8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>
      <c r="A17" s="8"/>
      <c r="B17" s="8"/>
      <c r="C17" s="3" t="s">
        <v>111</v>
      </c>
      <c r="D17" s="13" t="s">
        <v>112</v>
      </c>
      <c r="E17" s="29" t="s">
        <v>46</v>
      </c>
      <c r="F17" s="8"/>
      <c r="G17" s="8"/>
      <c r="H17" s="8"/>
      <c r="I17" s="13" t="s">
        <v>113</v>
      </c>
      <c r="J17" s="13" t="s">
        <v>114</v>
      </c>
      <c r="K17" s="14" t="s">
        <v>11</v>
      </c>
      <c r="L17" s="8"/>
      <c r="M17" s="8"/>
      <c r="N17" s="8"/>
      <c r="O17" s="30" t="s">
        <v>115</v>
      </c>
      <c r="P17" s="8"/>
      <c r="Q17" s="8"/>
      <c r="R17" s="8"/>
      <c r="S17" s="8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>
      <c r="A18" s="8"/>
      <c r="B18" s="8"/>
      <c r="C18" s="3" t="s">
        <v>116</v>
      </c>
      <c r="D18" s="13" t="s">
        <v>79</v>
      </c>
      <c r="E18" s="29" t="s">
        <v>46</v>
      </c>
      <c r="F18" s="8"/>
      <c r="G18" s="13" t="s">
        <v>80</v>
      </c>
      <c r="H18" s="13" t="s">
        <v>117</v>
      </c>
      <c r="I18" s="13" t="s">
        <v>82</v>
      </c>
      <c r="J18" s="13" t="s">
        <v>83</v>
      </c>
      <c r="K18" s="14" t="s">
        <v>11</v>
      </c>
      <c r="L18" s="8"/>
      <c r="M18" s="8"/>
      <c r="N18" s="8"/>
      <c r="O18" s="30" t="s">
        <v>118</v>
      </c>
      <c r="P18" s="8"/>
      <c r="Q18" s="8"/>
      <c r="R18" s="8"/>
      <c r="S18" s="8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>
      <c r="A19" s="8"/>
      <c r="B19" s="8"/>
      <c r="C19" s="3" t="s">
        <v>119</v>
      </c>
      <c r="D19" s="13" t="s">
        <v>72</v>
      </c>
      <c r="E19" s="29" t="s">
        <v>46</v>
      </c>
      <c r="F19" s="8"/>
      <c r="G19" s="13" t="s">
        <v>73</v>
      </c>
      <c r="H19" s="13" t="s">
        <v>120</v>
      </c>
      <c r="I19" s="13" t="s">
        <v>75</v>
      </c>
      <c r="J19" s="13" t="s">
        <v>76</v>
      </c>
      <c r="K19" s="14" t="s">
        <v>11</v>
      </c>
      <c r="L19" s="8"/>
      <c r="M19" s="8"/>
      <c r="N19" s="8"/>
      <c r="O19" s="30" t="s">
        <v>121</v>
      </c>
      <c r="P19" s="8"/>
      <c r="Q19" s="8"/>
      <c r="R19" s="8"/>
      <c r="S19" s="8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>
      <c r="A20" s="8"/>
      <c r="B20" s="8"/>
      <c r="C20" s="3" t="s">
        <v>122</v>
      </c>
      <c r="D20" s="13" t="s">
        <v>123</v>
      </c>
      <c r="E20" s="29" t="s">
        <v>46</v>
      </c>
      <c r="F20" s="8"/>
      <c r="G20" s="13" t="s">
        <v>124</v>
      </c>
      <c r="H20" s="13" t="s">
        <v>125</v>
      </c>
      <c r="I20" s="13" t="s">
        <v>126</v>
      </c>
      <c r="J20" s="13" t="s">
        <v>127</v>
      </c>
      <c r="K20" s="14" t="s">
        <v>11</v>
      </c>
      <c r="L20" s="8"/>
      <c r="M20" s="8"/>
      <c r="N20" s="8"/>
      <c r="O20" s="30" t="s">
        <v>128</v>
      </c>
      <c r="P20" s="8"/>
      <c r="Q20" s="8"/>
      <c r="R20" s="8"/>
      <c r="S20" s="8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>
      <c r="A21" s="8"/>
      <c r="B21" s="8"/>
      <c r="C21" s="3" t="s">
        <v>129</v>
      </c>
      <c r="D21" s="13" t="s">
        <v>130</v>
      </c>
      <c r="E21" s="29" t="s">
        <v>46</v>
      </c>
      <c r="F21" s="8"/>
      <c r="G21" s="13" t="s">
        <v>131</v>
      </c>
      <c r="H21" s="13" t="s">
        <v>48</v>
      </c>
      <c r="I21" s="13" t="s">
        <v>49</v>
      </c>
      <c r="J21" s="13" t="s">
        <v>50</v>
      </c>
      <c r="K21" s="14" t="s">
        <v>11</v>
      </c>
      <c r="L21" s="8"/>
      <c r="M21" s="8"/>
      <c r="N21" s="8"/>
      <c r="O21" s="30" t="s">
        <v>132</v>
      </c>
      <c r="P21" s="8"/>
      <c r="Q21" s="8"/>
      <c r="R21" s="8"/>
      <c r="S21" s="8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>
      <c r="A22" s="8"/>
      <c r="B22" s="8"/>
      <c r="C22" s="3" t="s">
        <v>133</v>
      </c>
      <c r="D22" s="13" t="s">
        <v>53</v>
      </c>
      <c r="E22" s="29" t="s">
        <v>46</v>
      </c>
      <c r="F22" s="8"/>
      <c r="G22" s="13" t="s">
        <v>134</v>
      </c>
      <c r="H22" s="13" t="s">
        <v>55</v>
      </c>
      <c r="I22" s="13" t="s">
        <v>56</v>
      </c>
      <c r="J22" s="13" t="s">
        <v>57</v>
      </c>
      <c r="K22" s="14" t="s">
        <v>11</v>
      </c>
      <c r="L22" s="8"/>
      <c r="M22" s="8"/>
      <c r="N22" s="8"/>
      <c r="O22" s="31" t="s">
        <v>135</v>
      </c>
      <c r="P22" s="8"/>
      <c r="Q22" s="8"/>
      <c r="R22" s="8"/>
      <c r="S22" s="8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>
      <c r="A23" s="8"/>
      <c r="B23" s="8"/>
      <c r="C23" s="3" t="s">
        <v>136</v>
      </c>
      <c r="D23" s="13" t="s">
        <v>60</v>
      </c>
      <c r="E23" s="29" t="s">
        <v>46</v>
      </c>
      <c r="F23" s="8"/>
      <c r="G23" s="13" t="s">
        <v>137</v>
      </c>
      <c r="H23" s="13" t="s">
        <v>55</v>
      </c>
      <c r="I23" s="13" t="s">
        <v>62</v>
      </c>
      <c r="J23" s="13" t="s">
        <v>63</v>
      </c>
      <c r="K23" s="32" t="s">
        <v>16</v>
      </c>
      <c r="L23" s="8"/>
      <c r="M23" s="8"/>
      <c r="N23" s="8"/>
      <c r="O23" s="31" t="s">
        <v>138</v>
      </c>
      <c r="P23" s="8"/>
      <c r="Q23" s="8"/>
      <c r="R23" s="8"/>
      <c r="S23" s="8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>
      <c r="A24" s="8"/>
      <c r="B24" s="8"/>
      <c r="C24" s="3" t="s">
        <v>139</v>
      </c>
      <c r="D24" s="13" t="s">
        <v>66</v>
      </c>
      <c r="E24" s="29" t="s">
        <v>46</v>
      </c>
      <c r="F24" s="8"/>
      <c r="G24" s="13" t="s">
        <v>140</v>
      </c>
      <c r="H24" s="13" t="s">
        <v>55</v>
      </c>
      <c r="I24" s="13" t="s">
        <v>68</v>
      </c>
      <c r="J24" s="13" t="s">
        <v>69</v>
      </c>
      <c r="K24" s="32" t="s">
        <v>16</v>
      </c>
      <c r="L24" s="8"/>
      <c r="M24" s="8"/>
      <c r="N24" s="8"/>
      <c r="O24" s="31" t="s">
        <v>141</v>
      </c>
      <c r="P24" s="8"/>
      <c r="Q24" s="8"/>
      <c r="R24" s="8"/>
      <c r="S24" s="8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>
      <c r="A25" s="8"/>
      <c r="B25" s="8"/>
      <c r="C25" s="3" t="s">
        <v>142</v>
      </c>
      <c r="D25" s="13" t="s">
        <v>143</v>
      </c>
      <c r="E25" s="29" t="s">
        <v>46</v>
      </c>
      <c r="F25" s="8"/>
      <c r="G25" s="13" t="s">
        <v>144</v>
      </c>
      <c r="H25" s="13" t="s">
        <v>81</v>
      </c>
      <c r="I25" s="13" t="s">
        <v>82</v>
      </c>
      <c r="J25" s="13" t="s">
        <v>83</v>
      </c>
      <c r="K25" s="14" t="s">
        <v>11</v>
      </c>
      <c r="L25" s="8"/>
      <c r="M25" s="8"/>
      <c r="N25" s="8"/>
      <c r="O25" s="30" t="s">
        <v>145</v>
      </c>
      <c r="P25" s="8"/>
      <c r="Q25" s="8"/>
      <c r="R25" s="8"/>
      <c r="S25" s="8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>
      <c r="A26" s="8"/>
      <c r="B26" s="8"/>
      <c r="C26" s="3" t="s">
        <v>146</v>
      </c>
      <c r="D26" s="13" t="s">
        <v>86</v>
      </c>
      <c r="E26" s="29" t="s">
        <v>46</v>
      </c>
      <c r="F26" s="8"/>
      <c r="G26" s="13" t="s">
        <v>147</v>
      </c>
      <c r="H26" s="13" t="s">
        <v>88</v>
      </c>
      <c r="I26" s="13" t="s">
        <v>89</v>
      </c>
      <c r="J26" s="13" t="s">
        <v>90</v>
      </c>
      <c r="K26" s="14" t="s">
        <v>11</v>
      </c>
      <c r="L26" s="8"/>
      <c r="M26" s="8"/>
      <c r="N26" s="8"/>
      <c r="O26" s="30" t="s">
        <v>148</v>
      </c>
      <c r="P26" s="8"/>
      <c r="Q26" s="8"/>
      <c r="R26" s="8"/>
      <c r="S26" s="8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>
      <c r="A27" s="8"/>
      <c r="B27" s="8"/>
      <c r="C27" s="3" t="s">
        <v>149</v>
      </c>
      <c r="D27" s="13" t="s">
        <v>93</v>
      </c>
      <c r="E27" s="29" t="s">
        <v>46</v>
      </c>
      <c r="F27" s="8"/>
      <c r="G27" s="13" t="s">
        <v>150</v>
      </c>
      <c r="H27" s="13" t="s">
        <v>95</v>
      </c>
      <c r="I27" s="13" t="s">
        <v>96</v>
      </c>
      <c r="J27" s="13" t="s">
        <v>97</v>
      </c>
      <c r="K27" s="14" t="s">
        <v>11</v>
      </c>
      <c r="L27" s="8"/>
      <c r="M27" s="8"/>
      <c r="N27" s="8"/>
      <c r="O27" s="30" t="s">
        <v>151</v>
      </c>
      <c r="P27" s="8"/>
      <c r="Q27" s="8"/>
      <c r="R27" s="8"/>
      <c r="S27" s="8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>
      <c r="A28" s="8"/>
      <c r="B28" s="8"/>
      <c r="C28" s="3" t="s">
        <v>152</v>
      </c>
      <c r="D28" s="13" t="s">
        <v>153</v>
      </c>
      <c r="E28" s="29" t="s">
        <v>46</v>
      </c>
      <c r="F28" s="8"/>
      <c r="G28" s="13" t="s">
        <v>154</v>
      </c>
      <c r="H28" s="13" t="s">
        <v>48</v>
      </c>
      <c r="I28" s="13" t="s">
        <v>49</v>
      </c>
      <c r="J28" s="13" t="s">
        <v>50</v>
      </c>
      <c r="K28" s="14" t="s">
        <v>11</v>
      </c>
      <c r="L28" s="8"/>
      <c r="M28" s="8"/>
      <c r="N28" s="8"/>
      <c r="O28" s="30" t="s">
        <v>155</v>
      </c>
      <c r="P28" s="8"/>
      <c r="Q28" s="8"/>
      <c r="R28" s="8"/>
      <c r="S28" s="8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>
      <c r="A29" s="8"/>
      <c r="B29" s="8"/>
      <c r="C29" s="3" t="s">
        <v>156</v>
      </c>
      <c r="D29" s="13" t="s">
        <v>53</v>
      </c>
      <c r="E29" s="29" t="s">
        <v>46</v>
      </c>
      <c r="F29" s="8"/>
      <c r="G29" s="13" t="s">
        <v>157</v>
      </c>
      <c r="H29" s="13" t="s">
        <v>55</v>
      </c>
      <c r="I29" s="13" t="s">
        <v>56</v>
      </c>
      <c r="J29" s="13" t="s">
        <v>57</v>
      </c>
      <c r="K29" s="14" t="s">
        <v>11</v>
      </c>
      <c r="L29" s="8"/>
      <c r="M29" s="8"/>
      <c r="N29" s="8"/>
      <c r="O29" s="30" t="s">
        <v>158</v>
      </c>
      <c r="P29" s="8"/>
      <c r="Q29" s="8"/>
      <c r="R29" s="8"/>
      <c r="S29" s="8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>
      <c r="A30" s="8"/>
      <c r="B30" s="8"/>
      <c r="C30" s="3" t="s">
        <v>159</v>
      </c>
      <c r="D30" s="13" t="s">
        <v>160</v>
      </c>
      <c r="E30" s="29" t="s">
        <v>46</v>
      </c>
      <c r="F30" s="8"/>
      <c r="G30" s="13" t="s">
        <v>161</v>
      </c>
      <c r="H30" s="13" t="s">
        <v>88</v>
      </c>
      <c r="I30" s="13" t="s">
        <v>89</v>
      </c>
      <c r="J30" s="13" t="s">
        <v>90</v>
      </c>
      <c r="K30" s="14" t="s">
        <v>11</v>
      </c>
      <c r="L30" s="8"/>
      <c r="M30" s="8"/>
      <c r="N30" s="8"/>
      <c r="O30" s="30" t="s">
        <v>162</v>
      </c>
      <c r="P30" s="8"/>
      <c r="Q30" s="8"/>
      <c r="R30" s="8"/>
      <c r="S30" s="8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</row>
  </sheetData>
  <mergeCells count="18">
    <mergeCell ref="Q1:R1"/>
    <mergeCell ref="Q2:R2"/>
    <mergeCell ref="Q3:R3"/>
    <mergeCell ref="Q4:R4"/>
    <mergeCell ref="Q5:R5"/>
    <mergeCell ref="E2:F2"/>
    <mergeCell ref="E3:F3"/>
    <mergeCell ref="A4:B4"/>
    <mergeCell ref="E4:F4"/>
    <mergeCell ref="A5:B5"/>
    <mergeCell ref="E5:F5"/>
    <mergeCell ref="A1:B1"/>
    <mergeCell ref="E1:F1"/>
    <mergeCell ref="K1:L1"/>
    <mergeCell ref="M1:N1"/>
    <mergeCell ref="O1:P1"/>
    <mergeCell ref="A2:B2"/>
    <mergeCell ref="A3:B3"/>
  </mergeCells>
  <dataValidations>
    <dataValidation type="list" allowBlank="1" sqref="M7:M1002">
      <formula1>"Critical,High,Medium,Low"</formula1>
    </dataValidation>
    <dataValidation type="list" allowBlank="1" showErrorMessage="1" sqref="E7:E1006">
      <formula1>"UI,API,PL/SQL,DB"</formula1>
    </dataValidation>
    <dataValidation type="list" allowBlank="1" showErrorMessage="1" sqref="N7:N1002">
      <formula1>"High,Medium,Low"</formula1>
    </dataValidation>
    <dataValidation type="list" allowBlank="1" showErrorMessage="1" sqref="P7:P1006">
      <formula1>"Accepted,Rejected"</formula1>
    </dataValidation>
    <dataValidation type="list" allowBlank="1" sqref="K7:K1002 S7:S1002">
      <formula1>"PASS,FAIL,NT"</formula1>
    </dataValidation>
  </dataValidations>
  <hyperlinks>
    <hyperlink display="18632" location="null!A1" ref="E5"/>
    <hyperlink r:id="rId1" ref="O7"/>
    <hyperlink r:id="rId2" ref="O8"/>
    <hyperlink r:id="rId3" ref="O9"/>
    <hyperlink r:id="rId4" ref="O10"/>
    <hyperlink r:id="rId5" ref="O11"/>
    <hyperlink r:id="rId6" ref="O12"/>
    <hyperlink r:id="rId7" ref="O13"/>
    <hyperlink r:id="rId8" ref="O14"/>
    <hyperlink r:id="rId9" ref="O15"/>
    <hyperlink r:id="rId10" ref="O17"/>
    <hyperlink r:id="rId11" ref="O18"/>
    <hyperlink r:id="rId12" ref="O19"/>
    <hyperlink r:id="rId13" ref="O20"/>
    <hyperlink r:id="rId14" ref="O21"/>
    <hyperlink r:id="rId15" ref="O22"/>
    <hyperlink r:id="rId16" ref="O23"/>
    <hyperlink r:id="rId17" ref="O24"/>
    <hyperlink r:id="rId18" ref="O25"/>
    <hyperlink r:id="rId19" ref="O26"/>
    <hyperlink r:id="rId20" ref="O27"/>
    <hyperlink r:id="rId21" ref="O28"/>
    <hyperlink r:id="rId22" ref="O29"/>
    <hyperlink r:id="rId23" ref="O30"/>
  </hyperlinks>
  <drawing r:id="rId24"/>
</worksheet>
</file>