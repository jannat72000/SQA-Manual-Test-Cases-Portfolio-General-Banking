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<sst xmlns="http://schemas.openxmlformats.org/spreadsheetml/2006/main" count="280" uniqueCount="211">
  <si>
    <t>Product Name</t>
  </si>
  <si>
    <t>ABABIL NG</t>
  </si>
  <si>
    <t>TC Start Date</t>
  </si>
  <si>
    <t>TC Execution Start Date</t>
  </si>
  <si>
    <t>TEST CASE STATUS</t>
  </si>
  <si>
    <t>Severity</t>
  </si>
  <si>
    <t>Priority</t>
  </si>
  <si>
    <t>Event Name</t>
  </si>
  <si>
    <t>TC End Date</t>
  </si>
  <si>
    <t>TC Execution End Date</t>
  </si>
  <si>
    <t>PASS</t>
  </si>
  <si>
    <t>Critical</t>
  </si>
  <si>
    <t>High</t>
  </si>
  <si>
    <t>Para Form Name</t>
  </si>
  <si>
    <t>Payment Method fields</t>
  </si>
  <si>
    <t>Test Case Developed By</t>
  </si>
  <si>
    <t>Jannat</t>
  </si>
  <si>
    <t>FAIL</t>
  </si>
  <si>
    <t>Medium</t>
  </si>
  <si>
    <t>Developer Name (TL)</t>
  </si>
  <si>
    <t>Test Case Reviewed By</t>
  </si>
  <si>
    <t>NT</t>
  </si>
  <si>
    <t>Low</t>
  </si>
  <si>
    <t>Test Executed by</t>
  </si>
  <si>
    <t>MITS ID</t>
  </si>
  <si>
    <t>TOTAL</t>
  </si>
  <si>
    <t>Issue Accepted</t>
  </si>
  <si>
    <t>Req ID</t>
  </si>
  <si>
    <t>Requirement Description</t>
  </si>
  <si>
    <t>TC ID</t>
  </si>
  <si>
    <t>Test Case Description</t>
  </si>
  <si>
    <t>Category</t>
  </si>
  <si>
    <t>Automation TC ID</t>
  </si>
  <si>
    <t>Test Steps</t>
  </si>
  <si>
    <t>Test Data</t>
  </si>
  <si>
    <t>Expected Result</t>
  </si>
  <si>
    <t>Actual Result</t>
  </si>
  <si>
    <t>QA Status</t>
  </si>
  <si>
    <t>Tested By</t>
  </si>
  <si>
    <t>QA Remarks</t>
  </si>
  <si>
    <t>Dev Status</t>
  </si>
  <si>
    <t>Developed By</t>
  </si>
  <si>
    <t>Dev Remarks</t>
  </si>
  <si>
    <t>Updated QA Status</t>
  </si>
  <si>
    <t>TC_MTDR_01</t>
  </si>
  <si>
    <t>Verify when Auto Renewal Allowed with “Full Balance” renewal option, Profit Post Account and Encashment Account Type fields are disabled in MTDR Account Opening UI</t>
  </si>
  <si>
    <t>UI</t>
  </si>
  <si>
    <t>1. Navigate to MTDR Account Opening Screen.
2. Select MTDR Product having Auto Renewal Allowed.
3. Enter required details (Customer ID, Funding Account, Deposit Amount, Tenor, etc.).
4. Select Renewal Option = Full Balance.
5. Observe Profit Post Account and Encashment Account Type fields</t>
  </si>
  <si>
    <t>1. Product Type: MTDR (Auto Renewal Allowed = Yes)
2. Renewal Option: Full Balance
3. Funding Account: CASA 0025020000086</t>
  </si>
  <si>
    <t>System automatically recognizes “Full Balance Renewal” and disables profit/encashment options.</t>
  </si>
  <si>
    <t>As expected, System automatically recognizes “Full Balance Renewal” and disables profit/encashment options.</t>
  </si>
  <si>
    <r>
      <rPr>
        <rFont val="Arial"/>
        <color rgb="FF1155CC"/>
        <u/>
      </rPr>
      <t>https://prnt.sc/BEgbWq_85UIB</t>
    </r>
    <r>
      <rPr>
        <rFont val="Arial"/>
      </rPr>
      <t xml:space="preserve">    </t>
    </r>
    <r>
      <rPr>
        <rFont val="Arial"/>
        <color rgb="FF1155CC"/>
        <u/>
      </rPr>
      <t>https://prnt.sc/7Ho6iYGbFY-K</t>
    </r>
  </si>
  <si>
    <t>TC_MTDR_02</t>
  </si>
  <si>
    <t>Verify MTDR Account Opening when Renewal Option = Full Balance and Product Required = No</t>
  </si>
  <si>
    <t>1.Navigate to MTDR Account Opening screen.
2.Select a product where Auto Renewal Allowed = Yes and Product Required = No.
3.Enter funding account details.
4.Set Renewal Option = Full Balance.
5.Complete all other mandatory fields.
6.Attempt to save/submit the account</t>
  </si>
  <si>
    <t>1. Renewal Option: Full Balance
2.Product: (711) configuration: Product Required = No
3.Auto Renewal Allowed: Yes
4.Funding Account Type: CASA</t>
  </si>
  <si>
    <t>System allows MTDR account creation successfully with Renewal Option = Full Balance.</t>
  </si>
  <si>
    <t xml:space="preserve">Account opened sucessfully  </t>
  </si>
  <si>
    <t>https://prnt.sc/FZSGM-lCt6_j</t>
  </si>
  <si>
    <t>TC_MTDR_03</t>
  </si>
  <si>
    <t>Verify MTDR Account Opening when Auto Renewal Allowed with “Full Balance” renewal option and Profit Post Account Required = Allowed</t>
  </si>
  <si>
    <t>1. Navigate to MTDR Account Opening screen.
2. Select MTDR product having Auto Renewal Allowed = Yes.
3. Enter basic customer and deposit details.
4. Select Renewal Option = Full Balance.
5. Observe Profit Post Account and Encashment Account Type fields.</t>
  </si>
  <si>
    <t>1. Product Type: MTDR (Auto Renewal Allowed = Yes)
2. Renewal Option: Full Balance
3. Funding Account: CASA 0025020000011</t>
  </si>
  <si>
    <t>Profit Post Account “Required = Allowed” means product setup allows profit account entry, but since renewal is Full Balance, system should still disable it dynamically.</t>
  </si>
  <si>
    <t>Profit post is disable as expected</t>
  </si>
  <si>
    <t>https://prnt.sc/JWUxfJ02mNwy</t>
  </si>
  <si>
    <t>TC_MTDR_04</t>
  </si>
  <si>
    <t>Verify MTDR Account Opening when Renewal Option = Full Balance and Product Required = Yes</t>
  </si>
  <si>
    <t>1.Navigate to MTDR Account Opening screen.
2.Select a product where Auto Renewal Allowed = Yes and Product Required = Yes.
3.Enter funding account details.
4.Set Renewal Option = Full Balance.
5.Ensure Product field is displayed and mandatory.
6.Fill in all required product-related fields.
7.Attempt to save/submit the account.</t>
  </si>
  <si>
    <t>1.Renewal Option: Full Balance
2.Product: 117; configuration: Product Required = Yes
3.Auto Renewal Allowed: Yes
4.Funding Account Type: CASA</t>
  </si>
  <si>
    <t>System allows MTDR account creation successfully.</t>
  </si>
  <si>
    <t>https://prnt.sc/QkrzQMnsfa6d</t>
  </si>
  <si>
    <t>TC_MTDR_05</t>
  </si>
  <si>
    <t>Verify MTDR Account Opening UI when Auto Renewal = Not Allowed</t>
  </si>
  <si>
    <t>1. Navigate to MTDR Account Opening screen.
2. Select MTDR product having not Auto Renewal Allowed 
3. Enter basic customer and deposit details.
4. Observe Renewal Option, Profit Post Account and Encashment Account Type fields.</t>
  </si>
  <si>
    <t>1. Product Type: MTDR (Auto Renewal Allowed = No)
2. Funding Account: CASA 0025020000052</t>
  </si>
  <si>
    <t>Renewal Option field disabled but profit post A/c type should enable</t>
  </si>
  <si>
    <t xml:space="preserve">As expected system doesn't allow renewal option but profit post A/c type is enable </t>
  </si>
  <si>
    <t>https://prnt.sc/s0oTa0xzQE5s</t>
  </si>
  <si>
    <t>TC_MTDR_06</t>
  </si>
  <si>
    <t>Verify when Product “Profit Post Account Required” = Not Required and “Auto Renewal Allowed”, Profit Post Account Type field is enabled and Encashment Account Type field is disabled in MTDR Account Opening UI</t>
  </si>
  <si>
    <t>1. Navigate to MTDR Account Opening Screen.
2. Select MTDR Product having Auto Renewal Allowed. 
3. Enter required details (Customer ID, Funding Account, Deposit Amount, Tenor, etc.).
4. Select Renewal Option = Principal Balance.
5. Observe Profit Post Account and Encashment Account Type fields</t>
  </si>
  <si>
    <t xml:space="preserve">1. Product Type: MTDR (Auto Renewal Allowed = Yes)
2. Renewal Option: Principal Balance
3. Funding Account: CASA 0025020000029                  </t>
  </si>
  <si>
    <t>System automatically recognizes “Principal Balance Renewal”, disables encashment options and Profit post A/c type enable but should be not required.</t>
  </si>
  <si>
    <t>As expected, System automatically recognizes “Principal Balance Renewal” and disables encashment options but profit post A/c type is enable but not required.</t>
  </si>
  <si>
    <t>https://prnt.sc/iv50y9E0f0am</t>
  </si>
  <si>
    <t>TC_MTDR_07</t>
  </si>
  <si>
    <t>Verify when Product “Profit Post Account Required” = Required and “Auto Renewal Allowed”, Profit Post Account Type field is enabled and Encashment Account Type field is disabled in MTDR Account Opening UI</t>
  </si>
  <si>
    <t>1. Navigate to MTDR Account Opening screen.
2. Select the product (configured with Auto Renewal Allowed = Yes).
3. Enter required customer and funding details.
4. Set Renewal Option
5. Observe the field states for Profit Post Account Type and Encashment Account Type.
6. Attempt to save account without filling Profit Post Account Type and observe validation.       7. Click save.</t>
  </si>
  <si>
    <t>Profit Post Account Type field is enabled and mandatory, since profit must be paid out at each maturity cycle.</t>
  </si>
  <si>
    <t>Profit Post account is required.</t>
  </si>
  <si>
    <t>https://prnt.sc/YGqOpYLszuJP</t>
  </si>
  <si>
    <t>TC_MTDR_08</t>
  </si>
  <si>
    <t>Verify that when Profit Post A/C Type = CASA, the Profit Withdraw Payment Method field becomes mandatory in MTDR Account Opening UI</t>
  </si>
  <si>
    <t>1.Navigate to the MTDR Account Opening screen.
2.Select a product where Auto Renewal Allowed = Yes.
3.Enter the funding account details.
4.Select Profit Post A/C Type = CASA.
5.Leave the Profit Withdraw Payment Method field blank.
6. Attempt to save or proceed</t>
  </si>
  <si>
    <t>1.Renewal option: Principal Balance
2.Funding Account Type: CASA
3.Profit Post A/C Type: CASA
4.Profit Withdraw Payment Method: (Leave blank to test validation)</t>
  </si>
  <si>
    <t>Profit Withdraw Payment Method field becomes mandatory (required) immediately after selecting Profit Post A/C Type = CASA.</t>
  </si>
  <si>
    <t>Profit Withdraw Payment Method is required.</t>
  </si>
  <si>
    <t>https://prnt.sc/Bxo_xn-dwTXh</t>
  </si>
  <si>
    <t>TC_MTDR_09</t>
  </si>
  <si>
    <t>Verify that when Profit Post A/C Type = CASA, Profit Post Account is not required or displayed</t>
  </si>
  <si>
    <t>1.Navigate to the MTDR Account Opening screen.
2.Select a product with Auto Renewal Allowed = Yes.
3.Enter the funding account details.
4.Select Profit Post A/C Type = CASA.
5. Observe if any Profit Post Account field appears or is required.</t>
  </si>
  <si>
    <t>1.Renewal option: Principal Balance
2.Funding Account Type: CASA 
3.Profit Post A/C Type: CASA              4. Profit Post account :Blank   5. Profit Withdraw Payment Method:BEFTN</t>
  </si>
  <si>
    <t>the system does display or require a  Profit Post Account.</t>
  </si>
  <si>
    <t>https://prnt.sc/paD256ng_DVf</t>
  </si>
  <si>
    <t>TC_MTDR_10</t>
  </si>
  <si>
    <t>Verify MTDR account creation with Auto Renewal Allowed = Principal Balance for all Profit Withdraw Payment Methods</t>
  </si>
  <si>
    <t>1.Navigate to the MTDR Account Opening screen.
2.Select a product(711) with Auto Renewal Allowed = Yes.
3.Enter funding account details (CASA account).
4.Select Profit Post A/C Type = CASA.
5.For each option in Profit Withdraw Payment Method 
6.Select the Profit Withdraw Payment Method.
7.Complete all mandatory fields.
8.Attempt to save/submit the MTDR account.
9.Verify the account is created successfully.</t>
  </si>
  <si>
    <t xml:space="preserve">1.Renewal Option: Principal Balance
2.Funding Account Type: CASA
3.Profit Post A/C Type: CASA
4.Profit Withdraw Payment Method: BEFTN </t>
  </si>
  <si>
    <t>MTDR account should be successfully created for each payment method: BEFTN</t>
  </si>
  <si>
    <r>
      <rPr>
        <rFont val="Arial"/>
        <color rgb="FF1155CC"/>
        <u/>
      </rPr>
      <t>https://prnt.sc/CHupd_VjhiiS</t>
    </r>
    <r>
      <rPr>
        <rFont val="Arial"/>
        <color rgb="FF1155CC"/>
        <u/>
      </rPr>
      <t xml:space="preserve"> https://prnt.sc/xG7SIkbK5Dye</t>
    </r>
  </si>
  <si>
    <t xml:space="preserve">1.Renewal Option: Principal Balance
2.Funding Account Type: CASA
3.Profit Post A/C Type: CASA (0025020000409)
4.Profit Withdraw Payment Method: RTGS </t>
  </si>
  <si>
    <t>MTDR account should be successfully created for each payment method: RTGS</t>
  </si>
  <si>
    <t>Success!
Fixed deposit account created successfully. Account Number 0027110000075</t>
  </si>
  <si>
    <r>
      <rPr>
        <rFont val="Arial"/>
        <color rgb="FF1155CC"/>
        <u/>
      </rPr>
      <t>https://prnt.sc/_TfPXjnhwfps</t>
    </r>
    <r>
      <rPr>
        <rFont val="Arial"/>
        <color rgb="FF000000"/>
      </rPr>
      <t xml:space="preserve">    </t>
    </r>
    <r>
      <rPr>
        <rFont val="Arial"/>
        <color rgb="FF1155CC"/>
        <u/>
      </rPr>
      <t>https://prnt.sc/m4U3Husj7yuZ</t>
    </r>
  </si>
  <si>
    <t>1.Renewal Option: Principal Balance
2.Funding Account Type: CASA
3.Profit Post A/C Type: CASA (0025020000268)
4.Profit Withdraw Payment Method: Transfer</t>
  </si>
  <si>
    <t>MTDR account should be successfully created for each payment method: Transfer</t>
  </si>
  <si>
    <t>Fixed deposit account created successfully. Account Number 0027110000083</t>
  </si>
  <si>
    <t>https://prnt.sc/-sjuW9AZ1hyu</t>
  </si>
  <si>
    <t>1.Renewal Option: Principal Balance
2.Funding Account Type: CASA
3.Profit Post A/C Type: CASA (0023010000208)
4.Profit Withdraw Payment Method: Cheque</t>
  </si>
  <si>
    <t>MTDR account should be successfully created for each payment method: Cheque</t>
  </si>
  <si>
    <t>Success!
Fixed deposit account created successfully. Account Number 0027110000091</t>
  </si>
  <si>
    <t>https://prnt.sc/_CrwHlZh-fmE</t>
  </si>
  <si>
    <t>1.Renewal Option: Principal Balance
2.Funding Account Type: CASA
3.Profit Post A/C Type: CASA (0023010000208)
4.Profit Withdraw Payment Method: Pay order</t>
  </si>
  <si>
    <t>MTDR account should be successfully created for each payment method: pay order</t>
  </si>
  <si>
    <t>Success!
Fixed deposit account created successfully. Account Number 0027110000109</t>
  </si>
  <si>
    <t>https://prnt.sc/hzkNB_xFT-p6</t>
  </si>
  <si>
    <t>Verify MTDR Account Opening when Renewal Option = Principal Balance and Product Required = No</t>
  </si>
  <si>
    <t>rrrrrrrrrrrr</t>
  </si>
  <si>
    <t>1.Navigate to MTDR Account Opening screen.
2.Select a product where Auto Renewal Allowed and Product Required = No.
3.Enter all mandatory account and customer details.
4.Set Renewal Option
5.Verify whether product selection is skipped or optional.
6.Attempt to save/submit the account.</t>
  </si>
  <si>
    <t>1.Renewal Option: Principal Balance
2.Product:711; configuration: Product Required = No
3.Auto Renewal Allowed: Yes
4.Funding Account Type: CASA</t>
  </si>
  <si>
    <t xml:space="preserve">System allows successful creation of MTDR account. Profit post a/c type enable but profit post must  shouldn't be required. </t>
  </si>
  <si>
    <t>Success!
Fixed deposit account created successfully. Account Number 0027110000117</t>
  </si>
  <si>
    <r>
      <rPr>
        <rFont val="Arial"/>
        <color rgb="FF1155CC"/>
        <u/>
      </rPr>
      <t>https://prnt.sc/1htkOT63aed6</t>
    </r>
    <r>
      <rPr>
        <rFont val="Arial"/>
        <color rgb="FF000000"/>
      </rPr>
      <t xml:space="preserve">    </t>
    </r>
    <r>
      <rPr>
        <rFont val="Arial"/>
        <color rgb="FF1155CC"/>
        <u/>
      </rPr>
      <t>https://prnt.sc/ywycoEbbUoQe</t>
    </r>
  </si>
  <si>
    <t>TC_MTDR_11</t>
  </si>
  <si>
    <t>Verify MTDR Account Opening when Renewal Option = Principal Balance and Product Required = Yes</t>
  </si>
  <si>
    <t>1.Navigate to MTDR Account Opening screen.
2.Select a product where Auto Renewal Allowed and Product Required
3.Enter all mandatory account 
4.Set Renewal Option.
5.Ensure product selection field is displayed and marked as mandatory.
6.Select the required product.
7.Attempt to save/submit the account.</t>
  </si>
  <si>
    <t>1.Renewal Option: Principal Balance
2.Product:117; configuration: Product Required = Yes
3.Auto Renewal Allowed: Yes
4.Funding Account Type: CASA</t>
  </si>
  <si>
    <t>System allows successful creation of MTDR account. Profit post a/c type enable and Profit Post account must be required. and encashment a/c type enable but not required</t>
  </si>
  <si>
    <t>t</t>
  </si>
  <si>
    <r>
      <rPr>
        <rFont val="Arial"/>
        <color rgb="FF1155CC"/>
        <u/>
      </rPr>
      <t>https://prnt.sc/7PeFE7ffBhsZ</t>
    </r>
    <r>
      <rPr>
        <rFont val="Arial"/>
        <color rgb="FF000000"/>
      </rPr>
      <t xml:space="preserve">    </t>
    </r>
    <r>
      <rPr>
        <rFont val="Arial"/>
        <color rgb="FF1155CC"/>
        <u/>
      </rPr>
      <t>https://prnt.sc/qUqecH5D3HuS</t>
    </r>
  </si>
  <si>
    <t>TC_MTDR_12</t>
  </si>
  <si>
    <t>Verify MTDR Account Opening when Renewal Option with other amount and Product Required = No</t>
  </si>
  <si>
    <t xml:space="preserve">1.Renewal Option: Other amount
2.Product:711; configuration: Product Required = No
3.Auto Renewal Allowed: Yes             
4.Funding Account Type: CASA                                  5. Renewal principal auto set  initial depost =2000    6. Profit post a/c not required 
</t>
  </si>
  <si>
    <t>System allows successful creation of MTDR account. Profit post a/c type enable but profit post must  shouldn't be required. and encashment a/c type enable.</t>
  </si>
  <si>
    <t>Success!
Fixed deposit account created successfully. Account Number 0027110000133</t>
  </si>
  <si>
    <t>TC_MTDR_13</t>
  </si>
  <si>
    <t>Verify MTDR Account Opening when Renewal Option with other amount and Product Required = yes</t>
  </si>
  <si>
    <t>1.Navigate to MTDR Account Opening screen.
2.Select a product where Auto Renewal Allowed and Product Required = yes.
3.Enter all mandatory account and customer details.
4.Set Renewal Option
5. select profit post a/c                                                                                        
6.Attempt to save/submit the account.</t>
  </si>
  <si>
    <t xml:space="preserve">1.Renewal Option: Other amount
2.Product: 117; configuration: Product Required = No
3.Auto Renewal Allowed: Yes             
4.Funding Account Type: CASA                                  5. Renewal principal auto set  initial depost =3000    6. Profit post a/c required = 0023010000208                                                 7. Profit withdraw payment method = RTGS  8.encashment a/c type = blank
 </t>
  </si>
  <si>
    <t>System allows successful creation of MTDR account. Profit post a/c type enable but profit post must  should be required. and encashment a/c type enable.</t>
  </si>
  <si>
    <t>Success!
Fixed deposit account created successfully. Account Number 0021170000034</t>
  </si>
  <si>
    <r>
      <rPr>
        <rFont val="Arial"/>
        <color rgb="FF1155CC"/>
        <u/>
      </rPr>
      <t>https://prnt.sc/fo7pWQqHyCqo</t>
    </r>
    <r>
      <rPr>
        <rFont val="Arial"/>
        <color rgb="FF000000"/>
      </rPr>
      <t xml:space="preserve">    </t>
    </r>
    <r>
      <rPr>
        <rFont val="Arial"/>
        <color rgb="FF1155CC"/>
        <u/>
      </rPr>
      <t>https://prnt.sc/O2qG3VgllCZy</t>
    </r>
  </si>
  <si>
    <t>TC_MTDR_14</t>
  </si>
  <si>
    <t>1.Navigate to MTDR Account Opening screen.
2.Select a product where Auto Renewal Allowed and Product Required = yes.
3.Enter all mandatory account and customer details.
4.Set Renewal Option
5. select profit post a/c                          6.Select encashment a/c type                                                                                       
7.Attempt to save/submit the account.</t>
  </si>
  <si>
    <t xml:space="preserve">1.Renewal Option: Other amount
2.Product: 117; configuration: Product Required = No
3.Auto Renewal Allowed: Yes             
4.Funding Account Type: CASA                                  5. Renewal principal auto set  initial depost =5000    6. Profit post a/c required =  0025020000409                                                7. Profit withdraw payment method = Cheque   8. Encashment a/c type = 0025020000268 (CASA)
 </t>
  </si>
  <si>
    <t>Success!
Fixed deposit account created successfully. Account Number 0021170000042</t>
  </si>
  <si>
    <r>
      <rPr>
        <rFont val="Arial"/>
        <color rgb="FF1155CC"/>
        <u/>
      </rPr>
      <t>https://prnt.sc/NL4qYbYgS6A5</t>
    </r>
    <r>
      <rPr>
        <rFont val="Arial"/>
        <color rgb="FF000000"/>
      </rPr>
      <t xml:space="preserve">    </t>
    </r>
    <r>
      <rPr>
        <rFont val="Arial"/>
        <color rgb="FF1155CC"/>
        <u/>
      </rPr>
      <t>https://prnt.sc/jrAbT0z8YYfO</t>
    </r>
  </si>
  <si>
    <t>TC_MTDR_15</t>
  </si>
  <si>
    <t>Validation: Verify 'Encashment Account' is required when 'Auto Encashment' is selected.</t>
  </si>
  <si>
    <t>1. Check the Auto Encashment checkbox.
2. Ensure Encashment Account field is empty.
3. Click the Save button.</t>
  </si>
  <si>
    <t>1.Auto Encashment: Checked
2.Encashment Account: Empty</t>
  </si>
  <si>
    <t>The system displays a validation error: "Encashment Account is required." The form is not saved.</t>
  </si>
  <si>
    <t>As expected</t>
  </si>
  <si>
    <t>https://prnt.sc/tMpnIEv94m20</t>
  </si>
  <si>
    <t>TC_MTDR_16</t>
  </si>
  <si>
    <t>Functional: Verify 'Encashment Account' is not required when 'Auto Encashment' is deselected.</t>
  </si>
  <si>
    <t>1. Uncheck the Auto Encashment checkbox.
2. Ensure Encashment Account field is empty.
3. Fill in all other mandatory fields.
4. Click the Save button.</t>
  </si>
  <si>
    <t>1.Auto Encashment: Unchecked
2.Encashment Account: Empty</t>
  </si>
  <si>
    <t>The system should successfully save the form without requiring the Encashment Account.</t>
  </si>
  <si>
    <t>Success!
Fixed deposit account created successfully. Account Number 0027110000141</t>
  </si>
  <si>
    <r>
      <rPr>
        <rFont val="Arial"/>
        <color rgb="FF1155CC"/>
        <u/>
      </rPr>
      <t>https://prnt.sc/5vvoCMAuuIQD</t>
    </r>
    <r>
      <rPr>
        <rFont val="Arial"/>
        <color rgb="FF000000"/>
      </rPr>
      <t xml:space="preserve">  </t>
    </r>
    <r>
      <rPr>
        <rFont val="Arial"/>
        <color rgb="FF1155CC"/>
        <u/>
      </rPr>
      <t>https://prnt.sc/BZK4ZO9kUFcj</t>
    </r>
  </si>
  <si>
    <t>TC_MTDR_17</t>
  </si>
  <si>
    <t>Verify 'Encashment Payment Method' is required when an Encashment Account is selected and profit post not required.</t>
  </si>
  <si>
    <t>1. Ensure Auto Encashment is checked.
2. Select an Encashment A/C Type 
3. Provide a valid Encashment Account number
4. Ensure Encashment Payment Method is 'Select a Payment Method'.
5. Click the Save button.</t>
  </si>
  <si>
    <t>1. Auto Encashment: Checked
2. Encashment Account: 0023010000208
3.Encashment Payment Method: Empty/Default</t>
  </si>
  <si>
    <t>The system displays a validation error: "Encashment Payment Method is required." The form is not saved</t>
  </si>
  <si>
    <t>Encashment Payment Method is required.</t>
  </si>
  <si>
    <t>https://prnt.sc/Fzsbczpvmw6J</t>
  </si>
  <si>
    <t>TC_MTDR_18</t>
  </si>
  <si>
    <t>Verify form saves successfully when Encashment Payment Method is provided and profit post not required</t>
  </si>
  <si>
    <t>1.Encashment Account: 0023010000208
2.Encashment Payment Method: BEFTN</t>
  </si>
  <si>
    <t>The system should successfully save the form.</t>
  </si>
  <si>
    <t>Fixed deposit account created successfully. Account Number 0027110000158</t>
  </si>
  <si>
    <r>
      <rPr>
        <rFont val="Arial"/>
        <color rgb="FF1155CC"/>
        <u/>
      </rPr>
      <t>https://prnt.sc/rtDmto-eb-JN</t>
    </r>
    <r>
      <rPr>
        <rFont val="Arial"/>
        <color rgb="FF000000"/>
      </rPr>
      <t xml:space="preserve">   </t>
    </r>
    <r>
      <rPr>
        <rFont val="Arial"/>
        <color rgb="FF1155CC"/>
        <u/>
      </rPr>
      <t>https://prnt.sc/CO6jaCo7aOCB</t>
    </r>
  </si>
  <si>
    <t>1.Encashment Account: 0025020000268
2.Encashment Payment Method: RTGS</t>
  </si>
  <si>
    <t>Fixed deposit account created successfully. Account Number 0027110000166</t>
  </si>
  <si>
    <r>
      <rPr>
        <rFont val="Arial"/>
        <color rgb="FF1155CC"/>
        <u/>
      </rPr>
      <t>https://prnt.sc/vXV_tJPz5DAl</t>
    </r>
    <r>
      <rPr>
        <rFont val="Arial"/>
        <color rgb="FF000000"/>
      </rPr>
      <t xml:space="preserve">   </t>
    </r>
    <r>
      <rPr>
        <rFont val="Arial"/>
        <color rgb="FF1155CC"/>
        <u/>
      </rPr>
      <t>https://prnt.sc/f6tLmeI13h-p</t>
    </r>
  </si>
  <si>
    <t>1.Encashment Account: 0025020000409
2.Encashment Payment Method: Transfer</t>
  </si>
  <si>
    <t>Fixed deposit account created successfully. Account Number 0021110000169</t>
  </si>
  <si>
    <t>https://prnt.sc/4uFGrxyvTFde</t>
  </si>
  <si>
    <t>1.Encashment Account: 0025020000268
2.Encashment Payment Method: Cheque</t>
  </si>
  <si>
    <t>Fixed deposit account created successfully. Account Number 0027110000174</t>
  </si>
  <si>
    <t>Fixed deposit account created successfully. Account Number 0021110000177</t>
  </si>
  <si>
    <t>https://prnt.sc/Sd3nl2B-tE4Z</t>
  </si>
  <si>
    <t>Verify Profit Post A/C is required when Auto Encashment is selected</t>
  </si>
  <si>
    <t>1. Check the Auto Encashment checkbox.
2. Provide a valid Encashment Account and Payment Method.
3. Verify that the Profit Post A/C field is enabled for input.
5. Click the Save button.</t>
  </si>
  <si>
    <t xml:space="preserve">1. product select:117
2. Auto Encashment: Checked
3.Encashment A/C: 0025020000268                                                                                                               4. Encashment payment method: BEFTN
</t>
  </si>
  <si>
    <t>The Profit Post A/C field should be enabled for input and must be required field.</t>
  </si>
  <si>
    <t>Profit post A/c field is disable</t>
  </si>
  <si>
    <r>
      <rPr>
        <rFont val="Arial"/>
        <color rgb="FF1155CC"/>
        <u/>
      </rPr>
      <t>https://prnt.sc/yB8K1Nme9_hr</t>
    </r>
    <r>
      <rPr>
        <rFont val="Arial"/>
        <color rgb="FF000000"/>
        <u/>
      </rPr>
      <t xml:space="preserve">   (MITS 18399)</t>
    </r>
  </si>
  <si>
    <t xml:space="preserve">1. product select:071
2. Auto Encashment: Checked
</t>
  </si>
  <si>
    <t>Profit post A/c field is enable and not required.</t>
  </si>
  <si>
    <r>
      <rPr>
        <rFont val="Arial"/>
        <color rgb="FF1155CC"/>
        <u/>
      </rPr>
      <t>https://prnt.sc/d5WQjlPggS9U</t>
    </r>
    <r>
      <rPr>
        <rFont val="Arial"/>
        <color rgb="FF000000"/>
        <u/>
      </rPr>
      <t xml:space="preserve">    (MITS 18399)</t>
    </r>
  </si>
  <si>
    <t>TC_MTDR_19</t>
  </si>
  <si>
    <t>Verify form saves successfully when Auto Encashment is selected and all associated mandatory fields are provided</t>
  </si>
  <si>
    <t>1. Check the Auto Encashment checkbox.
2. Provide a valid Encashment A/C Type (e.g., CASA) and Encashment Account number.
3. Select a valid Encashment Payment Method 
4. Ensure the Funding Account and all other primary mandatory fields are filled.
5. Click the Save button</t>
  </si>
  <si>
    <t>1.Auto Encashment: Checked
2.Encashment A/C: 0023010000208
3.Encashment Payment Method: BEFTN   4. Profit post A/C: 0025020000268   5. Profit withdraw payment method: BEFTN</t>
  </si>
  <si>
    <t xml:space="preserve">The form should successfully save the account creation without displaying any validation errors. </t>
  </si>
  <si>
    <t>Fixed deposit account created successfully. Account Number 0027110000182</t>
  </si>
  <si>
    <t>https://prnt.sc/-D4fA5d8qCwc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</si>
</sst>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sz val="12.0"/>
      <color theme="1"/>
      <name val="Calibri"/>
    </font>
    <font/>
    <font>
      <sz val="12.0"/>
      <color theme="1"/>
      <name val="Calibri"/>
    </font>
    <font>
      <color theme="1"/>
      <name val="Arial"/>
    </font>
    <font>
      <u/>
      <color rgb="FF1155CC"/>
      <name val="Arial"/>
    </font>
    <font>
      <u/>
      <color rgb="FF0000FF"/>
      <name val="Arial"/>
    </font>
    <font>
      <u/>
      <color rgb="FF1155CC"/>
      <name val="Arial"/>
    </font>
  </fonts>
  <fills count="13">
    <fill>
      <patternFill patternType="none"/>
    </fill>
    <fill>
      <patternFill patternType="lightGray"/>
    </fill>
    <fill>
      <patternFill patternType="solid">
        <fgColor rgb="FFC6D9F0"/>
        <bgColor rgb="FFC6D9F0"/>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D8D8D8"/>
        <bgColor rgb="FFD8D8D8"/>
      </patternFill>
    </fill>
    <fill>
      <patternFill patternType="solid">
        <fgColor rgb="FFD9D9D9"/>
        <bgColor rgb="FFD9D9D9"/>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1" fillId="0" fontId="4" numFmtId="164" xfId="0" applyAlignment="1" applyBorder="1" applyFont="1" applyNumberFormat="1">
      <alignment shrinkToFit="0" vertical="center" wrapText="1"/>
    </xf>
    <xf borderId="3" fillId="2" fontId="1" numFmtId="164" xfId="0" applyAlignment="1" applyBorder="1" applyFont="1" applyNumberFormat="1">
      <alignment horizontal="center" shrinkToFit="0" vertical="center" wrapText="1"/>
    </xf>
    <xf borderId="3" fillId="0" fontId="4" numFmtId="164" xfId="0" applyAlignment="1" applyBorder="1" applyFont="1" applyNumberFormat="1">
      <alignment shrinkToFit="0" vertical="center" wrapText="1"/>
    </xf>
    <xf borderId="3" fillId="2" fontId="4" numFmtId="0" xfId="0" applyAlignment="1" applyBorder="1" applyFont="1">
      <alignment shrinkToFit="0" vertical="center" wrapText="1"/>
    </xf>
    <xf borderId="3" fillId="0" fontId="4" numFmtId="0" xfId="0" applyAlignment="1" applyBorder="1" applyFont="1">
      <alignment shrinkToFit="0" vertical="center" wrapText="1"/>
    </xf>
    <xf borderId="4" fillId="0" fontId="2" numFmtId="0" xfId="0" applyBorder="1" applyFont="1"/>
    <xf borderId="4" fillId="2" fontId="1" numFmtId="0" xfId="0" applyAlignment="1" applyBorder="1" applyFont="1">
      <alignment horizontal="center" shrinkToFit="0" vertical="center" wrapText="1"/>
    </xf>
    <xf borderId="1" fillId="2" fontId="4" numFmtId="0" xfId="0" applyAlignment="1" applyBorder="1" applyFont="1">
      <alignment shrinkToFit="0" vertical="center" wrapText="1"/>
    </xf>
    <xf borderId="0" fillId="0" fontId="4" numFmtId="0" xfId="0" applyAlignment="1" applyFont="1">
      <alignment shrinkToFit="0" vertical="center" wrapText="1"/>
    </xf>
    <xf borderId="3" fillId="3" fontId="1" numFmtId="0" xfId="0" applyAlignment="1" applyBorder="1" applyFill="1" applyFont="1">
      <alignment horizontal="center" shrinkToFit="0" vertical="center" wrapText="1"/>
    </xf>
    <xf borderId="3" fillId="4" fontId="3" numFmtId="0" xfId="0" applyAlignment="1" applyBorder="1" applyFill="1" applyFont="1">
      <alignment horizontal="center" shrinkToFit="0" vertical="center" wrapText="1"/>
    </xf>
    <xf borderId="3" fillId="5" fontId="1" numFmtId="0" xfId="0" applyAlignment="1" applyBorder="1" applyFill="1" applyFont="1">
      <alignment horizontal="center" shrinkToFit="0" vertical="center" wrapText="1"/>
    </xf>
    <xf borderId="3" fillId="6" fontId="1" numFmtId="0" xfId="0" applyAlignment="1" applyBorder="1" applyFill="1" applyFont="1">
      <alignment horizontal="center" shrinkToFit="0" vertical="center" wrapText="1"/>
    </xf>
    <xf borderId="3" fillId="4" fontId="4" numFmtId="0" xfId="0" applyAlignment="1" applyBorder="1" applyFont="1">
      <alignment shrinkToFit="0" vertical="center" wrapText="1"/>
    </xf>
    <xf borderId="1" fillId="0" fontId="4" numFmtId="0" xfId="0" applyAlignment="1" applyBorder="1" applyFont="1">
      <alignment horizontal="center" shrinkToFit="0" vertical="center" wrapText="1"/>
    </xf>
    <xf borderId="3" fillId="7" fontId="1" numFmtId="0" xfId="0" applyAlignment="1" applyBorder="1" applyFill="1" applyFont="1">
      <alignment horizontal="center" shrinkToFit="0" vertical="center" wrapText="1"/>
    </xf>
    <xf borderId="1" fillId="0" fontId="4" numFmtId="0" xfId="0" applyAlignment="1" applyBorder="1" applyFont="1">
      <alignment shrinkToFit="0" vertical="center" wrapText="1"/>
    </xf>
    <xf borderId="3" fillId="8" fontId="1" numFmtId="0" xfId="0" applyAlignment="1" applyBorder="1" applyFill="1" applyFont="1">
      <alignment horizontal="center" shrinkToFit="0" vertical="center" wrapText="1"/>
    </xf>
    <xf borderId="3" fillId="9" fontId="1"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3" fillId="10" fontId="1"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3" fillId="12" fontId="1" numFmtId="0" xfId="0" applyAlignment="1" applyBorder="1" applyFill="1" applyFont="1">
      <alignment horizontal="center" shrinkToFit="0" vertical="center" wrapText="1"/>
    </xf>
    <xf borderId="3" fillId="0" fontId="4" numFmtId="0" xfId="0" applyAlignment="1" applyBorder="1" applyFont="1">
      <alignment horizontal="center" shrinkToFit="0" vertical="center" wrapText="1"/>
    </xf>
    <xf borderId="3" fillId="0" fontId="6" numFmtId="0" xfId="0" applyAlignment="1" applyBorder="1" applyFont="1">
      <alignment shrinkToFit="0" vertical="center" wrapText="1"/>
    </xf>
    <xf borderId="3" fillId="0" fontId="7" numFmtId="0" xfId="0" applyAlignment="1" applyBorder="1" applyFont="1">
      <alignment shrinkToFit="0" vertical="center" wrapText="1"/>
    </xf>
    <xf borderId="0" fillId="0" fontId="4" numFmtId="0" xfId="0" applyAlignment="1" applyFont="1">
      <alignment shrinkToFit="0" textRotation="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rnt.sc/5vvoCMAuuIQD" TargetMode="External"/><Relationship Id="rId22" Type="http://schemas.openxmlformats.org/officeDocument/2006/relationships/hyperlink" Target="https://prnt.sc/rtDmto-eb-JN" TargetMode="External"/><Relationship Id="rId21" Type="http://schemas.openxmlformats.org/officeDocument/2006/relationships/hyperlink" Target="https://prnt.sc/Fzsbczpvmw6J" TargetMode="External"/><Relationship Id="rId24" Type="http://schemas.openxmlformats.org/officeDocument/2006/relationships/hyperlink" Target="https://prnt.sc/4uFGrxyvTFde" TargetMode="External"/><Relationship Id="rId23" Type="http://schemas.openxmlformats.org/officeDocument/2006/relationships/hyperlink" Target="https://prnt.sc/vXV_tJPz5DAl" TargetMode="External"/><Relationship Id="rId1" Type="http://schemas.openxmlformats.org/officeDocument/2006/relationships/hyperlink" Target="https://prnt.sc/BEgbWq_85UIB" TargetMode="External"/><Relationship Id="rId2" Type="http://schemas.openxmlformats.org/officeDocument/2006/relationships/hyperlink" Target="https://prnt.sc/FZSGM-lCt6_j" TargetMode="External"/><Relationship Id="rId3" Type="http://schemas.openxmlformats.org/officeDocument/2006/relationships/hyperlink" Target="https://prnt.sc/JWUxfJ02mNwy" TargetMode="External"/><Relationship Id="rId4" Type="http://schemas.openxmlformats.org/officeDocument/2006/relationships/hyperlink" Target="https://prnt.sc/QkrzQMnsfa6d" TargetMode="External"/><Relationship Id="rId9" Type="http://schemas.openxmlformats.org/officeDocument/2006/relationships/hyperlink" Target="https://prnt.sc/paD256ng_DVf" TargetMode="External"/><Relationship Id="rId26" Type="http://schemas.openxmlformats.org/officeDocument/2006/relationships/hyperlink" Target="https://prnt.sc/Sd3nl2B-tE4Z" TargetMode="External"/><Relationship Id="rId25" Type="http://schemas.openxmlformats.org/officeDocument/2006/relationships/hyperlink" Target="https://prnt.sc/4uFGrxyvTFde" TargetMode="External"/><Relationship Id="rId28" Type="http://schemas.openxmlformats.org/officeDocument/2006/relationships/hyperlink" Target="https://prnt.sc/d5WQjlPggS9U" TargetMode="External"/><Relationship Id="rId27" Type="http://schemas.openxmlformats.org/officeDocument/2006/relationships/hyperlink" Target="https://prnt.sc/yB8K1Nme9_hr" TargetMode="External"/><Relationship Id="rId5" Type="http://schemas.openxmlformats.org/officeDocument/2006/relationships/hyperlink" Target="https://prnt.sc/s0oTa0xzQE5s" TargetMode="External"/><Relationship Id="rId6" Type="http://schemas.openxmlformats.org/officeDocument/2006/relationships/hyperlink" Target="https://prnt.sc/iv50y9E0f0am" TargetMode="External"/><Relationship Id="rId29" Type="http://schemas.openxmlformats.org/officeDocument/2006/relationships/hyperlink" Target="https://prnt.sc/-D4fA5d8qCwc" TargetMode="External"/><Relationship Id="rId7" Type="http://schemas.openxmlformats.org/officeDocument/2006/relationships/hyperlink" Target="https://prnt.sc/YGqOpYLszuJP" TargetMode="External"/><Relationship Id="rId8" Type="http://schemas.openxmlformats.org/officeDocument/2006/relationships/hyperlink" Target="https://prnt.sc/Bxo_xn-dwTXh" TargetMode="External"/><Relationship Id="rId30" Type="http://schemas.openxmlformats.org/officeDocument/2006/relationships/drawing" Target="../drawings/drawing1.xml"/><Relationship Id="rId11" Type="http://schemas.openxmlformats.org/officeDocument/2006/relationships/hyperlink" Target="https://prnt.sc/_TfPXjnhwfps" TargetMode="External"/><Relationship Id="rId10" Type="http://schemas.openxmlformats.org/officeDocument/2006/relationships/hyperlink" Target="https://prnt.sc/CHupd_VjhiiS" TargetMode="External"/><Relationship Id="rId13" Type="http://schemas.openxmlformats.org/officeDocument/2006/relationships/hyperlink" Target="https://prnt.sc/_CrwHlZh-fmE" TargetMode="External"/><Relationship Id="rId12" Type="http://schemas.openxmlformats.org/officeDocument/2006/relationships/hyperlink" Target="https://prnt.sc/-sjuW9AZ1hyu" TargetMode="External"/><Relationship Id="rId15" Type="http://schemas.openxmlformats.org/officeDocument/2006/relationships/hyperlink" Target="https://prnt.sc/1htkOT63aed6" TargetMode="External"/><Relationship Id="rId14" Type="http://schemas.openxmlformats.org/officeDocument/2006/relationships/hyperlink" Target="https://prnt.sc/hzkNB_xFT-p6" TargetMode="External"/><Relationship Id="rId17" Type="http://schemas.openxmlformats.org/officeDocument/2006/relationships/hyperlink" Target="https://prnt.sc/fo7pWQqHyCqo" TargetMode="External"/><Relationship Id="rId16" Type="http://schemas.openxmlformats.org/officeDocument/2006/relationships/hyperlink" Target="https://prnt.sc/7PeFE7ffBhsZ" TargetMode="External"/><Relationship Id="rId19" Type="http://schemas.openxmlformats.org/officeDocument/2006/relationships/hyperlink" Target="https://prnt.sc/tMpnIEv94m20" TargetMode="External"/><Relationship Id="rId18" Type="http://schemas.openxmlformats.org/officeDocument/2006/relationships/hyperlink" Target="https://prnt.sc/NL4qYbYgS6A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14.13"/>
  </cols>
  <sheetData>
    <row r="1">
      <c r="A1" s="1" t="s">
        <v>0</v>
      </c>
      <c r="B1" s="2"/>
      <c r="C1" s="3" t="s">
        <v>1</v>
      </c>
      <c r="D1" s="4" t="s">
        <v>2</v>
      </c>
      <c r="E1" s="5"/>
      <c r="F1" s="2"/>
      <c r="G1" s="6" t="s">
        <v>3</v>
      </c>
      <c r="H1" s="7"/>
      <c r="I1" s="8"/>
      <c r="J1" s="9"/>
      <c r="K1" s="1" t="s">
        <v>4</v>
      </c>
      <c r="L1" s="10"/>
      <c r="M1" s="11" t="s">
        <v>5</v>
      </c>
      <c r="N1" s="2"/>
      <c r="O1" s="1" t="s">
        <v>6</v>
      </c>
      <c r="P1" s="2"/>
      <c r="Q1" s="12"/>
      <c r="R1" s="2"/>
      <c r="S1" s="9"/>
      <c r="T1" s="13"/>
      <c r="U1" s="13"/>
      <c r="V1" s="13"/>
      <c r="W1" s="13"/>
      <c r="X1" s="13"/>
      <c r="Y1" s="13"/>
      <c r="Z1" s="13"/>
      <c r="AA1" s="13"/>
      <c r="AB1" s="13"/>
      <c r="AC1" s="13"/>
      <c r="AD1" s="13"/>
      <c r="AE1" s="13"/>
      <c r="AF1" s="13"/>
      <c r="AG1" s="13"/>
    </row>
    <row r="2">
      <c r="A2" s="1" t="s">
        <v>7</v>
      </c>
      <c r="B2" s="2"/>
      <c r="C2" s="9"/>
      <c r="D2" s="4" t="s">
        <v>8</v>
      </c>
      <c r="E2" s="5"/>
      <c r="F2" s="2"/>
      <c r="G2" s="6" t="s">
        <v>9</v>
      </c>
      <c r="H2" s="7"/>
      <c r="I2" s="8"/>
      <c r="J2" s="9"/>
      <c r="K2" s="14" t="s">
        <v>10</v>
      </c>
      <c r="L2" s="15">
        <f>COUNTIF(K7:K1001, "PASS")</f>
        <v>28</v>
      </c>
      <c r="M2" s="16" t="s">
        <v>11</v>
      </c>
      <c r="N2" s="15">
        <f>COUNTIF(M7:M1001, "Critical")</f>
        <v>0</v>
      </c>
      <c r="O2" s="17" t="s">
        <v>12</v>
      </c>
      <c r="P2" s="15">
        <f>COUNTIF(N6:N1000, "High")</f>
        <v>0</v>
      </c>
      <c r="Q2" s="12"/>
      <c r="R2" s="2"/>
      <c r="S2" s="9"/>
      <c r="T2" s="13"/>
      <c r="U2" s="13"/>
      <c r="V2" s="13"/>
      <c r="W2" s="13"/>
      <c r="X2" s="13"/>
      <c r="Y2" s="13"/>
      <c r="Z2" s="13"/>
      <c r="AA2" s="13"/>
      <c r="AB2" s="13"/>
      <c r="AC2" s="13"/>
      <c r="AD2" s="13"/>
      <c r="AE2" s="13"/>
      <c r="AF2" s="13"/>
      <c r="AG2" s="13"/>
    </row>
    <row r="3">
      <c r="A3" s="1" t="s">
        <v>13</v>
      </c>
      <c r="B3" s="2"/>
      <c r="C3" s="18" t="s">
        <v>14</v>
      </c>
      <c r="D3" s="4" t="s">
        <v>15</v>
      </c>
      <c r="E3" s="19" t="s">
        <v>16</v>
      </c>
      <c r="F3" s="2"/>
      <c r="G3" s="8"/>
      <c r="H3" s="9"/>
      <c r="I3" s="8"/>
      <c r="J3" s="9"/>
      <c r="K3" s="16" t="s">
        <v>17</v>
      </c>
      <c r="L3" s="15">
        <f>COUNTIF(K7:K1001, "FAIL")</f>
        <v>2</v>
      </c>
      <c r="M3" s="17" t="s">
        <v>12</v>
      </c>
      <c r="N3" s="15">
        <f>COUNTIF(M7:M1001, "High")</f>
        <v>0</v>
      </c>
      <c r="O3" s="20" t="s">
        <v>18</v>
      </c>
      <c r="P3" s="15">
        <f>COUNTIF(N6:N1000, "Medium")</f>
        <v>0</v>
      </c>
      <c r="Q3" s="12"/>
      <c r="R3" s="2"/>
      <c r="S3" s="9"/>
      <c r="T3" s="13"/>
      <c r="U3" s="13"/>
      <c r="V3" s="13"/>
      <c r="W3" s="13"/>
      <c r="X3" s="13"/>
      <c r="Y3" s="13"/>
      <c r="Z3" s="13"/>
      <c r="AA3" s="13"/>
      <c r="AB3" s="13"/>
      <c r="AC3" s="13"/>
      <c r="AD3" s="13"/>
      <c r="AE3" s="13"/>
      <c r="AF3" s="13"/>
      <c r="AG3" s="13"/>
    </row>
    <row r="4">
      <c r="A4" s="1" t="s">
        <v>19</v>
      </c>
      <c r="B4" s="2"/>
      <c r="C4" s="18"/>
      <c r="D4" s="4" t="s">
        <v>20</v>
      </c>
      <c r="E4" s="21"/>
      <c r="F4" s="2"/>
      <c r="G4" s="8"/>
      <c r="H4" s="9"/>
      <c r="I4" s="8"/>
      <c r="J4" s="9"/>
      <c r="K4" s="22" t="s">
        <v>21</v>
      </c>
      <c r="L4" s="15">
        <f>COUNTIF(K7:K1001, "NT")</f>
        <v>0</v>
      </c>
      <c r="M4" s="20" t="s">
        <v>18</v>
      </c>
      <c r="N4" s="15">
        <f>COUNTIF(M7:M1001, "Medium")</f>
        <v>0</v>
      </c>
      <c r="O4" s="23" t="s">
        <v>22</v>
      </c>
      <c r="P4" s="15">
        <f>COUNTIF(N6:N1001, "Low")</f>
        <v>0</v>
      </c>
      <c r="Q4" s="12"/>
      <c r="R4" s="2"/>
      <c r="S4" s="9"/>
      <c r="T4" s="13"/>
      <c r="U4" s="13"/>
      <c r="V4" s="13"/>
      <c r="W4" s="13"/>
      <c r="X4" s="13"/>
      <c r="Y4" s="13"/>
      <c r="Z4" s="13"/>
      <c r="AA4" s="13"/>
      <c r="AB4" s="13"/>
      <c r="AC4" s="13"/>
      <c r="AD4" s="13"/>
      <c r="AE4" s="13"/>
      <c r="AF4" s="13"/>
      <c r="AG4" s="13"/>
    </row>
    <row r="5">
      <c r="A5" s="1" t="s">
        <v>23</v>
      </c>
      <c r="B5" s="2"/>
      <c r="C5" s="18"/>
      <c r="D5" s="4" t="s">
        <v>24</v>
      </c>
      <c r="E5" s="24">
        <v>17245.0</v>
      </c>
      <c r="F5" s="2"/>
      <c r="G5" s="8"/>
      <c r="H5" s="9"/>
      <c r="I5" s="8"/>
      <c r="J5" s="9"/>
      <c r="K5" s="25" t="s">
        <v>25</v>
      </c>
      <c r="L5" s="15">
        <f>SUM(L2,L3,L4)</f>
        <v>30</v>
      </c>
      <c r="M5" s="23" t="s">
        <v>22</v>
      </c>
      <c r="N5" s="15">
        <f>COUNTIF(M7:M1002, "Low")</f>
        <v>0</v>
      </c>
      <c r="O5" s="26" t="s">
        <v>26</v>
      </c>
      <c r="P5" s="15">
        <f>COUNTIF(P7:P1001, "Accepted")</f>
        <v>0</v>
      </c>
      <c r="Q5" s="12"/>
      <c r="R5" s="2"/>
      <c r="S5" s="9"/>
      <c r="T5" s="13"/>
      <c r="U5" s="13"/>
      <c r="V5" s="13"/>
      <c r="W5" s="13"/>
      <c r="X5" s="13"/>
      <c r="Y5" s="13"/>
      <c r="Z5" s="13"/>
      <c r="AA5" s="13"/>
      <c r="AB5" s="13"/>
      <c r="AC5" s="13"/>
      <c r="AD5" s="13"/>
      <c r="AE5" s="13"/>
      <c r="AF5" s="13"/>
      <c r="AG5" s="13"/>
    </row>
    <row r="6">
      <c r="A6" s="27" t="s">
        <v>27</v>
      </c>
      <c r="B6" s="27" t="s">
        <v>28</v>
      </c>
      <c r="C6" s="27" t="s">
        <v>29</v>
      </c>
      <c r="D6" s="27" t="s">
        <v>30</v>
      </c>
      <c r="E6" s="27" t="s">
        <v>31</v>
      </c>
      <c r="F6" s="27" t="s">
        <v>32</v>
      </c>
      <c r="G6" s="27" t="s">
        <v>33</v>
      </c>
      <c r="H6" s="27" t="s">
        <v>34</v>
      </c>
      <c r="I6" s="27" t="s">
        <v>35</v>
      </c>
      <c r="J6" s="27" t="s">
        <v>36</v>
      </c>
      <c r="K6" s="28" t="s">
        <v>37</v>
      </c>
      <c r="L6" s="28" t="s">
        <v>38</v>
      </c>
      <c r="M6" s="27" t="s">
        <v>5</v>
      </c>
      <c r="N6" s="27" t="s">
        <v>6</v>
      </c>
      <c r="O6" s="27" t="s">
        <v>39</v>
      </c>
      <c r="P6" s="28" t="s">
        <v>40</v>
      </c>
      <c r="Q6" s="28" t="s">
        <v>41</v>
      </c>
      <c r="R6" s="28" t="s">
        <v>42</v>
      </c>
      <c r="S6" s="28" t="s">
        <v>43</v>
      </c>
      <c r="T6" s="13"/>
      <c r="U6" s="13"/>
      <c r="V6" s="13"/>
      <c r="W6" s="13"/>
      <c r="X6" s="13"/>
      <c r="Y6" s="13"/>
      <c r="Z6" s="13"/>
      <c r="AA6" s="13"/>
      <c r="AB6" s="13"/>
      <c r="AC6" s="13"/>
      <c r="AD6" s="13"/>
      <c r="AE6" s="13"/>
      <c r="AF6" s="13"/>
      <c r="AG6" s="13"/>
    </row>
    <row r="7">
      <c r="A7" s="9"/>
      <c r="B7" s="9"/>
      <c r="C7" s="3" t="s">
        <v>44</v>
      </c>
      <c r="D7" s="9" t="s">
        <v>45</v>
      </c>
      <c r="E7" s="29" t="s">
        <v>46</v>
      </c>
      <c r="F7" s="9"/>
      <c r="G7" s="9" t="s">
        <v>47</v>
      </c>
      <c r="H7" s="9" t="s">
        <v>48</v>
      </c>
      <c r="I7" s="9" t="s">
        <v>49</v>
      </c>
      <c r="J7" s="13" t="s">
        <v>50</v>
      </c>
      <c r="K7" s="14" t="s">
        <v>10</v>
      </c>
      <c r="L7" s="9"/>
      <c r="M7" s="9"/>
      <c r="N7" s="9"/>
      <c r="O7" s="30" t="s">
        <v>51</v>
      </c>
      <c r="P7" s="9"/>
      <c r="Q7" s="9"/>
      <c r="R7" s="9"/>
      <c r="S7" s="14" t="s">
        <v>10</v>
      </c>
      <c r="T7" s="13"/>
      <c r="U7" s="13"/>
      <c r="V7" s="13"/>
      <c r="W7" s="13"/>
      <c r="X7" s="13"/>
      <c r="Y7" s="13"/>
      <c r="Z7" s="13"/>
      <c r="AA7" s="13"/>
      <c r="AB7" s="13"/>
      <c r="AC7" s="13"/>
      <c r="AD7" s="13"/>
      <c r="AE7" s="13"/>
      <c r="AF7" s="13"/>
      <c r="AG7" s="13"/>
    </row>
    <row r="8">
      <c r="A8" s="9"/>
      <c r="B8" s="9"/>
      <c r="C8" s="3" t="s">
        <v>52</v>
      </c>
      <c r="D8" s="9" t="s">
        <v>53</v>
      </c>
      <c r="E8" s="29" t="s">
        <v>46</v>
      </c>
      <c r="F8" s="9"/>
      <c r="G8" s="9" t="s">
        <v>54</v>
      </c>
      <c r="H8" s="9" t="s">
        <v>55</v>
      </c>
      <c r="I8" s="9" t="s">
        <v>56</v>
      </c>
      <c r="J8" s="9" t="s">
        <v>57</v>
      </c>
      <c r="K8" s="14" t="s">
        <v>10</v>
      </c>
      <c r="L8" s="9"/>
      <c r="M8" s="9"/>
      <c r="N8" s="9"/>
      <c r="O8" s="31" t="s">
        <v>58</v>
      </c>
      <c r="P8" s="9"/>
      <c r="Q8" s="9"/>
      <c r="R8" s="9"/>
      <c r="S8" s="9"/>
      <c r="T8" s="13"/>
      <c r="U8" s="13"/>
      <c r="V8" s="13"/>
      <c r="W8" s="13"/>
      <c r="X8" s="13"/>
      <c r="Y8" s="13"/>
      <c r="Z8" s="13"/>
      <c r="AA8" s="13"/>
      <c r="AB8" s="13"/>
      <c r="AC8" s="13"/>
      <c r="AD8" s="13"/>
      <c r="AE8" s="13"/>
      <c r="AF8" s="13"/>
      <c r="AG8" s="13"/>
    </row>
    <row r="9">
      <c r="A9" s="9"/>
      <c r="B9" s="9"/>
      <c r="C9" s="3" t="s">
        <v>59</v>
      </c>
      <c r="D9" s="9" t="s">
        <v>60</v>
      </c>
      <c r="E9" s="29" t="s">
        <v>46</v>
      </c>
      <c r="F9" s="9"/>
      <c r="G9" s="9" t="s">
        <v>61</v>
      </c>
      <c r="H9" s="9" t="s">
        <v>62</v>
      </c>
      <c r="I9" s="9" t="s">
        <v>63</v>
      </c>
      <c r="J9" s="9" t="s">
        <v>64</v>
      </c>
      <c r="K9" s="14" t="s">
        <v>10</v>
      </c>
      <c r="L9" s="9"/>
      <c r="M9" s="9"/>
      <c r="N9" s="9"/>
      <c r="O9" s="31" t="s">
        <v>65</v>
      </c>
      <c r="P9" s="9"/>
      <c r="Q9" s="9"/>
      <c r="R9" s="9"/>
      <c r="S9" s="9"/>
      <c r="T9" s="13"/>
      <c r="U9" s="13"/>
      <c r="V9" s="13"/>
      <c r="W9" s="13"/>
      <c r="X9" s="13"/>
      <c r="Y9" s="13"/>
      <c r="Z9" s="13"/>
      <c r="AA9" s="13"/>
      <c r="AB9" s="13"/>
      <c r="AC9" s="13"/>
      <c r="AD9" s="13"/>
      <c r="AE9" s="13"/>
      <c r="AF9" s="13"/>
      <c r="AG9" s="13"/>
    </row>
    <row r="10">
      <c r="A10" s="9"/>
      <c r="B10" s="9"/>
      <c r="C10" s="3" t="s">
        <v>66</v>
      </c>
      <c r="D10" s="9" t="s">
        <v>67</v>
      </c>
      <c r="E10" s="9"/>
      <c r="F10" s="9"/>
      <c r="G10" s="9" t="s">
        <v>68</v>
      </c>
      <c r="H10" s="9" t="s">
        <v>69</v>
      </c>
      <c r="I10" s="9" t="s">
        <v>70</v>
      </c>
      <c r="J10" s="9" t="s">
        <v>57</v>
      </c>
      <c r="K10" s="14" t="s">
        <v>10</v>
      </c>
      <c r="L10" s="9"/>
      <c r="M10" s="9"/>
      <c r="N10" s="9"/>
      <c r="O10" s="31" t="s">
        <v>71</v>
      </c>
      <c r="P10" s="9"/>
      <c r="Q10" s="9"/>
      <c r="R10" s="9"/>
      <c r="S10" s="9"/>
      <c r="T10" s="13"/>
      <c r="U10" s="13"/>
      <c r="V10" s="13"/>
      <c r="W10" s="13"/>
      <c r="X10" s="13"/>
      <c r="Y10" s="13"/>
      <c r="Z10" s="13"/>
      <c r="AA10" s="13"/>
      <c r="AB10" s="13"/>
      <c r="AC10" s="13"/>
      <c r="AD10" s="13"/>
      <c r="AE10" s="13"/>
      <c r="AF10" s="13"/>
      <c r="AG10" s="13"/>
    </row>
    <row r="11">
      <c r="A11" s="9"/>
      <c r="B11" s="9"/>
      <c r="C11" s="3" t="s">
        <v>72</v>
      </c>
      <c r="D11" s="9" t="s">
        <v>73</v>
      </c>
      <c r="E11" s="29" t="s">
        <v>46</v>
      </c>
      <c r="F11" s="9"/>
      <c r="G11" s="9" t="s">
        <v>74</v>
      </c>
      <c r="H11" s="9" t="s">
        <v>75</v>
      </c>
      <c r="I11" s="9" t="s">
        <v>76</v>
      </c>
      <c r="J11" s="9" t="s">
        <v>77</v>
      </c>
      <c r="K11" s="14" t="s">
        <v>10</v>
      </c>
      <c r="L11" s="9"/>
      <c r="M11" s="9"/>
      <c r="N11" s="9"/>
      <c r="O11" s="31" t="s">
        <v>78</v>
      </c>
      <c r="P11" s="9"/>
      <c r="Q11" s="9"/>
      <c r="R11" s="9"/>
      <c r="S11" s="9"/>
      <c r="T11" s="13"/>
      <c r="U11" s="13"/>
      <c r="V11" s="13"/>
      <c r="W11" s="13"/>
      <c r="X11" s="13"/>
      <c r="Y11" s="13"/>
      <c r="Z11" s="13"/>
      <c r="AA11" s="13"/>
      <c r="AB11" s="13"/>
      <c r="AC11" s="13"/>
      <c r="AD11" s="13"/>
      <c r="AE11" s="13"/>
      <c r="AF11" s="13"/>
      <c r="AG11" s="13"/>
    </row>
    <row r="12">
      <c r="A12" s="9"/>
      <c r="B12" s="9"/>
      <c r="C12" s="3" t="s">
        <v>79</v>
      </c>
      <c r="D12" s="9" t="s">
        <v>80</v>
      </c>
      <c r="E12" s="29" t="s">
        <v>46</v>
      </c>
      <c r="F12" s="9"/>
      <c r="G12" s="9" t="s">
        <v>81</v>
      </c>
      <c r="H12" s="9" t="s">
        <v>82</v>
      </c>
      <c r="I12" s="9" t="s">
        <v>83</v>
      </c>
      <c r="J12" s="13" t="s">
        <v>84</v>
      </c>
      <c r="K12" s="14" t="s">
        <v>10</v>
      </c>
      <c r="L12" s="9"/>
      <c r="M12" s="9"/>
      <c r="N12" s="9"/>
      <c r="O12" s="31" t="s">
        <v>85</v>
      </c>
      <c r="P12" s="9"/>
      <c r="Q12" s="9"/>
      <c r="R12" s="9"/>
      <c r="S12" s="9"/>
      <c r="T12" s="13"/>
      <c r="U12" s="13"/>
      <c r="V12" s="13"/>
      <c r="W12" s="13"/>
      <c r="X12" s="13"/>
      <c r="Y12" s="13"/>
      <c r="Z12" s="13"/>
      <c r="AA12" s="13"/>
      <c r="AB12" s="13"/>
      <c r="AC12" s="13"/>
      <c r="AD12" s="13"/>
      <c r="AE12" s="13"/>
      <c r="AF12" s="13"/>
      <c r="AG12" s="13"/>
    </row>
    <row r="13">
      <c r="A13" s="9"/>
      <c r="B13" s="9"/>
      <c r="C13" s="3" t="s">
        <v>86</v>
      </c>
      <c r="D13" s="9" t="s">
        <v>87</v>
      </c>
      <c r="E13" s="29" t="s">
        <v>46</v>
      </c>
      <c r="F13" s="9"/>
      <c r="G13" s="9" t="s">
        <v>88</v>
      </c>
      <c r="H13" s="9" t="s">
        <v>82</v>
      </c>
      <c r="I13" s="9" t="s">
        <v>89</v>
      </c>
      <c r="J13" s="9" t="s">
        <v>90</v>
      </c>
      <c r="K13" s="14" t="s">
        <v>10</v>
      </c>
      <c r="L13" s="9"/>
      <c r="M13" s="9"/>
      <c r="N13" s="9"/>
      <c r="O13" s="31" t="s">
        <v>91</v>
      </c>
      <c r="P13" s="9"/>
      <c r="Q13" s="9"/>
      <c r="R13" s="9"/>
      <c r="S13" s="9"/>
      <c r="T13" s="13"/>
      <c r="U13" s="13"/>
      <c r="V13" s="13"/>
      <c r="W13" s="13"/>
      <c r="X13" s="13"/>
      <c r="Y13" s="13"/>
      <c r="Z13" s="13"/>
      <c r="AA13" s="13"/>
      <c r="AB13" s="13"/>
      <c r="AC13" s="13"/>
      <c r="AD13" s="13"/>
      <c r="AE13" s="13"/>
      <c r="AF13" s="13"/>
      <c r="AG13" s="13"/>
    </row>
    <row r="14">
      <c r="A14" s="9"/>
      <c r="B14" s="9"/>
      <c r="C14" s="3" t="s">
        <v>92</v>
      </c>
      <c r="D14" s="9" t="s">
        <v>93</v>
      </c>
      <c r="E14" s="29" t="s">
        <v>46</v>
      </c>
      <c r="F14" s="9"/>
      <c r="G14" s="9" t="s">
        <v>94</v>
      </c>
      <c r="H14" s="9" t="s">
        <v>95</v>
      </c>
      <c r="I14" s="9" t="s">
        <v>96</v>
      </c>
      <c r="J14" s="9" t="s">
        <v>97</v>
      </c>
      <c r="K14" s="14" t="s">
        <v>10</v>
      </c>
      <c r="L14" s="9"/>
      <c r="M14" s="9"/>
      <c r="N14" s="9"/>
      <c r="O14" s="31" t="s">
        <v>98</v>
      </c>
      <c r="P14" s="9"/>
      <c r="Q14" s="9"/>
      <c r="R14" s="9"/>
      <c r="S14" s="9"/>
      <c r="T14" s="13"/>
      <c r="U14" s="13"/>
      <c r="V14" s="13"/>
      <c r="W14" s="13"/>
      <c r="X14" s="13"/>
      <c r="Y14" s="13"/>
      <c r="Z14" s="13"/>
      <c r="AA14" s="13"/>
      <c r="AB14" s="13"/>
      <c r="AC14" s="13"/>
      <c r="AD14" s="13"/>
      <c r="AE14" s="13"/>
      <c r="AF14" s="13"/>
      <c r="AG14" s="13"/>
    </row>
    <row r="15">
      <c r="A15" s="9"/>
      <c r="B15" s="9"/>
      <c r="C15" s="3" t="s">
        <v>99</v>
      </c>
      <c r="D15" s="9" t="s">
        <v>100</v>
      </c>
      <c r="E15" s="29" t="s">
        <v>46</v>
      </c>
      <c r="F15" s="9"/>
      <c r="G15" s="9" t="s">
        <v>101</v>
      </c>
      <c r="H15" s="9" t="s">
        <v>102</v>
      </c>
      <c r="I15" s="9" t="s">
        <v>103</v>
      </c>
      <c r="J15" s="9" t="s">
        <v>90</v>
      </c>
      <c r="K15" s="14" t="s">
        <v>10</v>
      </c>
      <c r="L15" s="9"/>
      <c r="M15" s="9"/>
      <c r="N15" s="9"/>
      <c r="O15" s="31" t="s">
        <v>104</v>
      </c>
      <c r="P15" s="9"/>
      <c r="Q15" s="9"/>
      <c r="R15" s="9"/>
      <c r="S15" s="9"/>
      <c r="T15" s="13"/>
      <c r="U15" s="13"/>
      <c r="V15" s="13"/>
      <c r="W15" s="13"/>
      <c r="X15" s="13"/>
      <c r="Y15" s="13"/>
      <c r="Z15" s="13"/>
      <c r="AA15" s="13"/>
      <c r="AB15" s="13"/>
      <c r="AC15" s="13"/>
      <c r="AD15" s="13"/>
      <c r="AE15" s="13"/>
      <c r="AF15" s="13"/>
      <c r="AG15" s="13"/>
    </row>
    <row r="16">
      <c r="A16" s="9"/>
      <c r="B16" s="9"/>
      <c r="C16" s="3" t="s">
        <v>105</v>
      </c>
      <c r="D16" s="9" t="s">
        <v>106</v>
      </c>
      <c r="E16" s="29" t="s">
        <v>46</v>
      </c>
      <c r="F16" s="9"/>
      <c r="G16" s="9" t="s">
        <v>107</v>
      </c>
      <c r="H16" s="9" t="s">
        <v>108</v>
      </c>
      <c r="I16" s="9" t="s">
        <v>109</v>
      </c>
      <c r="J16" s="9" t="s">
        <v>57</v>
      </c>
      <c r="K16" s="14" t="s">
        <v>10</v>
      </c>
      <c r="L16" s="9"/>
      <c r="M16" s="9"/>
      <c r="N16" s="9"/>
      <c r="O16" s="31" t="s">
        <v>110</v>
      </c>
      <c r="P16" s="9"/>
      <c r="Q16" s="9"/>
      <c r="R16" s="9"/>
      <c r="S16" s="9"/>
      <c r="T16" s="13"/>
      <c r="U16" s="13"/>
      <c r="V16" s="13"/>
      <c r="W16" s="13"/>
      <c r="X16" s="13"/>
      <c r="Y16" s="13"/>
      <c r="Z16" s="13"/>
      <c r="AA16" s="13"/>
      <c r="AB16" s="13"/>
      <c r="AC16" s="13"/>
      <c r="AD16" s="13"/>
      <c r="AE16" s="13"/>
      <c r="AF16" s="13"/>
      <c r="AG16" s="13"/>
    </row>
    <row r="17">
      <c r="A17" s="9"/>
      <c r="B17" s="9"/>
      <c r="C17" s="9"/>
      <c r="D17" s="9"/>
      <c r="E17" s="9"/>
      <c r="F17" s="9"/>
      <c r="G17" s="9" t="s">
        <v>107</v>
      </c>
      <c r="H17" s="9" t="s">
        <v>111</v>
      </c>
      <c r="I17" s="9" t="s">
        <v>112</v>
      </c>
      <c r="J17" s="9" t="s">
        <v>113</v>
      </c>
      <c r="K17" s="14" t="s">
        <v>10</v>
      </c>
      <c r="L17" s="9"/>
      <c r="M17" s="9"/>
      <c r="N17" s="9"/>
      <c r="O17" s="30" t="s">
        <v>114</v>
      </c>
      <c r="P17" s="9"/>
      <c r="Q17" s="9"/>
      <c r="R17" s="9"/>
      <c r="S17" s="9"/>
      <c r="T17" s="13"/>
      <c r="U17" s="13"/>
      <c r="V17" s="13"/>
      <c r="W17" s="13"/>
      <c r="X17" s="13"/>
      <c r="Y17" s="13"/>
      <c r="Z17" s="13"/>
      <c r="AA17" s="13"/>
      <c r="AB17" s="13"/>
      <c r="AC17" s="13"/>
      <c r="AD17" s="13"/>
      <c r="AE17" s="13"/>
      <c r="AF17" s="13"/>
      <c r="AG17" s="13"/>
    </row>
    <row r="18">
      <c r="A18" s="9"/>
      <c r="B18" s="9"/>
      <c r="C18" s="9"/>
      <c r="D18" s="9"/>
      <c r="E18" s="9"/>
      <c r="F18" s="9"/>
      <c r="G18" s="9" t="s">
        <v>107</v>
      </c>
      <c r="H18" s="9" t="s">
        <v>115</v>
      </c>
      <c r="I18" s="9" t="s">
        <v>116</v>
      </c>
      <c r="J18" s="9" t="s">
        <v>117</v>
      </c>
      <c r="K18" s="14" t="s">
        <v>10</v>
      </c>
      <c r="L18" s="9"/>
      <c r="M18" s="9"/>
      <c r="N18" s="9"/>
      <c r="O18" s="31" t="s">
        <v>118</v>
      </c>
      <c r="P18" s="9"/>
      <c r="Q18" s="9"/>
      <c r="R18" s="9"/>
      <c r="S18" s="9"/>
      <c r="T18" s="13"/>
      <c r="U18" s="13"/>
      <c r="V18" s="13"/>
      <c r="W18" s="13"/>
      <c r="X18" s="13"/>
      <c r="Y18" s="13"/>
      <c r="Z18" s="13"/>
      <c r="AA18" s="13"/>
      <c r="AB18" s="13"/>
      <c r="AC18" s="13"/>
      <c r="AD18" s="13"/>
      <c r="AE18" s="13"/>
      <c r="AF18" s="13"/>
      <c r="AG18" s="13"/>
    </row>
    <row r="19">
      <c r="A19" s="9"/>
      <c r="B19" s="9"/>
      <c r="C19" s="9"/>
      <c r="D19" s="9"/>
      <c r="E19" s="9"/>
      <c r="F19" s="9"/>
      <c r="G19" s="9" t="s">
        <v>107</v>
      </c>
      <c r="H19" s="9" t="s">
        <v>119</v>
      </c>
      <c r="I19" s="9" t="s">
        <v>120</v>
      </c>
      <c r="J19" s="9" t="s">
        <v>121</v>
      </c>
      <c r="K19" s="14" t="s">
        <v>10</v>
      </c>
      <c r="L19" s="9"/>
      <c r="M19" s="9"/>
      <c r="N19" s="9"/>
      <c r="O19" s="31" t="s">
        <v>122</v>
      </c>
      <c r="P19" s="9"/>
      <c r="Q19" s="9"/>
      <c r="R19" s="9"/>
      <c r="S19" s="9"/>
      <c r="T19" s="13"/>
      <c r="U19" s="13"/>
      <c r="V19" s="13"/>
      <c r="W19" s="13"/>
      <c r="X19" s="13"/>
      <c r="Y19" s="13"/>
      <c r="Z19" s="13"/>
      <c r="AA19" s="13"/>
      <c r="AB19" s="13"/>
      <c r="AC19" s="13"/>
      <c r="AD19" s="13"/>
      <c r="AE19" s="13"/>
      <c r="AF19" s="13"/>
      <c r="AG19" s="13"/>
    </row>
    <row r="20">
      <c r="A20" s="9"/>
      <c r="B20" s="9"/>
      <c r="C20" s="9"/>
      <c r="D20" s="9"/>
      <c r="E20" s="9"/>
      <c r="F20" s="9"/>
      <c r="G20" s="9" t="s">
        <v>107</v>
      </c>
      <c r="H20" s="9" t="s">
        <v>123</v>
      </c>
      <c r="I20" s="9" t="s">
        <v>124</v>
      </c>
      <c r="J20" s="9" t="s">
        <v>125</v>
      </c>
      <c r="K20" s="14" t="s">
        <v>10</v>
      </c>
      <c r="L20" s="9"/>
      <c r="M20" s="9"/>
      <c r="N20" s="9"/>
      <c r="O20" s="31" t="s">
        <v>126</v>
      </c>
      <c r="P20" s="9"/>
      <c r="Q20" s="9"/>
      <c r="R20" s="9"/>
      <c r="S20" s="9"/>
      <c r="T20" s="13"/>
      <c r="U20" s="13"/>
      <c r="V20" s="13"/>
      <c r="W20" s="13"/>
      <c r="X20" s="13"/>
      <c r="Y20" s="13"/>
      <c r="Z20" s="13"/>
      <c r="AA20" s="13"/>
      <c r="AB20" s="13"/>
      <c r="AC20" s="13"/>
      <c r="AD20" s="13"/>
      <c r="AE20" s="13"/>
      <c r="AF20" s="13"/>
      <c r="AG20" s="13"/>
    </row>
    <row r="21">
      <c r="A21" s="9"/>
      <c r="B21" s="9"/>
      <c r="C21" s="3" t="s">
        <v>105</v>
      </c>
      <c r="D21" s="9" t="s">
        <v>127</v>
      </c>
      <c r="E21" s="29" t="s">
        <v>46</v>
      </c>
      <c r="F21" s="9" t="s">
        <v>128</v>
      </c>
      <c r="G21" s="9" t="s">
        <v>129</v>
      </c>
      <c r="H21" s="9" t="s">
        <v>130</v>
      </c>
      <c r="I21" s="9" t="s">
        <v>131</v>
      </c>
      <c r="J21" s="9" t="s">
        <v>132</v>
      </c>
      <c r="K21" s="14" t="s">
        <v>10</v>
      </c>
      <c r="L21" s="9"/>
      <c r="M21" s="9"/>
      <c r="N21" s="9"/>
      <c r="O21" s="30" t="s">
        <v>133</v>
      </c>
      <c r="P21" s="9"/>
      <c r="Q21" s="9"/>
      <c r="R21" s="9"/>
      <c r="S21" s="9"/>
      <c r="T21" s="13"/>
      <c r="U21" s="13"/>
      <c r="V21" s="13"/>
      <c r="W21" s="13"/>
      <c r="X21" s="13"/>
      <c r="Y21" s="13"/>
      <c r="Z21" s="13"/>
      <c r="AA21" s="13"/>
      <c r="AB21" s="13"/>
      <c r="AC21" s="13"/>
      <c r="AD21" s="13"/>
      <c r="AE21" s="13"/>
      <c r="AF21" s="13"/>
      <c r="AG21" s="13"/>
    </row>
    <row r="22">
      <c r="A22" s="9"/>
      <c r="B22" s="9"/>
      <c r="C22" s="3" t="s">
        <v>134</v>
      </c>
      <c r="D22" s="9" t="s">
        <v>135</v>
      </c>
      <c r="E22" s="29" t="s">
        <v>46</v>
      </c>
      <c r="F22" s="9"/>
      <c r="G22" s="9" t="s">
        <v>136</v>
      </c>
      <c r="H22" s="9" t="s">
        <v>137</v>
      </c>
      <c r="I22" s="9" t="s">
        <v>138</v>
      </c>
      <c r="J22" s="9" t="s">
        <v>139</v>
      </c>
      <c r="K22" s="14" t="s">
        <v>10</v>
      </c>
      <c r="L22" s="9"/>
      <c r="M22" s="9"/>
      <c r="N22" s="9"/>
      <c r="O22" s="30" t="s">
        <v>140</v>
      </c>
      <c r="P22" s="9"/>
      <c r="Q22" s="9"/>
      <c r="R22" s="9"/>
      <c r="S22" s="9"/>
      <c r="T22" s="13"/>
      <c r="U22" s="13"/>
      <c r="V22" s="13"/>
      <c r="W22" s="13"/>
      <c r="X22" s="13"/>
      <c r="Y22" s="13"/>
      <c r="Z22" s="13"/>
      <c r="AA22" s="13"/>
      <c r="AB22" s="13"/>
      <c r="AC22" s="13"/>
      <c r="AD22" s="13"/>
      <c r="AE22" s="13"/>
      <c r="AF22" s="13"/>
      <c r="AG22" s="13"/>
    </row>
    <row r="23">
      <c r="A23" s="9"/>
      <c r="B23" s="9"/>
      <c r="C23" s="3" t="s">
        <v>141</v>
      </c>
      <c r="D23" s="9" t="s">
        <v>142</v>
      </c>
      <c r="E23" s="29" t="s">
        <v>46</v>
      </c>
      <c r="F23" s="9"/>
      <c r="G23" s="9" t="s">
        <v>129</v>
      </c>
      <c r="H23" s="9" t="s">
        <v>143</v>
      </c>
      <c r="I23" s="9" t="s">
        <v>144</v>
      </c>
      <c r="J23" s="9" t="s">
        <v>145</v>
      </c>
      <c r="K23" s="14" t="s">
        <v>10</v>
      </c>
      <c r="L23" s="9"/>
      <c r="M23" s="9"/>
      <c r="N23" s="9"/>
      <c r="O23" s="9"/>
      <c r="P23" s="9"/>
      <c r="Q23" s="9"/>
      <c r="R23" s="9"/>
      <c r="S23" s="9"/>
      <c r="T23" s="13"/>
      <c r="U23" s="13"/>
      <c r="V23" s="13"/>
      <c r="W23" s="13"/>
      <c r="X23" s="13"/>
      <c r="Y23" s="13"/>
      <c r="Z23" s="13"/>
      <c r="AA23" s="13"/>
      <c r="AB23" s="13"/>
      <c r="AC23" s="13"/>
      <c r="AD23" s="13"/>
      <c r="AE23" s="13"/>
      <c r="AF23" s="13"/>
      <c r="AG23" s="13"/>
    </row>
    <row r="24">
      <c r="A24" s="9"/>
      <c r="B24" s="9"/>
      <c r="C24" s="3" t="s">
        <v>146</v>
      </c>
      <c r="D24" s="9" t="s">
        <v>147</v>
      </c>
      <c r="E24" s="29" t="s">
        <v>46</v>
      </c>
      <c r="F24" s="9"/>
      <c r="G24" s="9" t="s">
        <v>148</v>
      </c>
      <c r="H24" s="9" t="s">
        <v>149</v>
      </c>
      <c r="I24" s="9" t="s">
        <v>150</v>
      </c>
      <c r="J24" s="9" t="s">
        <v>151</v>
      </c>
      <c r="K24" s="14" t="s">
        <v>10</v>
      </c>
      <c r="L24" s="9"/>
      <c r="M24" s="9"/>
      <c r="N24" s="9"/>
      <c r="O24" s="30" t="s">
        <v>152</v>
      </c>
      <c r="P24" s="9"/>
      <c r="Q24" s="9"/>
      <c r="R24" s="9"/>
      <c r="S24" s="9"/>
      <c r="T24" s="13"/>
      <c r="U24" s="13"/>
      <c r="V24" s="13"/>
      <c r="W24" s="13"/>
      <c r="X24" s="13"/>
      <c r="Y24" s="13"/>
      <c r="Z24" s="13"/>
      <c r="AA24" s="13"/>
      <c r="AB24" s="13"/>
      <c r="AC24" s="13"/>
      <c r="AD24" s="13"/>
      <c r="AE24" s="13"/>
      <c r="AF24" s="13"/>
      <c r="AG24" s="13"/>
    </row>
    <row r="25">
      <c r="A25" s="9"/>
      <c r="B25" s="9"/>
      <c r="C25" s="3" t="s">
        <v>153</v>
      </c>
      <c r="D25" s="9"/>
      <c r="E25" s="9"/>
      <c r="F25" s="9"/>
      <c r="G25" s="9" t="s">
        <v>154</v>
      </c>
      <c r="H25" s="9" t="s">
        <v>155</v>
      </c>
      <c r="I25" s="9" t="s">
        <v>150</v>
      </c>
      <c r="J25" s="9" t="s">
        <v>156</v>
      </c>
      <c r="K25" s="14" t="s">
        <v>10</v>
      </c>
      <c r="L25" s="9"/>
      <c r="M25" s="9"/>
      <c r="N25" s="9"/>
      <c r="O25" s="30" t="s">
        <v>157</v>
      </c>
      <c r="P25" s="9"/>
      <c r="Q25" s="9"/>
      <c r="R25" s="9"/>
      <c r="S25" s="9"/>
      <c r="T25" s="13"/>
      <c r="U25" s="13"/>
      <c r="V25" s="13"/>
      <c r="W25" s="13"/>
      <c r="X25" s="13"/>
      <c r="Y25" s="13"/>
      <c r="Z25" s="13"/>
      <c r="AA25" s="13"/>
      <c r="AB25" s="13"/>
      <c r="AC25" s="13"/>
      <c r="AD25" s="13"/>
      <c r="AE25" s="13"/>
      <c r="AF25" s="13"/>
      <c r="AG25" s="13"/>
    </row>
    <row r="26">
      <c r="A26" s="9"/>
      <c r="B26" s="9"/>
      <c r="C26" s="3" t="s">
        <v>158</v>
      </c>
      <c r="D26" s="9" t="s">
        <v>159</v>
      </c>
      <c r="E26" s="9"/>
      <c r="F26" s="9"/>
      <c r="G26" s="9" t="s">
        <v>160</v>
      </c>
      <c r="H26" s="9" t="s">
        <v>161</v>
      </c>
      <c r="I26" s="9" t="s">
        <v>162</v>
      </c>
      <c r="J26" s="9" t="s">
        <v>163</v>
      </c>
      <c r="K26" s="14" t="s">
        <v>10</v>
      </c>
      <c r="L26" s="9"/>
      <c r="M26" s="9"/>
      <c r="N26" s="9"/>
      <c r="O26" s="31" t="s">
        <v>164</v>
      </c>
      <c r="P26" s="9"/>
      <c r="Q26" s="9"/>
      <c r="R26" s="9"/>
      <c r="S26" s="9"/>
      <c r="T26" s="13"/>
      <c r="U26" s="13"/>
      <c r="V26" s="13"/>
      <c r="W26" s="13"/>
      <c r="X26" s="13"/>
      <c r="Y26" s="13"/>
      <c r="Z26" s="13"/>
      <c r="AA26" s="13"/>
      <c r="AB26" s="13"/>
      <c r="AC26" s="13"/>
      <c r="AD26" s="13"/>
      <c r="AE26" s="13"/>
      <c r="AF26" s="13"/>
      <c r="AG26" s="13"/>
    </row>
    <row r="27">
      <c r="A27" s="9"/>
      <c r="B27" s="9"/>
      <c r="C27" s="3" t="s">
        <v>165</v>
      </c>
      <c r="D27" s="9" t="s">
        <v>166</v>
      </c>
      <c r="E27" s="9"/>
      <c r="F27" s="9"/>
      <c r="G27" s="9" t="s">
        <v>167</v>
      </c>
      <c r="H27" s="9" t="s">
        <v>168</v>
      </c>
      <c r="I27" s="9" t="s">
        <v>169</v>
      </c>
      <c r="J27" s="9" t="s">
        <v>170</v>
      </c>
      <c r="K27" s="14" t="s">
        <v>10</v>
      </c>
      <c r="L27" s="9"/>
      <c r="M27" s="9"/>
      <c r="N27" s="9"/>
      <c r="O27" s="30" t="s">
        <v>171</v>
      </c>
      <c r="P27" s="9"/>
      <c r="Q27" s="9"/>
      <c r="R27" s="9"/>
      <c r="S27" s="9"/>
      <c r="T27" s="13"/>
      <c r="U27" s="13"/>
      <c r="V27" s="13"/>
      <c r="W27" s="13"/>
      <c r="X27" s="13"/>
      <c r="Y27" s="13"/>
      <c r="Z27" s="13"/>
      <c r="AA27" s="13"/>
      <c r="AB27" s="13"/>
      <c r="AC27" s="13"/>
      <c r="AD27" s="13"/>
      <c r="AE27" s="13"/>
      <c r="AF27" s="13"/>
      <c r="AG27" s="13"/>
    </row>
    <row r="28">
      <c r="A28" s="9"/>
      <c r="B28" s="9"/>
      <c r="C28" s="3" t="s">
        <v>172</v>
      </c>
      <c r="D28" s="9" t="s">
        <v>173</v>
      </c>
      <c r="E28" s="9"/>
      <c r="F28" s="9"/>
      <c r="G28" s="9" t="s">
        <v>174</v>
      </c>
      <c r="H28" s="9" t="s">
        <v>175</v>
      </c>
      <c r="I28" s="9" t="s">
        <v>176</v>
      </c>
      <c r="J28" s="9" t="s">
        <v>177</v>
      </c>
      <c r="K28" s="14" t="s">
        <v>10</v>
      </c>
      <c r="L28" s="9"/>
      <c r="M28" s="9"/>
      <c r="N28" s="9"/>
      <c r="O28" s="31" t="s">
        <v>178</v>
      </c>
      <c r="P28" s="9"/>
      <c r="Q28" s="9"/>
      <c r="R28" s="9"/>
      <c r="S28" s="9"/>
      <c r="T28" s="13"/>
      <c r="U28" s="13"/>
      <c r="V28" s="13"/>
      <c r="W28" s="13"/>
      <c r="X28" s="13"/>
      <c r="Y28" s="13"/>
      <c r="Z28" s="13"/>
      <c r="AA28" s="13"/>
      <c r="AB28" s="13"/>
      <c r="AC28" s="13"/>
      <c r="AD28" s="13"/>
      <c r="AE28" s="13"/>
      <c r="AF28" s="13"/>
      <c r="AG28" s="13"/>
    </row>
    <row r="29">
      <c r="A29" s="9"/>
      <c r="B29" s="9"/>
      <c r="C29" s="3" t="s">
        <v>179</v>
      </c>
      <c r="D29" s="9" t="s">
        <v>180</v>
      </c>
      <c r="E29" s="9"/>
      <c r="F29" s="9"/>
      <c r="G29" s="9" t="s">
        <v>174</v>
      </c>
      <c r="H29" s="9" t="s">
        <v>181</v>
      </c>
      <c r="I29" s="9" t="s">
        <v>182</v>
      </c>
      <c r="J29" s="9" t="s">
        <v>183</v>
      </c>
      <c r="K29" s="14" t="s">
        <v>10</v>
      </c>
      <c r="L29" s="9"/>
      <c r="M29" s="9"/>
      <c r="N29" s="9"/>
      <c r="O29" s="30" t="s">
        <v>184</v>
      </c>
      <c r="P29" s="9"/>
      <c r="Q29" s="9"/>
      <c r="R29" s="9"/>
      <c r="S29" s="9"/>
      <c r="T29" s="13"/>
      <c r="U29" s="13"/>
      <c r="V29" s="13"/>
      <c r="W29" s="13"/>
      <c r="X29" s="13"/>
      <c r="Y29" s="13"/>
      <c r="Z29" s="13"/>
      <c r="AA29" s="13"/>
      <c r="AB29" s="13"/>
      <c r="AC29" s="13"/>
      <c r="AD29" s="13"/>
      <c r="AE29" s="13"/>
      <c r="AF29" s="13"/>
      <c r="AG29" s="13"/>
    </row>
    <row r="30">
      <c r="A30" s="9"/>
      <c r="B30" s="9"/>
      <c r="C30" s="9"/>
      <c r="D30" s="9"/>
      <c r="E30" s="9"/>
      <c r="F30" s="9"/>
      <c r="G30" s="9"/>
      <c r="H30" s="9" t="s">
        <v>185</v>
      </c>
      <c r="I30" s="9" t="s">
        <v>182</v>
      </c>
      <c r="J30" s="9" t="s">
        <v>186</v>
      </c>
      <c r="K30" s="14" t="s">
        <v>10</v>
      </c>
      <c r="L30" s="9"/>
      <c r="M30" s="9"/>
      <c r="N30" s="9"/>
      <c r="O30" s="30" t="s">
        <v>187</v>
      </c>
      <c r="P30" s="9"/>
      <c r="Q30" s="9"/>
      <c r="R30" s="9"/>
      <c r="S30" s="9"/>
      <c r="T30" s="13"/>
      <c r="U30" s="13"/>
      <c r="V30" s="13"/>
      <c r="W30" s="13"/>
      <c r="X30" s="13"/>
      <c r="Y30" s="13"/>
      <c r="Z30" s="13"/>
      <c r="AA30" s="13"/>
      <c r="AB30" s="13"/>
      <c r="AC30" s="13"/>
      <c r="AD30" s="13"/>
      <c r="AE30" s="13"/>
      <c r="AF30" s="13"/>
      <c r="AG30" s="13"/>
    </row>
    <row r="31">
      <c r="A31" s="9"/>
      <c r="B31" s="9"/>
      <c r="C31" s="9"/>
      <c r="D31" s="9"/>
      <c r="E31" s="9"/>
      <c r="F31" s="9"/>
      <c r="G31" s="9"/>
      <c r="H31" s="9" t="s">
        <v>188</v>
      </c>
      <c r="I31" s="9" t="s">
        <v>182</v>
      </c>
      <c r="J31" s="9" t="s">
        <v>189</v>
      </c>
      <c r="K31" s="14" t="s">
        <v>10</v>
      </c>
      <c r="L31" s="9"/>
      <c r="M31" s="9"/>
      <c r="N31" s="9"/>
      <c r="O31" s="31" t="s">
        <v>190</v>
      </c>
      <c r="P31" s="9"/>
      <c r="Q31" s="9"/>
      <c r="R31" s="9"/>
      <c r="S31" s="9"/>
      <c r="T31" s="13"/>
      <c r="U31" s="13"/>
      <c r="V31" s="13"/>
      <c r="W31" s="13"/>
      <c r="X31" s="13"/>
      <c r="Y31" s="13"/>
      <c r="Z31" s="13"/>
      <c r="AA31" s="13"/>
      <c r="AB31" s="13"/>
      <c r="AC31" s="13"/>
      <c r="AD31" s="13"/>
      <c r="AE31" s="13"/>
      <c r="AF31" s="13"/>
      <c r="AG31" s="13"/>
    </row>
    <row r="32">
      <c r="A32" s="9"/>
      <c r="B32" s="9"/>
      <c r="C32" s="9"/>
      <c r="D32" s="9"/>
      <c r="E32" s="9"/>
      <c r="F32" s="9"/>
      <c r="G32" s="9"/>
      <c r="H32" s="9" t="s">
        <v>191</v>
      </c>
      <c r="I32" s="9" t="s">
        <v>182</v>
      </c>
      <c r="J32" s="9" t="s">
        <v>192</v>
      </c>
      <c r="K32" s="14" t="s">
        <v>10</v>
      </c>
      <c r="L32" s="9"/>
      <c r="M32" s="9"/>
      <c r="N32" s="9"/>
      <c r="O32" s="31" t="s">
        <v>190</v>
      </c>
      <c r="P32" s="9"/>
      <c r="Q32" s="9"/>
      <c r="R32" s="9"/>
      <c r="S32" s="9"/>
      <c r="T32" s="13"/>
      <c r="U32" s="13"/>
      <c r="V32" s="13"/>
      <c r="W32" s="13"/>
      <c r="X32" s="13"/>
      <c r="Y32" s="13"/>
      <c r="Z32" s="13"/>
      <c r="AA32" s="13"/>
      <c r="AB32" s="13"/>
      <c r="AC32" s="13"/>
      <c r="AD32" s="13"/>
      <c r="AE32" s="13"/>
      <c r="AF32" s="13"/>
      <c r="AG32" s="13"/>
    </row>
    <row r="33">
      <c r="A33" s="9"/>
      <c r="B33" s="9"/>
      <c r="C33" s="9"/>
      <c r="D33" s="9"/>
      <c r="E33" s="9"/>
      <c r="F33" s="9"/>
      <c r="G33" s="9"/>
      <c r="H33" s="9" t="s">
        <v>191</v>
      </c>
      <c r="I33" s="9" t="s">
        <v>182</v>
      </c>
      <c r="J33" s="9" t="s">
        <v>193</v>
      </c>
      <c r="K33" s="14" t="s">
        <v>10</v>
      </c>
      <c r="L33" s="9"/>
      <c r="M33" s="9"/>
      <c r="N33" s="9"/>
      <c r="O33" s="31" t="s">
        <v>194</v>
      </c>
      <c r="P33" s="9"/>
      <c r="Q33" s="9"/>
      <c r="R33" s="9"/>
      <c r="S33" s="9"/>
      <c r="T33" s="13"/>
      <c r="U33" s="13"/>
      <c r="V33" s="13"/>
      <c r="W33" s="13"/>
      <c r="X33" s="13"/>
      <c r="Y33" s="13"/>
      <c r="Z33" s="13"/>
      <c r="AA33" s="13"/>
      <c r="AB33" s="13"/>
      <c r="AC33" s="13"/>
      <c r="AD33" s="13"/>
      <c r="AE33" s="13"/>
      <c r="AF33" s="13"/>
      <c r="AG33" s="13"/>
    </row>
    <row r="34">
      <c r="A34" s="9"/>
      <c r="B34" s="9"/>
      <c r="C34" s="3" t="s">
        <v>179</v>
      </c>
      <c r="D34" s="9" t="s">
        <v>195</v>
      </c>
      <c r="E34" s="9" t="s">
        <v>46</v>
      </c>
      <c r="F34" s="9"/>
      <c r="G34" s="9" t="s">
        <v>196</v>
      </c>
      <c r="H34" s="9" t="s">
        <v>197</v>
      </c>
      <c r="I34" s="9" t="s">
        <v>198</v>
      </c>
      <c r="J34" s="9" t="s">
        <v>199</v>
      </c>
      <c r="K34" s="16" t="s">
        <v>17</v>
      </c>
      <c r="L34" s="9"/>
      <c r="M34" s="9"/>
      <c r="N34" s="9"/>
      <c r="O34" s="31" t="s">
        <v>200</v>
      </c>
      <c r="P34" s="9"/>
      <c r="Q34" s="9"/>
      <c r="R34" s="9"/>
      <c r="S34" s="9"/>
      <c r="T34" s="13"/>
      <c r="U34" s="13"/>
      <c r="V34" s="13"/>
      <c r="W34" s="13"/>
      <c r="X34" s="13"/>
      <c r="Y34" s="13"/>
      <c r="Z34" s="13"/>
      <c r="AA34" s="13"/>
      <c r="AB34" s="13"/>
      <c r="AC34" s="13"/>
      <c r="AD34" s="13"/>
      <c r="AE34" s="13"/>
      <c r="AF34" s="13"/>
      <c r="AG34" s="13"/>
    </row>
    <row r="35">
      <c r="A35" s="9"/>
      <c r="B35" s="9"/>
      <c r="C35" s="9"/>
      <c r="D35" s="9"/>
      <c r="E35" s="9"/>
      <c r="F35" s="9"/>
      <c r="G35" s="9"/>
      <c r="H35" s="9" t="s">
        <v>201</v>
      </c>
      <c r="I35" s="9" t="s">
        <v>198</v>
      </c>
      <c r="J35" s="9" t="s">
        <v>202</v>
      </c>
      <c r="K35" s="16" t="s">
        <v>17</v>
      </c>
      <c r="L35" s="9"/>
      <c r="M35" s="9"/>
      <c r="N35" s="9"/>
      <c r="O35" s="31" t="s">
        <v>203</v>
      </c>
      <c r="P35" s="9"/>
      <c r="Q35" s="9"/>
      <c r="R35" s="9"/>
      <c r="S35" s="9"/>
      <c r="T35" s="13"/>
      <c r="U35" s="13"/>
      <c r="V35" s="13"/>
      <c r="W35" s="13"/>
      <c r="X35" s="13"/>
      <c r="Y35" s="13"/>
      <c r="Z35" s="13"/>
      <c r="AA35" s="13"/>
      <c r="AB35" s="13"/>
      <c r="AC35" s="13"/>
      <c r="AD35" s="13"/>
      <c r="AE35" s="13"/>
      <c r="AF35" s="13"/>
      <c r="AG35" s="13"/>
    </row>
    <row r="36">
      <c r="A36" s="9"/>
      <c r="B36" s="9"/>
      <c r="C36" s="9" t="s">
        <v>204</v>
      </c>
      <c r="D36" s="9" t="s">
        <v>205</v>
      </c>
      <c r="E36" s="9"/>
      <c r="F36" s="9"/>
      <c r="G36" s="9" t="s">
        <v>206</v>
      </c>
      <c r="H36" s="9" t="s">
        <v>207</v>
      </c>
      <c r="I36" s="9" t="s">
        <v>208</v>
      </c>
      <c r="J36" s="9" t="s">
        <v>209</v>
      </c>
      <c r="K36" s="14" t="s">
        <v>10</v>
      </c>
      <c r="L36" s="9"/>
      <c r="M36" s="9"/>
      <c r="N36" s="9"/>
      <c r="O36" s="31" t="s">
        <v>210</v>
      </c>
      <c r="P36" s="9"/>
      <c r="Q36" s="9"/>
      <c r="R36" s="9"/>
      <c r="S36" s="9"/>
      <c r="T36" s="13"/>
      <c r="U36" s="13"/>
      <c r="V36" s="13"/>
      <c r="W36" s="13"/>
      <c r="X36" s="13"/>
      <c r="Y36" s="13"/>
      <c r="Z36" s="13"/>
      <c r="AA36" s="13"/>
      <c r="AB36" s="13"/>
      <c r="AC36" s="13"/>
      <c r="AD36" s="13"/>
      <c r="AE36" s="13"/>
      <c r="AF36" s="13"/>
      <c r="AG36" s="13"/>
    </row>
    <row r="37">
      <c r="A37" s="9"/>
      <c r="B37" s="9"/>
      <c r="C37" s="9"/>
      <c r="D37" s="9"/>
      <c r="E37" s="9"/>
      <c r="F37" s="9"/>
      <c r="G37" s="9"/>
      <c r="H37" s="9"/>
      <c r="I37" s="9"/>
      <c r="J37" s="9"/>
      <c r="K37" s="9"/>
      <c r="L37" s="9"/>
      <c r="M37" s="9"/>
      <c r="N37" s="9"/>
      <c r="O37" s="9"/>
      <c r="P37" s="9"/>
      <c r="Q37" s="9"/>
      <c r="R37" s="9"/>
      <c r="S37" s="9"/>
      <c r="T37" s="13"/>
      <c r="U37" s="13"/>
      <c r="V37" s="13"/>
      <c r="W37" s="13"/>
      <c r="X37" s="13"/>
      <c r="Y37" s="13"/>
      <c r="Z37" s="13"/>
      <c r="AA37" s="13"/>
      <c r="AB37" s="13"/>
      <c r="AC37" s="13"/>
      <c r="AD37" s="13"/>
      <c r="AE37" s="13"/>
      <c r="AF37" s="13"/>
      <c r="AG37" s="13"/>
    </row>
    <row r="38">
      <c r="A38" s="9"/>
      <c r="B38" s="9"/>
      <c r="C38" s="9"/>
      <c r="D38" s="9"/>
      <c r="E38" s="9"/>
      <c r="F38" s="9"/>
      <c r="G38" s="9"/>
      <c r="H38" s="9"/>
      <c r="I38" s="9"/>
      <c r="J38" s="9"/>
      <c r="K38" s="9"/>
      <c r="L38" s="9"/>
      <c r="M38" s="9"/>
      <c r="N38" s="9"/>
      <c r="O38" s="9"/>
      <c r="P38" s="9"/>
      <c r="Q38" s="9"/>
      <c r="R38" s="9"/>
      <c r="S38" s="9"/>
      <c r="T38" s="13"/>
      <c r="U38" s="13"/>
      <c r="V38" s="13"/>
      <c r="W38" s="13"/>
      <c r="X38" s="13"/>
      <c r="Y38" s="13"/>
      <c r="Z38" s="13"/>
      <c r="AA38" s="13"/>
      <c r="AB38" s="13"/>
      <c r="AC38" s="13"/>
      <c r="AD38" s="13"/>
      <c r="AE38" s="13"/>
      <c r="AF38" s="13"/>
      <c r="AG38" s="13"/>
    </row>
    <row r="39">
      <c r="A39" s="9"/>
      <c r="B39" s="9"/>
      <c r="C39" s="9"/>
      <c r="D39" s="9"/>
      <c r="E39" s="9"/>
      <c r="F39" s="9"/>
      <c r="G39" s="9"/>
      <c r="H39" s="9"/>
      <c r="I39" s="9"/>
      <c r="J39" s="9"/>
      <c r="K39" s="9"/>
      <c r="L39" s="9"/>
      <c r="M39" s="9"/>
      <c r="N39" s="9"/>
      <c r="O39" s="9"/>
      <c r="P39" s="9"/>
      <c r="Q39" s="9"/>
      <c r="R39" s="9"/>
      <c r="S39" s="9"/>
      <c r="T39" s="13"/>
      <c r="U39" s="13"/>
      <c r="V39" s="13"/>
      <c r="W39" s="13"/>
      <c r="X39" s="13"/>
      <c r="Y39" s="13"/>
      <c r="Z39" s="13"/>
      <c r="AA39" s="13"/>
      <c r="AB39" s="13"/>
      <c r="AC39" s="13"/>
      <c r="AD39" s="13"/>
      <c r="AE39" s="13"/>
      <c r="AF39" s="13"/>
      <c r="AG39" s="13"/>
    </row>
    <row r="40">
      <c r="A40" s="9"/>
      <c r="B40" s="9"/>
      <c r="C40" s="9"/>
      <c r="D40" s="9"/>
      <c r="E40" s="9"/>
      <c r="F40" s="9"/>
      <c r="G40" s="9"/>
      <c r="H40" s="9"/>
      <c r="I40" s="9"/>
      <c r="J40" s="9"/>
      <c r="K40" s="9"/>
      <c r="L40" s="9"/>
      <c r="M40" s="9"/>
      <c r="N40" s="9"/>
      <c r="O40" s="9"/>
      <c r="P40" s="9"/>
      <c r="Q40" s="9"/>
      <c r="R40" s="9"/>
      <c r="S40" s="9"/>
      <c r="T40" s="13"/>
      <c r="U40" s="13"/>
      <c r="V40" s="13"/>
      <c r="W40" s="13"/>
      <c r="X40" s="13"/>
      <c r="Y40" s="13"/>
      <c r="Z40" s="13"/>
      <c r="AA40" s="13"/>
      <c r="AB40" s="13"/>
      <c r="AC40" s="13"/>
      <c r="AD40" s="13"/>
      <c r="AE40" s="13"/>
      <c r="AF40" s="13"/>
      <c r="AG40" s="13"/>
    </row>
    <row r="41">
      <c r="A41" s="9"/>
      <c r="B41" s="9"/>
      <c r="C41" s="9"/>
      <c r="D41" s="9"/>
      <c r="E41" s="9"/>
      <c r="F41" s="9"/>
      <c r="G41" s="9"/>
      <c r="H41" s="9"/>
      <c r="I41" s="9"/>
      <c r="J41" s="9"/>
      <c r="K41" s="9"/>
      <c r="L41" s="9"/>
      <c r="M41" s="9"/>
      <c r="N41" s="9"/>
      <c r="O41" s="13"/>
      <c r="P41" s="9"/>
      <c r="Q41" s="9"/>
      <c r="R41" s="9"/>
      <c r="S41" s="9"/>
      <c r="T41" s="13"/>
      <c r="U41" s="13"/>
      <c r="V41" s="13"/>
      <c r="W41" s="13"/>
      <c r="X41" s="13"/>
      <c r="Y41" s="13"/>
      <c r="Z41" s="13"/>
      <c r="AA41" s="13"/>
      <c r="AB41" s="13"/>
      <c r="AC41" s="13"/>
      <c r="AD41" s="13"/>
      <c r="AE41" s="13"/>
      <c r="AF41" s="13"/>
      <c r="AG41" s="13"/>
    </row>
    <row r="42">
      <c r="A42" s="9"/>
      <c r="B42" s="9"/>
      <c r="C42" s="9"/>
      <c r="D42" s="9"/>
      <c r="E42" s="9"/>
      <c r="F42" s="9"/>
      <c r="G42" s="9"/>
      <c r="H42" s="9"/>
      <c r="I42" s="9"/>
      <c r="J42" s="9"/>
      <c r="K42" s="9"/>
      <c r="L42" s="9"/>
      <c r="M42" s="9"/>
      <c r="N42" s="9"/>
      <c r="O42" s="9"/>
      <c r="P42" s="9"/>
      <c r="Q42" s="9"/>
      <c r="R42" s="9"/>
      <c r="S42" s="9"/>
      <c r="T42" s="13"/>
      <c r="U42" s="13"/>
      <c r="V42" s="13"/>
      <c r="W42" s="13"/>
      <c r="X42" s="13"/>
      <c r="Y42" s="13"/>
      <c r="Z42" s="13"/>
      <c r="AA42" s="13"/>
      <c r="AB42" s="13"/>
      <c r="AC42" s="13"/>
      <c r="AD42" s="13"/>
      <c r="AE42" s="13"/>
      <c r="AF42" s="13"/>
      <c r="AG42" s="13"/>
    </row>
    <row r="43">
      <c r="A43" s="9"/>
      <c r="B43" s="9"/>
      <c r="C43" s="9"/>
      <c r="D43" s="9"/>
      <c r="E43" s="9"/>
      <c r="F43" s="9"/>
      <c r="G43" s="9"/>
      <c r="H43" s="9"/>
      <c r="I43" s="9"/>
      <c r="J43" s="9"/>
      <c r="K43" s="9"/>
      <c r="L43" s="9"/>
      <c r="M43" s="9"/>
      <c r="N43" s="9"/>
      <c r="O43" s="9"/>
      <c r="P43" s="9"/>
      <c r="Q43" s="9"/>
      <c r="R43" s="9"/>
      <c r="S43" s="9"/>
      <c r="T43" s="13"/>
      <c r="U43" s="13"/>
      <c r="V43" s="13"/>
      <c r="W43" s="13"/>
      <c r="X43" s="13"/>
      <c r="Y43" s="13"/>
      <c r="Z43" s="13"/>
      <c r="AA43" s="13"/>
      <c r="AB43" s="13"/>
      <c r="AC43" s="13"/>
      <c r="AD43" s="13"/>
      <c r="AE43" s="13"/>
      <c r="AF43" s="13"/>
      <c r="AG43" s="13"/>
    </row>
    <row r="44">
      <c r="A44" s="9"/>
      <c r="B44" s="9"/>
      <c r="C44" s="9"/>
      <c r="D44" s="9"/>
      <c r="E44" s="9"/>
      <c r="F44" s="9"/>
      <c r="G44" s="9"/>
      <c r="H44" s="9"/>
      <c r="I44" s="9"/>
      <c r="J44" s="9"/>
      <c r="K44" s="9"/>
      <c r="L44" s="9"/>
      <c r="M44" s="9"/>
      <c r="N44" s="9"/>
      <c r="O44" s="9"/>
      <c r="P44" s="9"/>
      <c r="Q44" s="9"/>
      <c r="R44" s="9"/>
      <c r="S44" s="9"/>
      <c r="T44" s="13"/>
      <c r="U44" s="13"/>
      <c r="V44" s="13"/>
      <c r="W44" s="13"/>
      <c r="X44" s="13"/>
      <c r="Y44" s="13"/>
      <c r="Z44" s="13"/>
      <c r="AA44" s="13"/>
      <c r="AB44" s="13"/>
      <c r="AC44" s="13"/>
      <c r="AD44" s="13"/>
      <c r="AE44" s="13"/>
      <c r="AF44" s="13"/>
      <c r="AG44" s="13"/>
    </row>
    <row r="45">
      <c r="A45" s="9"/>
      <c r="B45" s="9"/>
      <c r="C45" s="9"/>
      <c r="D45" s="9"/>
      <c r="E45" s="9"/>
      <c r="F45" s="9"/>
      <c r="G45" s="9"/>
      <c r="H45" s="9"/>
      <c r="I45" s="9"/>
      <c r="J45" s="9"/>
      <c r="K45" s="9"/>
      <c r="L45" s="9"/>
      <c r="M45" s="9"/>
      <c r="N45" s="9"/>
      <c r="O45" s="9"/>
      <c r="P45" s="9"/>
      <c r="Q45" s="9"/>
      <c r="R45" s="9"/>
      <c r="S45" s="9"/>
      <c r="T45" s="13"/>
      <c r="U45" s="13"/>
      <c r="V45" s="13"/>
      <c r="W45" s="13"/>
      <c r="X45" s="13"/>
      <c r="Y45" s="13"/>
      <c r="Z45" s="13"/>
      <c r="AA45" s="13"/>
      <c r="AB45" s="13"/>
      <c r="AC45" s="13"/>
      <c r="AD45" s="13"/>
      <c r="AE45" s="13"/>
      <c r="AF45" s="13"/>
      <c r="AG45" s="13"/>
    </row>
    <row r="46">
      <c r="A46" s="9"/>
      <c r="B46" s="9"/>
      <c r="C46" s="9"/>
      <c r="D46" s="9"/>
      <c r="E46" s="9"/>
      <c r="F46" s="9"/>
      <c r="G46" s="9"/>
      <c r="H46" s="9"/>
      <c r="I46" s="9"/>
      <c r="J46" s="9"/>
      <c r="K46" s="9"/>
      <c r="L46" s="9"/>
      <c r="M46" s="9"/>
      <c r="N46" s="9"/>
      <c r="O46" s="9"/>
      <c r="P46" s="9"/>
      <c r="Q46" s="9"/>
      <c r="R46" s="9"/>
      <c r="S46" s="9"/>
      <c r="T46" s="13"/>
      <c r="U46" s="13"/>
      <c r="V46" s="13"/>
      <c r="W46" s="13"/>
      <c r="X46" s="13"/>
      <c r="Y46" s="13"/>
      <c r="Z46" s="13"/>
      <c r="AA46" s="13"/>
      <c r="AB46" s="13"/>
      <c r="AC46" s="13"/>
      <c r="AD46" s="13"/>
      <c r="AE46" s="13"/>
      <c r="AF46" s="13"/>
      <c r="AG46" s="13"/>
    </row>
    <row r="47">
      <c r="A47" s="9"/>
      <c r="B47" s="9"/>
      <c r="C47" s="9"/>
      <c r="D47" s="9"/>
      <c r="E47" s="9"/>
      <c r="F47" s="9"/>
      <c r="G47" s="9"/>
      <c r="H47" s="9"/>
      <c r="I47" s="9"/>
      <c r="J47" s="9"/>
      <c r="K47" s="9"/>
      <c r="L47" s="9"/>
      <c r="M47" s="9"/>
      <c r="N47" s="9"/>
      <c r="O47" s="9"/>
      <c r="P47" s="9"/>
      <c r="Q47" s="9"/>
      <c r="R47" s="9"/>
      <c r="S47" s="9"/>
      <c r="T47" s="13"/>
      <c r="U47" s="13"/>
      <c r="V47" s="13"/>
      <c r="W47" s="13"/>
      <c r="X47" s="13"/>
      <c r="Y47" s="13"/>
      <c r="Z47" s="13"/>
      <c r="AA47" s="13"/>
      <c r="AB47" s="13"/>
      <c r="AC47" s="13"/>
      <c r="AD47" s="13"/>
      <c r="AE47" s="13"/>
      <c r="AF47" s="13"/>
      <c r="AG47" s="13"/>
    </row>
    <row r="48">
      <c r="A48" s="9"/>
      <c r="B48" s="9"/>
      <c r="C48" s="9"/>
      <c r="D48" s="9"/>
      <c r="E48" s="9"/>
      <c r="F48" s="9"/>
      <c r="G48" s="9"/>
      <c r="H48" s="9"/>
      <c r="I48" s="9"/>
      <c r="J48" s="9"/>
      <c r="K48" s="9"/>
      <c r="L48" s="9"/>
      <c r="M48" s="9"/>
      <c r="N48" s="9"/>
      <c r="O48" s="9"/>
      <c r="P48" s="9"/>
      <c r="Q48" s="9"/>
      <c r="R48" s="9"/>
      <c r="S48" s="9"/>
      <c r="T48" s="13"/>
      <c r="U48" s="13"/>
      <c r="V48" s="13"/>
      <c r="W48" s="13"/>
      <c r="X48" s="13"/>
      <c r="Y48" s="13"/>
      <c r="Z48" s="13"/>
      <c r="AA48" s="13"/>
      <c r="AB48" s="13"/>
      <c r="AC48" s="13"/>
      <c r="AD48" s="13"/>
      <c r="AE48" s="13"/>
      <c r="AF48" s="13"/>
      <c r="AG48" s="13"/>
    </row>
    <row r="49">
      <c r="A49" s="9"/>
      <c r="B49" s="9"/>
      <c r="C49" s="9"/>
      <c r="D49" s="9"/>
      <c r="E49" s="9"/>
      <c r="F49" s="9"/>
      <c r="G49" s="9"/>
      <c r="H49" s="9"/>
      <c r="I49" s="9"/>
      <c r="J49" s="9"/>
      <c r="K49" s="9"/>
      <c r="L49" s="9"/>
      <c r="M49" s="9"/>
      <c r="N49" s="9"/>
      <c r="O49" s="9"/>
      <c r="P49" s="9"/>
      <c r="Q49" s="9"/>
      <c r="R49" s="9"/>
      <c r="S49" s="9"/>
      <c r="T49" s="13"/>
      <c r="U49" s="13"/>
      <c r="V49" s="13"/>
      <c r="W49" s="13"/>
      <c r="X49" s="13"/>
      <c r="Y49" s="13"/>
      <c r="Z49" s="13"/>
      <c r="AA49" s="13"/>
      <c r="AB49" s="13"/>
      <c r="AC49" s="13"/>
      <c r="AD49" s="13"/>
      <c r="AE49" s="13"/>
      <c r="AF49" s="13"/>
      <c r="AG49" s="13"/>
    </row>
    <row r="50">
      <c r="A50" s="9"/>
      <c r="B50" s="9"/>
      <c r="C50" s="9"/>
      <c r="D50" s="9"/>
      <c r="E50" s="9"/>
      <c r="F50" s="9"/>
      <c r="G50" s="9"/>
      <c r="H50" s="9"/>
      <c r="I50" s="9"/>
      <c r="J50" s="9"/>
      <c r="K50" s="9"/>
      <c r="L50" s="9"/>
      <c r="M50" s="9"/>
      <c r="N50" s="9"/>
      <c r="O50" s="9"/>
      <c r="P50" s="9"/>
      <c r="Q50" s="9"/>
      <c r="R50" s="9"/>
      <c r="S50" s="9"/>
      <c r="T50" s="13"/>
      <c r="U50" s="13"/>
      <c r="V50" s="13"/>
      <c r="W50" s="13"/>
      <c r="X50" s="13"/>
      <c r="Y50" s="13"/>
      <c r="Z50" s="13"/>
      <c r="AA50" s="13"/>
      <c r="AB50" s="13"/>
      <c r="AC50" s="13"/>
      <c r="AD50" s="13"/>
      <c r="AE50" s="13"/>
      <c r="AF50" s="13"/>
      <c r="AG50" s="13"/>
    </row>
    <row r="51">
      <c r="A51" s="9"/>
      <c r="B51" s="9"/>
      <c r="C51" s="9"/>
      <c r="D51" s="9"/>
      <c r="E51" s="9"/>
      <c r="F51" s="9"/>
      <c r="G51" s="9"/>
      <c r="H51" s="9"/>
      <c r="I51" s="9"/>
      <c r="J51" s="9"/>
      <c r="K51" s="9"/>
      <c r="L51" s="9"/>
      <c r="M51" s="9"/>
      <c r="N51" s="9"/>
      <c r="O51" s="9"/>
      <c r="P51" s="9"/>
      <c r="Q51" s="9"/>
      <c r="R51" s="9"/>
      <c r="S51" s="9"/>
      <c r="T51" s="13"/>
      <c r="U51" s="13"/>
      <c r="V51" s="13"/>
      <c r="W51" s="13"/>
      <c r="X51" s="13"/>
      <c r="Y51" s="13"/>
      <c r="Z51" s="13"/>
      <c r="AA51" s="13"/>
      <c r="AB51" s="13"/>
      <c r="AC51" s="13"/>
      <c r="AD51" s="13"/>
      <c r="AE51" s="13"/>
      <c r="AF51" s="13"/>
      <c r="AG51" s="13"/>
    </row>
    <row r="52">
      <c r="A52" s="9"/>
      <c r="B52" s="9"/>
      <c r="C52" s="9"/>
      <c r="D52" s="9"/>
      <c r="E52" s="9"/>
      <c r="F52" s="9"/>
      <c r="G52" s="9"/>
      <c r="H52" s="9"/>
      <c r="I52" s="9"/>
      <c r="J52" s="9"/>
      <c r="K52" s="9"/>
      <c r="L52" s="9"/>
      <c r="M52" s="9"/>
      <c r="N52" s="9"/>
      <c r="O52" s="9"/>
      <c r="P52" s="9"/>
      <c r="Q52" s="9"/>
      <c r="R52" s="9"/>
      <c r="S52" s="9"/>
      <c r="T52" s="13"/>
      <c r="U52" s="13"/>
      <c r="V52" s="13"/>
      <c r="W52" s="13"/>
      <c r="X52" s="13"/>
      <c r="Y52" s="13"/>
      <c r="Z52" s="13"/>
      <c r="AA52" s="13"/>
      <c r="AB52" s="13"/>
      <c r="AC52" s="13"/>
      <c r="AD52" s="13"/>
      <c r="AE52" s="13"/>
      <c r="AF52" s="13"/>
      <c r="AG52" s="13"/>
    </row>
    <row r="53">
      <c r="A53" s="9"/>
      <c r="B53" s="9"/>
      <c r="C53" s="9"/>
      <c r="D53" s="9"/>
      <c r="E53" s="9"/>
      <c r="F53" s="9"/>
      <c r="G53" s="9"/>
      <c r="H53" s="9"/>
      <c r="I53" s="9"/>
      <c r="J53" s="9"/>
      <c r="K53" s="9"/>
      <c r="L53" s="9"/>
      <c r="M53" s="9"/>
      <c r="N53" s="9"/>
      <c r="O53" s="9"/>
      <c r="P53" s="9"/>
      <c r="Q53" s="9"/>
      <c r="R53" s="9"/>
      <c r="S53" s="9"/>
      <c r="T53" s="13"/>
      <c r="U53" s="13"/>
      <c r="V53" s="13"/>
      <c r="W53" s="13"/>
      <c r="X53" s="13"/>
      <c r="Y53" s="13"/>
      <c r="Z53" s="13"/>
      <c r="AA53" s="13"/>
      <c r="AB53" s="13"/>
      <c r="AC53" s="13"/>
      <c r="AD53" s="13"/>
      <c r="AE53" s="13"/>
      <c r="AF53" s="13"/>
      <c r="AG53" s="13"/>
    </row>
    <row r="54">
      <c r="A54" s="9"/>
      <c r="B54" s="9"/>
      <c r="C54" s="9"/>
      <c r="D54" s="9"/>
      <c r="E54" s="9"/>
      <c r="F54" s="9"/>
      <c r="G54" s="9"/>
      <c r="H54" s="9"/>
      <c r="I54" s="9"/>
      <c r="J54" s="9"/>
      <c r="K54" s="9"/>
      <c r="L54" s="9"/>
      <c r="M54" s="9"/>
      <c r="N54" s="9"/>
      <c r="O54" s="9"/>
      <c r="P54" s="9"/>
      <c r="Q54" s="9"/>
      <c r="R54" s="9"/>
      <c r="S54" s="9"/>
      <c r="T54" s="13"/>
      <c r="U54" s="13"/>
      <c r="V54" s="13"/>
      <c r="W54" s="13"/>
      <c r="X54" s="13"/>
      <c r="Y54" s="13"/>
      <c r="Z54" s="13"/>
      <c r="AA54" s="13"/>
      <c r="AB54" s="13"/>
      <c r="AC54" s="13"/>
      <c r="AD54" s="13"/>
      <c r="AE54" s="13"/>
      <c r="AF54" s="13"/>
      <c r="AG54" s="13"/>
    </row>
    <row r="55">
      <c r="A55" s="9"/>
      <c r="B55" s="9"/>
      <c r="C55" s="9"/>
      <c r="D55" s="9"/>
      <c r="E55" s="9"/>
      <c r="F55" s="9"/>
      <c r="G55" s="9"/>
      <c r="H55" s="9"/>
      <c r="I55" s="9"/>
      <c r="J55" s="9"/>
      <c r="K55" s="9"/>
      <c r="L55" s="9"/>
      <c r="M55" s="9"/>
      <c r="N55" s="9"/>
      <c r="O55" s="9"/>
      <c r="P55" s="9"/>
      <c r="Q55" s="9"/>
      <c r="R55" s="9"/>
      <c r="S55" s="9"/>
      <c r="T55" s="13"/>
      <c r="U55" s="13"/>
      <c r="V55" s="13"/>
      <c r="W55" s="13"/>
      <c r="X55" s="13"/>
      <c r="Y55" s="13"/>
      <c r="Z55" s="13"/>
      <c r="AA55" s="13"/>
      <c r="AB55" s="13"/>
      <c r="AC55" s="13"/>
      <c r="AD55" s="13"/>
      <c r="AE55" s="13"/>
      <c r="AF55" s="13"/>
      <c r="AG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row>
    <row r="1004">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c r="AB1004" s="13"/>
      <c r="AC1004" s="13"/>
      <c r="AD1004" s="13"/>
      <c r="AE1004" s="13"/>
      <c r="AF1004" s="13"/>
      <c r="AG1004" s="13"/>
    </row>
    <row r="1005">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c r="AB1005" s="13"/>
      <c r="AC1005" s="13"/>
      <c r="AD1005" s="13"/>
      <c r="AE1005" s="13"/>
      <c r="AF1005" s="13"/>
      <c r="AG1005" s="13"/>
    </row>
    <row r="1006">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c r="AB1006" s="13"/>
      <c r="AC1006" s="13"/>
      <c r="AD1006" s="13"/>
      <c r="AE1006" s="13"/>
      <c r="AF1006" s="13"/>
      <c r="AG1006" s="13"/>
    </row>
    <row r="1007">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c r="AF1007" s="32"/>
      <c r="AG1007" s="32"/>
    </row>
    <row r="1008">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c r="AF1008" s="32"/>
      <c r="AG1008" s="32"/>
    </row>
  </sheetData>
  <mergeCells count="18">
    <mergeCell ref="Q1:R1"/>
    <mergeCell ref="Q2:R2"/>
    <mergeCell ref="Q3:R3"/>
    <mergeCell ref="Q4:R4"/>
    <mergeCell ref="Q5:R5"/>
    <mergeCell ref="E2:F2"/>
    <mergeCell ref="E3:F3"/>
    <mergeCell ref="A4:B4"/>
    <mergeCell ref="E4:F4"/>
    <mergeCell ref="A5:B5"/>
    <mergeCell ref="E5:F5"/>
    <mergeCell ref="A1:B1"/>
    <mergeCell ref="E1:F1"/>
    <mergeCell ref="K1:L1"/>
    <mergeCell ref="M1:N1"/>
    <mergeCell ref="O1:P1"/>
    <mergeCell ref="A2:B2"/>
    <mergeCell ref="A3:B3"/>
  </mergeCells>
  <dataValidations>
    <dataValidation type="list" allowBlank="1" sqref="L7:M1002 L1003:L1004">
      <formula1>"Critical,High,Medium,Low"</formula1>
    </dataValidation>
    <dataValidation type="list" allowBlank="1" showErrorMessage="1" sqref="E7:E1008">
      <formula1>"UI,API,PL/SQL,DB"</formula1>
    </dataValidation>
    <dataValidation type="list" allowBlank="1" showErrorMessage="1" sqref="N7:N1002 M1003:M1004">
      <formula1>"High,Medium,Low"</formula1>
    </dataValidation>
    <dataValidation type="list" allowBlank="1" showErrorMessage="1" sqref="O7:P1008">
      <formula1>"Accepted,Rejected"</formula1>
    </dataValidation>
    <dataValidation type="list" allowBlank="1" sqref="J7:K7 K8:K17 J18:K18 K19:K21 J22:K1002 R7:S1002 J1003:J1004 R1003:R1004">
      <formula1>"PASS,FAIL,NT"</formula1>
    </dataValidation>
  </dataValidations>
  <hyperlinks>
    <hyperlink display="17245" location="null!A1" ref="E5"/>
    <hyperlink r:id="rId1" ref="O7"/>
    <hyperlink r:id="rId2" ref="O8"/>
    <hyperlink r:id="rId3" ref="O9"/>
    <hyperlink r:id="rId4" ref="O10"/>
    <hyperlink r:id="rId5" ref="O11"/>
    <hyperlink r:id="rId6" ref="O12"/>
    <hyperlink r:id="rId7" ref="O13"/>
    <hyperlink r:id="rId8" ref="O14"/>
    <hyperlink r:id="rId9" ref="O15"/>
    <hyperlink r:id="rId10" ref="O16"/>
    <hyperlink r:id="rId11" ref="O17"/>
    <hyperlink r:id="rId12" ref="O18"/>
    <hyperlink r:id="rId13" ref="O19"/>
    <hyperlink r:id="rId14" ref="O20"/>
    <hyperlink r:id="rId15" ref="O21"/>
    <hyperlink r:id="rId16" ref="O22"/>
    <hyperlink r:id="rId17" ref="O24"/>
    <hyperlink r:id="rId18" ref="O25"/>
    <hyperlink r:id="rId19" ref="O26"/>
    <hyperlink r:id="rId20" ref="O27"/>
    <hyperlink r:id="rId21" ref="O28"/>
    <hyperlink r:id="rId22" ref="O29"/>
    <hyperlink r:id="rId23" ref="O30"/>
    <hyperlink r:id="rId24" ref="O31"/>
    <hyperlink r:id="rId25" ref="O32"/>
    <hyperlink r:id="rId26" ref="O33"/>
    <hyperlink r:id="rId27" ref="O34"/>
    <hyperlink r:id="rId28" ref="O35"/>
    <hyperlink r:id="rId29" ref="O36"/>
  </hyperlinks>
  <drawing r:id="rId30"/>
</worksheet>
</file>