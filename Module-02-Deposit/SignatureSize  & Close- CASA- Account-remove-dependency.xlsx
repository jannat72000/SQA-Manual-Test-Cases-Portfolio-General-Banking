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9520" sheetId="1" r:id="rId5"/>
    <sheet state="visible" name="19270" sheetId="2" r:id="rId6"/>
  </sheets>
  <definedNames/>
  <calcPr/>
</workbook>
</file>

<file path=xl/sharedStrings.xml><?xml version="1.0" encoding="utf-8"?>
<sst xmlns="http://schemas.openxmlformats.org/spreadsheetml/2006/main" count="456" uniqueCount="340">
  <si>
    <t>Product Name</t>
  </si>
  <si>
    <t>ABABIL NG</t>
  </si>
  <si>
    <t>TC Start Date</t>
  </si>
  <si>
    <t>TC Execution Start Date</t>
  </si>
  <si>
    <t>Event Name</t>
  </si>
  <si>
    <t>TEST CASE STATUS</t>
  </si>
  <si>
    <t>TC End Date</t>
  </si>
  <si>
    <t>Severity</t>
  </si>
  <si>
    <t>TC Execution End Date</t>
  </si>
  <si>
    <t>Priority</t>
  </si>
  <si>
    <t>Para Form Name</t>
  </si>
  <si>
    <t>Signature Image Size Should be Configurable</t>
  </si>
  <si>
    <t>Test Case Developed By</t>
  </si>
  <si>
    <t>Jannat</t>
  </si>
  <si>
    <t>Developer Name (TL)</t>
  </si>
  <si>
    <t>PASS</t>
  </si>
  <si>
    <t>Test Case Reviewed By</t>
  </si>
  <si>
    <t>Test Executed by</t>
  </si>
  <si>
    <t>MITS ID</t>
  </si>
  <si>
    <t>Critical</t>
  </si>
  <si>
    <t>Test Case ID</t>
  </si>
  <si>
    <t>Test Description</t>
  </si>
  <si>
    <t>Expected Result</t>
  </si>
  <si>
    <t>Test Data</t>
  </si>
  <si>
    <t>Actual Result</t>
  </si>
  <si>
    <t>High</t>
  </si>
  <si>
    <t>QA Status</t>
  </si>
  <si>
    <t>Reference Screenshots</t>
  </si>
  <si>
    <t>Remarks</t>
  </si>
  <si>
    <t>Update QA Status</t>
  </si>
  <si>
    <t>TC_01</t>
  </si>
  <si>
    <t>Mandatory Field Validation: Leave the Value* field blank and click the "Save" button.</t>
  </si>
  <si>
    <t>System should not allow saving. A validation error message like "Value is required" should be displayed.</t>
  </si>
  <si>
    <t xml:space="preserve">Value is required. </t>
  </si>
  <si>
    <t>To close CASA account, remove dependency as linked account</t>
  </si>
  <si>
    <r>
      <rPr>
        <color rgb="FF1155CC"/>
        <u/>
      </rPr>
      <t>https://prnt.sc/fj8L4Lvu9C-7</t>
    </r>
    <r>
      <rPr/>
      <t xml:space="preserve"> </t>
    </r>
  </si>
  <si>
    <t>FAIL</t>
  </si>
  <si>
    <t>Medium</t>
  </si>
  <si>
    <t>https://prnt.sc/OwUteaX7QLMu</t>
  </si>
  <si>
    <t>TC_02</t>
  </si>
  <si>
    <t>Data Type Validation (Text): Input alphabets/text (e.g., ABC) in the Value* field and try to save.</t>
  </si>
  <si>
    <t>System should not allow text input or should show a validation error (e.g., "Only numeric values are allowed"). or special characters (e.g., @#$) in the Value* field and try to save.</t>
  </si>
  <si>
    <t>value: jannat1234 23474**@</t>
  </si>
  <si>
    <t>Error!
Value should be number</t>
  </si>
  <si>
    <r>
      <rPr>
        <color rgb="FF1155CC"/>
        <u/>
      </rPr>
      <t>https://prnt.sc/9RyaVXA4D8WN</t>
    </r>
    <r>
      <rPr>
        <color rgb="FF1F1F1F"/>
      </rPr>
      <t xml:space="preserve">  </t>
    </r>
    <r>
      <rPr>
        <color rgb="FF1155CC"/>
        <u/>
      </rPr>
      <t>https://prnt.sc/dMciVDYJnHIv</t>
    </r>
    <r>
      <rPr>
        <color rgb="FF1F1F1F"/>
      </rPr>
      <t xml:space="preserve">   </t>
    </r>
    <r>
      <rPr>
        <color rgb="FF1155CC"/>
        <u/>
      </rPr>
      <t>https://prnt.sc/NScoPZIqbKNG</t>
    </r>
    <r>
      <rPr/>
      <t xml:space="preserve">    </t>
    </r>
    <r>
      <rPr>
        <color rgb="FF1155CC"/>
        <u/>
      </rPr>
      <t>https://prnt.sc/CpjDgqhjWdV3</t>
    </r>
    <r>
      <rPr/>
      <t xml:space="preserve"> </t>
    </r>
  </si>
  <si>
    <t>NT</t>
  </si>
  <si>
    <r>
      <rPr>
        <color rgb="FF1155CC"/>
        <u/>
      </rPr>
      <t>https://prnt.sc/Di5Cof2t9JD0</t>
    </r>
    <r>
      <rPr/>
      <t xml:space="preserve">   </t>
    </r>
    <r>
      <rPr>
        <color rgb="FF1155CC"/>
        <u/>
      </rPr>
      <t>https://prnt.sc/9rDwNrqOKPiz</t>
    </r>
    <r>
      <rPr/>
      <t xml:space="preserve"> </t>
    </r>
  </si>
  <si>
    <t>Low</t>
  </si>
  <si>
    <t>TC_03</t>
  </si>
  <si>
    <t>Default Value Setup: Input 204800 (200 KB) in the Value* field and click "Save"</t>
  </si>
  <si>
    <t>The configuration should be saved successfully without any errors.</t>
  </si>
  <si>
    <t>value:204800 bytes</t>
  </si>
  <si>
    <t>As expected successfully save</t>
  </si>
  <si>
    <r>
      <rPr>
        <color rgb="FF1155CC"/>
        <u/>
      </rPr>
      <t>https://prnt.sc/-wutgozY8qLR</t>
    </r>
    <r>
      <rPr/>
      <t xml:space="preserve"> </t>
    </r>
    <r>
      <rPr>
        <color rgb="FF1155CC"/>
        <u/>
      </rPr>
      <t>https://prnt.sc/bvdBoOltt5bu</t>
    </r>
    <r>
      <rPr/>
      <t xml:space="preserve">   </t>
    </r>
    <r>
      <rPr>
        <color rgb="FF1155CC"/>
        <u/>
      </rPr>
      <t>https://prnt.sc/EJZZQrX5dzp3</t>
    </r>
    <r>
      <rPr/>
      <t xml:space="preserve"> </t>
    </r>
  </si>
  <si>
    <r>
      <rPr>
        <color rgb="FF1155CC"/>
        <u/>
      </rPr>
      <t>https://prnt.sc/sf_sLn4ibbdW</t>
    </r>
    <r>
      <rPr>
        <color rgb="FF1F1F1F"/>
      </rPr>
      <t xml:space="preserve">  </t>
    </r>
    <r>
      <rPr>
        <color rgb="FF1155CC"/>
        <u/>
      </rPr>
      <t>https://prnt.sc/pwnlkOo6wujF</t>
    </r>
    <r>
      <rPr>
        <color rgb="FF1F1F1F"/>
      </rPr>
      <t xml:space="preserve">   </t>
    </r>
    <r>
      <rPr>
        <color rgb="FF1155CC"/>
        <u/>
      </rPr>
      <t>https://prnt.sc/dKi_xjq3Ib2-</t>
    </r>
  </si>
  <si>
    <t>TOTAL</t>
  </si>
  <si>
    <t>TC_04</t>
  </si>
  <si>
    <t>Functional Test (Within Boundary): Deposit module and upload a signature image of size less than or equal to 204800 Bytes (200 KB), e.g., a 136 KB image.</t>
  </si>
  <si>
    <t>The signature image should be uploaded successfully without any error.</t>
  </si>
  <si>
    <t>image size: 138,832 bytes</t>
  </si>
  <si>
    <t>The signature image is uploaded successfully</t>
  </si>
  <si>
    <r>
      <rPr/>
      <t xml:space="preserve"> </t>
    </r>
    <r>
      <rPr>
        <color rgb="FF1155CC"/>
        <u/>
      </rPr>
      <t>https://prnt.sc/iyjTn9WBGTqP</t>
    </r>
    <r>
      <rPr/>
      <t xml:space="preserve">   </t>
    </r>
    <r>
      <rPr>
        <color rgb="FF1155CC"/>
        <u/>
      </rPr>
      <t>https://prnt.sc/kbZ0qo3k5GKh</t>
    </r>
    <r>
      <rPr/>
      <t xml:space="preserve"> </t>
    </r>
  </si>
  <si>
    <t>Issue Accepted</t>
  </si>
  <si>
    <r>
      <rPr>
        <color rgb="FF1155CC"/>
        <u/>
      </rPr>
      <t>https://prnt.sc/_Snw9QINW0oY</t>
    </r>
    <r>
      <rPr/>
      <t xml:space="preserve">   </t>
    </r>
    <r>
      <rPr>
        <color rgb="FF1155CC"/>
        <u/>
      </rPr>
      <t>https://prnt.sc/Eq7kRiTZXMgj</t>
    </r>
    <r>
      <rPr/>
      <t xml:space="preserve"> </t>
    </r>
    <r>
      <rPr>
        <color rgb="FF1155CC"/>
        <u/>
      </rPr>
      <t>https://prnt.sc/DIl8R_1qxunl</t>
    </r>
    <r>
      <rPr/>
      <t xml:space="preserve"> </t>
    </r>
  </si>
  <si>
    <t>TC_05</t>
  </si>
  <si>
    <t>Database Level Verification: Post successful upload in TC_04, query the database to verify the saved image data length, download/save the file from DB, and open it.</t>
  </si>
  <si>
    <t>1. The database record should show the correct data length matching the uploaded image.
2. The downloaded file must open properly without corruption and exactly match the original image.</t>
  </si>
  <si>
    <t>Verified the ACCOUNT_OPERATOR_SIGNATORY table. The SIGNATURE column contains the uploaded BLOB data. The 'Data Length' in the database is exactly 17402, which perfectly matches the original file size of 17,402 bytes (16.9 KB). The downloaded image opens successfully with correct dimensions (600 x 400 pixels) and no data corruption.</t>
  </si>
  <si>
    <r>
      <rPr>
        <color rgb="FF1155CC"/>
        <u/>
      </rPr>
      <t>https://prnt.sc/zghweRPtp7QX</t>
    </r>
    <r>
      <rPr/>
      <t xml:space="preserve">  </t>
    </r>
    <r>
      <rPr>
        <color rgb="FF1155CC"/>
        <u/>
      </rPr>
      <t>https://prnt.sc/8P2G9l9-CuJ1</t>
    </r>
    <r>
      <rPr/>
      <t xml:space="preserve">  </t>
    </r>
    <r>
      <rPr>
        <color rgb="FF1155CC"/>
        <u/>
      </rPr>
      <t>https://prnt.sc/gqXvRXzfCBr</t>
    </r>
    <r>
      <rPr/>
      <t xml:space="preserve"> </t>
    </r>
    <r>
      <rPr>
        <color rgb="FF1155CC"/>
        <u/>
      </rPr>
      <t>https://prnt.sc/AaDlge-_PSOA</t>
    </r>
    <r>
      <rPr/>
      <t xml:space="preserve">   </t>
    </r>
    <r>
      <rPr>
        <color rgb="FF1155CC"/>
        <u/>
      </rPr>
      <t>https://prnt.sc/t1Lb1P-dmOb5</t>
    </r>
    <r>
      <rPr/>
      <t xml:space="preserve"> </t>
    </r>
  </si>
  <si>
    <t>Req ID</t>
  </si>
  <si>
    <t>Requirement Description</t>
  </si>
  <si>
    <t>TC ID</t>
  </si>
  <si>
    <t>Test Case Description</t>
  </si>
  <si>
    <t>Category</t>
  </si>
  <si>
    <t>Test Steps</t>
  </si>
  <si>
    <r>
      <rPr>
        <color rgb="FF1155CC"/>
        <u/>
      </rPr>
      <t>https://prnt.sc/OnPLdSVC62GA</t>
    </r>
    <r>
      <rPr/>
      <t xml:space="preserve">  </t>
    </r>
    <r>
      <rPr>
        <color rgb="FF1155CC"/>
        <u/>
      </rPr>
      <t>https://prnt.sc/vuH6wru1pLGT</t>
    </r>
    <r>
      <rPr/>
      <t xml:space="preserve">  </t>
    </r>
    <r>
      <rPr>
        <color rgb="FF1155CC"/>
        <u/>
      </rPr>
      <t>https://prnt.sc/Qs8AdzPGTcSX</t>
    </r>
    <r>
      <rPr/>
      <t xml:space="preserve">  </t>
    </r>
    <r>
      <rPr>
        <color rgb="FF1155CC"/>
        <u/>
      </rPr>
      <t>https://prnt.sc/6WsElHcAglKF</t>
    </r>
    <r>
      <rPr/>
      <t xml:space="preserve"> </t>
    </r>
  </si>
  <si>
    <t>Tested By</t>
  </si>
  <si>
    <t>References</t>
  </si>
  <si>
    <t>TC_06</t>
  </si>
  <si>
    <t>Functional Test (Exceeding Boundary): the Deposit module and try to upload a signature image greater than 204800 Bytes (200 KB), e.g., a 250 KB image.</t>
  </si>
  <si>
    <t>QA Remarks</t>
  </si>
  <si>
    <t>Developed By</t>
  </si>
  <si>
    <t>System must block the upload and show a user-friendly error message (e.g., "Image size exceeds the maximum limit").</t>
  </si>
  <si>
    <t>Dev Remarks</t>
  </si>
  <si>
    <t>Updated QA Status</t>
  </si>
  <si>
    <t>Error!
Image size can't be greater then 200 KB</t>
  </si>
  <si>
    <t>https://prnt.sc/URUpUyrmUxie</t>
  </si>
  <si>
    <t>TC-001</t>
  </si>
  <si>
    <t>Verify Funding Account change without access guard</t>
  </si>
  <si>
    <r>
      <rPr/>
      <t xml:space="preserve">The system calculates the image size in bytes, not KB. Inputting '200' set the limit to 200 Bytes (~0.195 KB), causing the upload to fail for a 136 KB image. Additionally, there is a typo in the error message: 'greater then' should be corrected to 'greater than'.   </t>
    </r>
    <r>
      <rPr>
        <color rgb="FF1155CC"/>
        <u/>
      </rPr>
      <t>https://prnt.sc/xj17iENJjgb7</t>
    </r>
    <r>
      <rPr/>
      <t xml:space="preserve"> </t>
    </r>
  </si>
  <si>
    <t>https://prnt.sc/4q9iWIHIXxu3</t>
  </si>
  <si>
    <t>1. Login without Funding guard.
2. Open MTDR/SSP account.
3. Change Funding Account.
4. Save.</t>
  </si>
  <si>
    <t>Inactive MTDR = 1240000000633
Inactive SSP = 1976000000420</t>
  </si>
  <si>
    <t>System should allow Funding Account modification.</t>
  </si>
  <si>
    <t>Funding Account field remained editable for both inactive MTDR and inactive SSP accounts without assigning the change-funding-acc-for-mtdr-ssp access guard. The Funding Account was successfully updated and the changes were saved successfully.</t>
  </si>
  <si>
    <t>Error!
Image size can't be greater than 200 KB</t>
  </si>
  <si>
    <t>TC_07</t>
  </si>
  <si>
    <t>Verify that the system blocks the user from adding the same individual as an OWNER again if their signature is already added under the OWNER signatory type for the same account</t>
  </si>
  <si>
    <t>The system should restrict the duplicate entry and display the validation error message: 'Individual's signature already exists.' Ideally, this validation should only trigger upon clicking the final 'Save' button</t>
  </si>
  <si>
    <t>Account Number: 1973000000051, Customer ID: 4000004413, Individual ID: 300800782, Signatory Type: OWNER</t>
  </si>
  <si>
    <t>The system successfully blocked the duplicate entry and displayed the red error message: 'Individual's signature already exists.</t>
  </si>
  <si>
    <t>https://prnt.sc/V9B6Cm6THdDN</t>
  </si>
  <si>
    <t>TC_08</t>
  </si>
  <si>
    <t>Dynamic Configuration Test (Increase Limit): Change the Value* field to 512000 (500 KB), save it, and then upload a 300 KB image in the Deposit module</t>
  </si>
  <si>
    <t>The 300 KB image should be uploaded successfully, proving the configuration is dynamic.</t>
  </si>
  <si>
    <t>Image size: 29,593 bytes</t>
  </si>
  <si>
    <r>
      <rPr>
        <rFont val="Arial"/>
        <color rgb="FF1155CC"/>
        <u/>
      </rPr>
      <t>https://prnt.sc/JdjhwixqEDnR</t>
    </r>
    <r>
      <rPr>
        <rFont val="Arial"/>
        <color rgb="FF1F1F1F"/>
      </rPr>
      <t xml:space="preserve">   </t>
    </r>
    <r>
      <rPr>
        <rFont val="Arial"/>
        <color rgb="FF1155CC"/>
        <u/>
      </rPr>
      <t>https://prnt.sc/2GyfvngZL-FN</t>
    </r>
    <r>
      <rPr>
        <rFont val="Arial"/>
        <color rgb="FF1F1F1F"/>
      </rPr>
      <t xml:space="preserve">   </t>
    </r>
    <r>
      <rPr>
        <rFont val="Arial"/>
        <color rgb="FF1155CC"/>
        <u/>
      </rPr>
      <t>https://prnt.sc/GUbvKhmr2vMf</t>
    </r>
    <r>
      <rPr>
        <rFont val="Arial"/>
      </rPr>
      <t xml:space="preserve">   </t>
    </r>
    <r>
      <rPr>
        <rFont val="Arial"/>
        <color rgb="FF1155CC"/>
        <u/>
      </rPr>
      <t>https://prnt.sc/0VxLG6LR-0cm</t>
    </r>
    <r>
      <rPr>
        <rFont val="Arial"/>
      </rPr>
      <t xml:space="preserve">   </t>
    </r>
    <r>
      <rPr>
        <rFont val="Arial"/>
        <color rgb="FF1155CC"/>
        <u/>
      </rPr>
      <t>https://prnt.sc/e2Bne_TtBp1I</t>
    </r>
    <r>
      <rPr>
        <rFont val="Arial"/>
      </rPr>
      <t xml:space="preserve">  </t>
    </r>
    <r>
      <rPr>
        <rFont val="Arial"/>
        <color rgb="FF1155CC"/>
        <u/>
      </rPr>
      <t>https://prnt.sc/bnj4FVDO5egF</t>
    </r>
    <r>
      <rPr>
        <rFont val="Arial"/>
      </rPr>
      <t xml:space="preserve">                                              (SSP)  </t>
    </r>
    <r>
      <rPr>
        <rFont val="Arial"/>
        <color rgb="FF1155CC"/>
        <u/>
      </rPr>
      <t>https://prnt.sc/2pGwMZQak6gT</t>
    </r>
    <r>
      <rPr>
        <rFont val="Arial"/>
      </rPr>
      <t xml:space="preserve">   </t>
    </r>
    <r>
      <rPr>
        <rFont val="Arial"/>
        <color rgb="FF1155CC"/>
        <u/>
      </rPr>
      <t>https://prnt.sc/mZDr2rRSxbON</t>
    </r>
    <r>
      <rPr>
        <rFont val="Arial"/>
      </rPr>
      <t xml:space="preserve">   </t>
    </r>
    <r>
      <rPr>
        <rFont val="Arial"/>
        <color rgb="FF1155CC"/>
        <u/>
      </rPr>
      <t>https://prnt.sc/_R-VtvUziaBk</t>
    </r>
    <r>
      <rPr>
        <rFont val="Arial"/>
      </rPr>
      <t xml:space="preserve"> </t>
    </r>
  </si>
  <si>
    <r>
      <rPr>
        <color rgb="FF1155CC"/>
        <u/>
      </rPr>
      <t>https://prnt.sc/40RUMvavnKjP</t>
    </r>
    <r>
      <rPr>
        <color rgb="FF1F1F1F"/>
      </rPr>
      <t xml:space="preserve">  </t>
    </r>
    <r>
      <rPr>
        <color rgb="FF1155CC"/>
        <u/>
      </rPr>
      <t>https://prnt.sc/UdqLLKJOL2vf</t>
    </r>
    <r>
      <rPr>
        <color rgb="FF1F1F1F"/>
      </rPr>
      <t xml:space="preserve">  </t>
    </r>
    <r>
      <rPr>
        <color rgb="FF1155CC"/>
        <u/>
      </rPr>
      <t>https://prnt.sc/FQmpVRJAMIu5</t>
    </r>
    <r>
      <rPr>
        <color rgb="FF1F1F1F"/>
      </rPr>
      <t xml:space="preserve">  </t>
    </r>
    <r>
      <rPr>
        <color rgb="FF1155CC"/>
        <u/>
      </rPr>
      <t>https://prnt.sc/CWgQzODrVg8Z</t>
    </r>
    <r>
      <rPr>
        <color rgb="FF1F1F1F"/>
      </rPr>
      <t xml:space="preserve">  </t>
    </r>
    <r>
      <rPr>
        <color rgb="FF1155CC"/>
        <u/>
      </rPr>
      <t>https://prnt.sc/VPCN8fcDyZJ6</t>
    </r>
    <r>
      <rPr>
        <color rgb="FF1F1F1F"/>
      </rPr>
      <t xml:space="preserve">  </t>
    </r>
    <r>
      <rPr>
        <color rgb="FF1155CC"/>
        <u/>
      </rPr>
      <t>https://prnt.sc/ATqJdyJq_4Xo</t>
    </r>
    <r>
      <rPr>
        <color rgb="FF1F1F1F"/>
      </rPr>
      <t xml:space="preserve"> </t>
    </r>
  </si>
  <si>
    <r>
      <rPr>
        <color rgb="FF1155CC"/>
        <u/>
      </rPr>
      <t>https://prnt.sc/N8irHG-OMj9t</t>
    </r>
    <r>
      <rPr/>
      <t xml:space="preserve">  </t>
    </r>
    <r>
      <rPr>
        <color rgb="FF1155CC"/>
        <u/>
      </rPr>
      <t>https://prnt.sc/rPhbpFTgqjOQ</t>
    </r>
    <r>
      <rPr/>
      <t xml:space="preserve">   </t>
    </r>
    <r>
      <rPr>
        <color rgb="FF1155CC"/>
        <u/>
      </rPr>
      <t>https://prnt.sc/K2Q3kWRtrDsz</t>
    </r>
    <r>
      <rPr/>
      <t xml:space="preserve"> </t>
    </r>
  </si>
  <si>
    <t>TC_09</t>
  </si>
  <si>
    <t>Database Level Verification for Dynamic Configuration: Post successful upload of the 300 KB image in TC_07, query the database to verify the stored image data length and confirm that it matches the newly uploaded file's</t>
  </si>
  <si>
    <t>Verified the ACCOUNT_OPERATOR_SIGNATORY table for the updated configuration limit. The new record under NOMINATED signatory type successfully stored the image BLOB data. The database 'Data Length' shows exactly 27356, which perfectly matches the local OS file size of 27,356 bytes (26.7 KB). The exported image file opens properly with precise dimensions of 360 x 360 pixels and absolute visual clarity.</t>
  </si>
  <si>
    <r>
      <rPr>
        <color rgb="FF1155CC"/>
        <u/>
      </rPr>
      <t>https://prnt.sc/R6MrXTT8F1We</t>
    </r>
    <r>
      <rPr/>
      <t xml:space="preserve">  </t>
    </r>
    <r>
      <rPr>
        <color rgb="FF1155CC"/>
        <u/>
      </rPr>
      <t>https://prnt.sc/W885wNEZjlhr</t>
    </r>
    <r>
      <rPr/>
      <t xml:space="preserve">  </t>
    </r>
    <r>
      <rPr>
        <color rgb="FF1155CC"/>
        <u/>
      </rPr>
      <t>https://prnt.sc/LHVcKfiocSU4</t>
    </r>
    <r>
      <rPr/>
      <t xml:space="preserve">   </t>
    </r>
    <r>
      <rPr>
        <color rgb="FF1155CC"/>
        <u/>
      </rPr>
      <t>https://prnt.sc/2z20JBIyrNAV</t>
    </r>
    <r>
      <rPr/>
      <t xml:space="preserve"> </t>
    </r>
  </si>
  <si>
    <r>
      <rPr>
        <rFont val="Calibri"/>
        <color theme="1"/>
        <sz val="12.0"/>
      </rPr>
      <t xml:space="preserve">While testing Funding Account modification for an inactive SSP account, the Funding Account field remained editable without assigning the change-funding-acc-for-mtdr-ssp access guard. After selecting a different CASA account and attempting to save, the system displayed the following validation message:
</t>
    </r>
    <r>
      <rPr>
        <rFont val="Calibri"/>
        <color rgb="FFFF0000"/>
        <sz val="12.0"/>
      </rPr>
      <t>"Error! Auto Standing Instruction is not overridable in product."</t>
    </r>
    <r>
      <rPr>
        <rFont val="Calibri"/>
        <color theme="1"/>
        <sz val="12.0"/>
      </rPr>
      <t xml:space="preserve">
The same behavior was observed even after assigning the change-funding-acc-for-mtdr-ssp access guard.
However, the SSP product has Auto Standing Instruction unchecked at the product level. Additionally, according to the requirement, if an active SI dependency exists, the system should instruct the user to remove the related SI first.</t>
    </r>
  </si>
  <si>
    <r>
      <rPr>
        <color rgb="FF1155CC"/>
        <u/>
      </rPr>
      <t xml:space="preserve">https://prnt.sc/Osm67QgY7t70 </t>
    </r>
    <r>
      <rPr>
        <color rgb="FF1F1F1F"/>
      </rPr>
      <t xml:space="preserve">  </t>
    </r>
    <r>
      <rPr>
        <color rgb="FF1155CC"/>
        <u/>
      </rPr>
      <t>https://prnt.sc/pukbapJ6_Qbv</t>
    </r>
    <r>
      <rPr>
        <color rgb="FF1F1F1F"/>
      </rPr>
      <t xml:space="preserve">  </t>
    </r>
    <r>
      <rPr>
        <color rgb="FF1155CC"/>
        <u/>
      </rPr>
      <t>https://prnt.sc/5qmtVlB3QCUj</t>
    </r>
    <r>
      <rPr>
        <color rgb="FF1F1F1F"/>
      </rPr>
      <t xml:space="preserve">   </t>
    </r>
    <r>
      <rPr>
        <color rgb="FF1155CC"/>
        <u/>
      </rPr>
      <t>https://prnt.sc/HRM9TgFjQAU5</t>
    </r>
    <r>
      <rPr>
        <color rgb="FF1F1F1F"/>
      </rPr>
      <t xml:space="preserve"> </t>
    </r>
  </si>
  <si>
    <t>TC_10</t>
  </si>
  <si>
    <t>Dynamic Configuration Test (Decrease Limit): Change the Value* field to 51200 (50 KB), save it, and try to upload a 60 KB image in the Deposit module.</t>
  </si>
  <si>
    <t>System should block the upload because the new limit is 50 KB.</t>
  </si>
  <si>
    <t>TC-002</t>
  </si>
  <si>
    <t>Image size: 947 KB (970,430 bytes)</t>
  </si>
  <si>
    <t>Error!
Image size can't be greater then 500 KB</t>
  </si>
  <si>
    <t>Verify Funding Account change with assigned access guard</t>
  </si>
  <si>
    <t>https://prnt.sc/qCx_YyVgmtEu</t>
  </si>
  <si>
    <t>1. Ensure change-funding-acc-for-mtdr-ssp access guard is configured.
2. Assign change-funding-acc-for-mtdr-ssp in Assign Rights to Role for the test user role.
3. Login with the assigned user.
4. Open MTDR/SSP account in Edit mode.
5. Change Funding Account.
6. Click Save.</t>
  </si>
  <si>
    <t>MTDR/SSP Account</t>
  </si>
  <si>
    <t>Funding Account field should be editable and the user should be able to update and save the Funding Account successfully after assigning the change-funding-acc-for-mtdr-ssp right to the role.</t>
  </si>
  <si>
    <t xml:space="preserve">As expected funding account is enable active and inactive status </t>
  </si>
  <si>
    <t>https://prnt.sc/RZceP9XMEiR-</t>
  </si>
  <si>
    <r>
      <rPr>
        <rFont val="Arial"/>
        <color rgb="FF1155CC"/>
        <u/>
      </rPr>
      <t>https://prnt.sc/cHnX3g0BcqIJ</t>
    </r>
    <r>
      <rPr>
        <rFont val="Arial"/>
        <color rgb="FF1F1F1F"/>
      </rPr>
      <t xml:space="preserve">   </t>
    </r>
    <r>
      <rPr>
        <rFont val="Arial"/>
        <color rgb="FF1155CC"/>
        <u/>
      </rPr>
      <t>https://prnt.sc/oStjFN_9HgAV</t>
    </r>
    <r>
      <rPr>
        <rFont val="Arial"/>
        <color rgb="FF1F1F1F"/>
      </rPr>
      <t xml:space="preserve">  </t>
    </r>
    <r>
      <rPr>
        <rFont val="Arial"/>
        <color rgb="FF1155CC"/>
        <u/>
      </rPr>
      <t>https://prnt.sc/gqqV3R9NZkjZ</t>
    </r>
    <r>
      <rPr>
        <rFont val="Arial"/>
        <color rgb="FF1F1F1F"/>
      </rPr>
      <t xml:space="preserve">  </t>
    </r>
    <r>
      <rPr>
        <rFont val="Arial"/>
        <color rgb="FF1155CC"/>
        <u/>
      </rPr>
      <t>https://prnt.sc/_uKRvnALuMfN</t>
    </r>
    <r>
      <rPr>
        <rFont val="Arial"/>
        <color rgb="FF1F1F1F"/>
      </rPr>
      <t xml:space="preserve">   </t>
    </r>
    <r>
      <rPr>
        <rFont val="Arial"/>
        <color rgb="FF1155CC"/>
        <u/>
      </rPr>
      <t>https://prnt.sc/XuVcb9YpaAp9</t>
    </r>
    <r>
      <rPr>
        <rFont val="Arial"/>
        <color rgb="FF1F1F1F"/>
      </rPr>
      <t xml:space="preserve">  </t>
    </r>
    <r>
      <rPr>
        <rFont val="Arial"/>
        <color rgb="FF1155CC"/>
        <u/>
      </rPr>
      <t>https://prnt.sc/HAVKM9mGCJcr</t>
    </r>
    <r>
      <rPr>
        <rFont val="Arial"/>
        <color rgb="FF1F1F1F"/>
      </rPr>
      <t xml:space="preserve"> </t>
    </r>
    <r>
      <rPr>
        <rFont val="Arial"/>
        <color rgb="FF1155CC"/>
        <u/>
      </rPr>
      <t>https://prnt.sc/izlmP1suFSCF</t>
    </r>
    <r>
      <rPr>
        <rFont val="Arial"/>
        <color rgb="FF1F1F1F"/>
      </rPr>
      <t xml:space="preserve">   </t>
    </r>
    <r>
      <rPr>
        <rFont val="Arial"/>
        <color rgb="FF1155CC"/>
        <u/>
      </rPr>
      <t>https://prnt.sc/zC7PwI11Y-Gi</t>
    </r>
    <r>
      <rPr>
        <rFont val="Arial"/>
      </rPr>
      <t xml:space="preserve">  </t>
    </r>
    <r>
      <rPr>
        <rFont val="Arial"/>
        <color rgb="FF1155CC"/>
        <u/>
      </rPr>
      <t>https://prnt.sc/dy8l-_Lg1-5q</t>
    </r>
    <r>
      <rPr>
        <rFont val="Arial"/>
      </rPr>
      <t xml:space="preserve">  </t>
    </r>
    <r>
      <rPr>
        <rFont val="Arial"/>
        <color rgb="FF1155CC"/>
        <u/>
      </rPr>
      <t>https://prnt.sc/0QmmKO66XGrv</t>
    </r>
    <r>
      <rPr>
        <rFont val="Arial"/>
      </rPr>
      <t xml:space="preserve">  </t>
    </r>
    <r>
      <rPr>
        <rFont val="Arial"/>
        <color rgb="FF1155CC"/>
        <u/>
      </rPr>
      <t>https://prnt.sc/V6i6uPHPUg2a</t>
    </r>
    <r>
      <rPr>
        <rFont val="Arial"/>
      </rPr>
      <t xml:space="preserve"> </t>
    </r>
    <r>
      <rPr>
        <rFont val="Arial"/>
        <color rgb="FF1155CC"/>
        <u/>
      </rPr>
      <t>https://prnt.sc/VN9k1dINSZFH</t>
    </r>
    <r>
      <rPr>
        <rFont val="Arial"/>
      </rPr>
      <t xml:space="preserve">  </t>
    </r>
    <r>
      <rPr>
        <rFont val="Arial"/>
        <color rgb="FF1155CC"/>
        <u/>
      </rPr>
      <t>https://prnt.sc/skf8rMx7b4UH</t>
    </r>
    <r>
      <rPr>
        <rFont val="Arial"/>
      </rPr>
      <t xml:space="preserve">     </t>
    </r>
    <r>
      <rPr>
        <rFont val="Arial"/>
        <color rgb="FF1155CC"/>
        <u/>
      </rPr>
      <t>https://prnt.sc/J0tZyqMRgQwr</t>
    </r>
    <r>
      <rPr>
        <rFont val="Arial"/>
      </rPr>
      <t xml:space="preserve">  </t>
    </r>
    <r>
      <rPr>
        <rFont val="Arial"/>
        <color rgb="FF1155CC"/>
        <u/>
      </rPr>
      <t>https://prnt.sc/ZoY0KZzPMIjj</t>
    </r>
    <r>
      <rPr>
        <rFont val="Arial"/>
      </rPr>
      <t xml:space="preserve">  </t>
    </r>
    <r>
      <rPr>
        <rFont val="Arial"/>
        <color rgb="FF1155CC"/>
        <u/>
      </rPr>
      <t>https://prnt.sc/-avidc4o5Sa7</t>
    </r>
    <r>
      <rPr>
        <rFont val="Arial"/>
      </rPr>
      <t xml:space="preserve">  </t>
    </r>
    <r>
      <rPr>
        <rFont val="Arial"/>
        <color rgb="FF1155CC"/>
        <u/>
      </rPr>
      <t>https://prnt.sc/k1btQ-hl9ivD</t>
    </r>
    <r>
      <rPr>
        <rFont val="Arial"/>
      </rPr>
      <t xml:space="preserve">  </t>
    </r>
    <r>
      <rPr>
        <rFont val="Arial"/>
        <color rgb="FF1155CC"/>
        <u/>
      </rPr>
      <t>https://prnt.sc/FKjsv0JdaKJF</t>
    </r>
    <r>
      <rPr>
        <rFont val="Arial"/>
      </rPr>
      <t xml:space="preserve"> </t>
    </r>
    <r>
      <rPr>
        <rFont val="Arial"/>
        <color rgb="FF1155CC"/>
        <u/>
      </rPr>
      <t>https://prnt.sc/N-XrMMqx6fbq</t>
    </r>
    <r>
      <rPr>
        <rFont val="Arial"/>
      </rPr>
      <t xml:space="preserve">    </t>
    </r>
    <r>
      <rPr>
        <rFont val="Arial"/>
        <color rgb="FF1155CC"/>
        <u/>
      </rPr>
      <t>https://prnt.sc/Nohpxx5ONfFZ</t>
    </r>
    <r>
      <rPr>
        <rFont val="Arial"/>
      </rPr>
      <t xml:space="preserve"> </t>
    </r>
    <r>
      <rPr>
        <rFont val="Arial"/>
        <color rgb="FF1155CC"/>
        <u/>
      </rPr>
      <t>https://prnt.sc/1PrJsX9-3aJ9</t>
    </r>
    <r>
      <rPr>
        <rFont val="Arial"/>
      </rPr>
      <t xml:space="preserve">   </t>
    </r>
    <r>
      <rPr>
        <rFont val="Arial"/>
        <color rgb="FF1155CC"/>
        <u/>
      </rPr>
      <t>https://prnt.sc/ARM_bJL8h9__</t>
    </r>
    <r>
      <rPr>
        <rFont val="Arial"/>
      </rPr>
      <t xml:space="preserve">  </t>
    </r>
    <r>
      <rPr>
        <rFont val="Arial"/>
        <color rgb="FF1155CC"/>
        <u/>
      </rPr>
      <t>https://prnt.sc/q_D1KLAeWoE2</t>
    </r>
    <r>
      <rPr>
        <rFont val="Arial"/>
      </rPr>
      <t xml:space="preserve"> </t>
    </r>
  </si>
  <si>
    <t>TC_11</t>
  </si>
  <si>
    <t>Verify cross-module integration when adding a signature under a Deposit Account for a customer who already has an active signature in the Individual Dashboard. Triggered by clicking the 'Add Signatory' button.</t>
  </si>
  <si>
    <t>Upon clicking 'Add Signatory', the system should immediately display a confirmation popup stating: 'This individual has a signature. Do you want to use it?</t>
  </si>
  <si>
    <t>Customer ID: 4000002870, Individual ID: 300799357, Signatory Type: OWNER</t>
  </si>
  <si>
    <t>System successfully detected the existing signature and displayed the confirmation popup window with 'Yes' and 'No' options.</t>
  </si>
  <si>
    <r>
      <rPr>
        <color rgb="FF1155CC"/>
        <u/>
      </rPr>
      <t>https://prnt.sc/xW45qpCE6L4A</t>
    </r>
    <r>
      <rPr>
        <color rgb="FF1F1F1F"/>
      </rPr>
      <t xml:space="preserve">  </t>
    </r>
    <r>
      <rPr>
        <color rgb="FF1155CC"/>
        <u/>
      </rPr>
      <t>https://prnt.sc/we4JOShVJxgO</t>
    </r>
    <r>
      <rPr/>
      <t xml:space="preserve">  </t>
    </r>
    <r>
      <rPr>
        <color rgb="FF1155CC"/>
        <u/>
      </rPr>
      <t>https://prnt.sc/z-GQEaKQpJu9</t>
    </r>
    <r>
      <rPr/>
      <t xml:space="preserve"> </t>
    </r>
  </si>
  <si>
    <r>
      <rPr>
        <color rgb="FF1155CC"/>
        <u/>
      </rPr>
      <t>https://prnt.sc/TYVosWytzkGy</t>
    </r>
    <r>
      <rPr>
        <color rgb="FF1F1F1F"/>
      </rPr>
      <t xml:space="preserve">  </t>
    </r>
    <r>
      <rPr>
        <color rgb="FF1155CC"/>
        <u/>
      </rPr>
      <t>https://prnt.sc/YXGHb1jDVICj</t>
    </r>
    <r>
      <rPr>
        <color rgb="FF1F1F1F"/>
      </rPr>
      <t xml:space="preserve">  </t>
    </r>
    <r>
      <rPr>
        <color rgb="FF1155CC"/>
        <u/>
      </rPr>
      <t>https://prnt.sc/i5P5pZMLIF-6</t>
    </r>
    <r>
      <rPr>
        <color rgb="FF1F1F1F"/>
      </rPr>
      <t xml:space="preserve">  </t>
    </r>
    <r>
      <rPr>
        <color rgb="FF1155CC"/>
        <u/>
      </rPr>
      <t>https://prnt.sc/8CezcfhyFnuR</t>
    </r>
    <r>
      <rPr>
        <color rgb="FF1F1F1F"/>
      </rPr>
      <t xml:space="preserve"> </t>
    </r>
    <r>
      <rPr>
        <color rgb="FF1155CC"/>
        <u/>
      </rPr>
      <t>https://prnt.sc/3UEEjVNtl9q0</t>
    </r>
    <r>
      <rPr/>
      <t xml:space="preserve">  </t>
    </r>
    <r>
      <rPr>
        <color rgb="FF1155CC"/>
        <u/>
      </rPr>
      <t>https://prnt.sc/rqo0egK52cIU</t>
    </r>
    <r>
      <rPr/>
      <t xml:space="preserve">  </t>
    </r>
    <r>
      <rPr>
        <color rgb="FF1155CC"/>
        <u/>
      </rPr>
      <t>https://prnt.sc/k_x8oRYotw1n</t>
    </r>
  </si>
  <si>
    <t>TC-003</t>
  </si>
  <si>
    <t>Verify Funding Account remains disabled when access guard is not assigned to role</t>
  </si>
  <si>
    <t>1. Ensure change-funding-acc-for-mtdr-ssp access guard exists in Access Guard Configuration.
2. Do not assign change-funding-acc-for-mtdr-ssp in Assign Rights to Role.
3. Login with the test user.
4. Open MTDR/SSP account in Edit mode.
5. Observe the Funding Account field.</t>
  </si>
  <si>
    <t>inactive &amp; active MTDR/SSP Account</t>
  </si>
  <si>
    <t>Funding Account field should remain disabled and the user should not be able to modify the Funding Account when the change-funding-acc-for-mtdr-ssp right is not assigned to the role.</t>
  </si>
  <si>
    <t xml:space="preserve">As expected funding account is disable active and inactive status </t>
  </si>
  <si>
    <t>TC_12</t>
  </si>
  <si>
    <t>Verify that the signature is loaded and clearly visible on the screen after clicking the 'Yes' button on the popup.</t>
  </si>
  <si>
    <t>The pre-existing signature image from the Individual Dashboard should automatically load onto the screen.</t>
  </si>
  <si>
    <t>Account Number: 1973000000046, Customer ID: 4000002870, Individual ID: 300799357</t>
  </si>
  <si>
    <t>Clicking 'Yes' automatically displayed the signature image on the screen without any issue</t>
  </si>
  <si>
    <r>
      <rPr>
        <color rgb="FF1155CC"/>
        <u/>
      </rPr>
      <t>https://prnt.sc/c-T-VcHB24i_</t>
    </r>
    <r>
      <rPr>
        <color rgb="FF1F1F1F"/>
      </rPr>
      <t xml:space="preserve">  </t>
    </r>
    <r>
      <rPr>
        <color rgb="FF1155CC"/>
        <u/>
      </rPr>
      <t>https://prnt.sc/P6N3zBC2e3tn</t>
    </r>
    <r>
      <rPr>
        <color rgb="FF1F1F1F"/>
      </rPr>
      <t xml:space="preserve"> </t>
    </r>
  </si>
  <si>
    <r>
      <rPr>
        <rFont val="Arial"/>
        <color rgb="FF1155CC"/>
        <u/>
      </rPr>
      <t>https://prnt.sc/cHnX3g0BcqIJ</t>
    </r>
    <r>
      <rPr>
        <rFont val="Arial"/>
      </rPr>
      <t xml:space="preserve">   </t>
    </r>
    <r>
      <rPr>
        <rFont val="Arial"/>
        <color rgb="FF1155CC"/>
        <u/>
      </rPr>
      <t>https://prnt.sc/cHnX3g0BcqI</t>
    </r>
    <r>
      <rPr>
        <rFont val="Arial"/>
      </rPr>
      <t xml:space="preserve">  </t>
    </r>
    <r>
      <rPr>
        <rFont val="Arial"/>
        <color rgb="FF1155CC"/>
        <u/>
      </rPr>
      <t>https://prnt.sc/h6I0HNZwWpYy</t>
    </r>
    <r>
      <rPr>
        <rFont val="Arial"/>
      </rPr>
      <t xml:space="preserve">  </t>
    </r>
    <r>
      <rPr>
        <rFont val="Arial"/>
        <color rgb="FF1155CC"/>
        <u/>
      </rPr>
      <t>https://prnt.sc/JrfWSDn9CGw-</t>
    </r>
    <r>
      <rPr>
        <rFont val="Arial"/>
      </rPr>
      <t xml:space="preserve">  </t>
    </r>
    <r>
      <rPr>
        <rFont val="Arial"/>
        <color rgb="FF1155CC"/>
        <u/>
      </rPr>
      <t>https://prnt.sc/bnHeW95QNCds</t>
    </r>
    <r>
      <rPr>
        <rFont val="Arial"/>
      </rPr>
      <t xml:space="preserve">   </t>
    </r>
    <r>
      <rPr>
        <rFont val="Arial"/>
        <color rgb="FF1155CC"/>
        <u/>
      </rPr>
      <t>https://prnt.sc/6Z9w3UCR1CE3</t>
    </r>
    <r>
      <rPr>
        <rFont val="Arial"/>
      </rPr>
      <t xml:space="preserve"> </t>
    </r>
  </si>
  <si>
    <t>TC-004</t>
  </si>
  <si>
    <t>TC_13</t>
  </si>
  <si>
    <t>Database Check: Verify that the system correctly saves the signature in the database after clicking 'Yes' on the popup, and check if the downloaded image matches the original one.</t>
  </si>
  <si>
    <t>Verify Profit Posting Account change without access guard</t>
  </si>
  <si>
    <t>Verified the ACCOUNT_OPERATOR_SIGNATORY table. The SIGNATURE column successfully saved the data with a 'Data Length' of exactly 78799, which perfectly matches the original file properties (78,799 bytes). The downloaded image opens successfully with correct dimensions (612 x 408 pixels) and matches the original signature perfectly.</t>
  </si>
  <si>
    <r>
      <rPr>
        <color rgb="FF1155CC"/>
        <u/>
      </rPr>
      <t>https://prnt.sc/8_nFwlfNDTcH</t>
    </r>
    <r>
      <rPr/>
      <t xml:space="preserve">   </t>
    </r>
    <r>
      <rPr>
        <color rgb="FF1155CC"/>
        <u/>
      </rPr>
      <t>https://prnt.sc/kC6guH-aHemc</t>
    </r>
    <r>
      <rPr/>
      <t xml:space="preserve"> </t>
    </r>
  </si>
  <si>
    <t>1. Login without Operating guard.
2. Change Profit Posting Account.
3. Save.</t>
  </si>
  <si>
    <t>System should allow modification.</t>
  </si>
  <si>
    <t xml:space="preserve">as expected </t>
  </si>
  <si>
    <r>
      <rPr>
        <color rgb="FF1155CC"/>
        <u/>
      </rPr>
      <t xml:space="preserve">https://prnt.sc/AP2Rmoju9K28 </t>
    </r>
    <r>
      <rPr>
        <color rgb="FF1F1F1F"/>
      </rPr>
      <t xml:space="preserve"> </t>
    </r>
    <r>
      <rPr>
        <color rgb="FF1155CC"/>
        <u/>
      </rPr>
      <t>https://prnt.sc/yeV9_bZpjBel</t>
    </r>
    <r>
      <rPr>
        <color rgb="FF1F1F1F"/>
      </rPr>
      <t xml:space="preserve">  </t>
    </r>
    <r>
      <rPr>
        <color rgb="FF1155CC"/>
        <u/>
      </rPr>
      <t>https://prnt.sc/svu6YF9XDzze</t>
    </r>
    <r>
      <rPr>
        <color rgb="FF1F1F1F"/>
      </rPr>
      <t xml:space="preserve">  </t>
    </r>
    <r>
      <rPr>
        <color rgb="FF1155CC"/>
        <u/>
      </rPr>
      <t>https://prnt.sc/E4L981myVUOA</t>
    </r>
    <r>
      <rPr>
        <color rgb="FF1F1F1F"/>
      </rPr>
      <t xml:space="preserve">  </t>
    </r>
    <r>
      <rPr>
        <color rgb="FF1155CC"/>
        <u/>
      </rPr>
      <t>https://prnt.sc/8h3PMIlCUXiV</t>
    </r>
    <r>
      <rPr>
        <color rgb="FF1F1F1F"/>
      </rPr>
      <t xml:space="preserve">   </t>
    </r>
    <r>
      <rPr>
        <color rgb="FF1155CC"/>
        <u/>
      </rPr>
      <t>https://prnt.sc/aLHl49O3aYvG</t>
    </r>
    <r>
      <rPr>
        <color rgb="FF1F1F1F"/>
      </rPr>
      <t xml:space="preserve"> </t>
    </r>
  </si>
  <si>
    <r>
      <rPr>
        <rFont val="Arial"/>
        <color rgb="FF1155CC"/>
        <u/>
      </rPr>
      <t>https://prnt.sc/me8XxpqqnngG</t>
    </r>
    <r>
      <rPr>
        <rFont val="Arial"/>
        <color rgb="FF1F1F1F"/>
      </rPr>
      <t xml:space="preserve">  </t>
    </r>
    <r>
      <rPr>
        <rFont val="Arial"/>
        <color rgb="FF1155CC"/>
        <u/>
      </rPr>
      <t>https://prnt.sc/oEPrxDAwybfh</t>
    </r>
    <r>
      <rPr>
        <rFont val="Arial"/>
        <color rgb="FF1F1F1F"/>
      </rPr>
      <t xml:space="preserve">  </t>
    </r>
    <r>
      <rPr>
        <rFont val="Arial"/>
        <color rgb="FF1155CC"/>
        <u/>
      </rPr>
      <t>https://prnt.sc/NniLCWhOz-2O</t>
    </r>
    <r>
      <rPr>
        <rFont val="Arial"/>
        <color rgb="FF1F1F1F"/>
      </rPr>
      <t xml:space="preserve">   </t>
    </r>
    <r>
      <rPr>
        <rFont val="Arial"/>
        <color rgb="FF1155CC"/>
        <u/>
      </rPr>
      <t>https://prnt.sc/W1gwj_-CstZ0</t>
    </r>
    <r>
      <rPr>
        <rFont val="Arial"/>
      </rPr>
      <t xml:space="preserve">   </t>
    </r>
    <r>
      <rPr>
        <rFont val="Arial"/>
        <color rgb="FF1155CC"/>
        <u/>
      </rPr>
      <t>https://prnt.sc/AHZLU34HPvRW</t>
    </r>
    <r>
      <rPr>
        <rFont val="Arial"/>
      </rPr>
      <t xml:space="preserve">   </t>
    </r>
    <r>
      <rPr>
        <rFont val="Arial"/>
        <color rgb="FF1155CC"/>
        <u/>
      </rPr>
      <t>https://prnt.sc/1JHGzf7tZMDE</t>
    </r>
    <r>
      <rPr>
        <rFont val="Arial"/>
      </rPr>
      <t xml:space="preserve">   </t>
    </r>
    <r>
      <rPr>
        <rFont val="Arial"/>
        <color rgb="FF1155CC"/>
        <u/>
      </rPr>
      <t>https://prnt.sc/wnIHorF03rH4</t>
    </r>
    <r>
      <rPr>
        <rFont val="Arial"/>
      </rPr>
      <t xml:space="preserve">  </t>
    </r>
    <r>
      <rPr>
        <rFont val="Arial"/>
        <color rgb="FF1155CC"/>
        <u/>
      </rPr>
      <t>https://prnt.sc/2TD6zZODECCB</t>
    </r>
    <r>
      <rPr>
        <rFont val="Arial"/>
      </rPr>
      <t xml:space="preserve">  </t>
    </r>
    <r>
      <rPr>
        <rFont val="Arial"/>
        <color rgb="FF1155CC"/>
        <u/>
      </rPr>
      <t>https://prnt.sc/4JHLpsEuJAF_</t>
    </r>
    <r>
      <rPr>
        <rFont val="Arial"/>
      </rPr>
      <t xml:space="preserve">   </t>
    </r>
    <r>
      <rPr>
        <rFont val="Arial"/>
        <color rgb="FF1155CC"/>
        <u/>
      </rPr>
      <t>https://prnt.sc/fUX0jMtS5q0t</t>
    </r>
    <r>
      <rPr>
        <rFont val="Arial"/>
      </rPr>
      <t xml:space="preserve">   </t>
    </r>
    <r>
      <rPr>
        <rFont val="Arial"/>
        <color rgb="FF1155CC"/>
        <u/>
      </rPr>
      <t>https://prnt.sc/imvrFDJY01Ie</t>
    </r>
    <r>
      <rPr>
        <rFont val="Arial"/>
      </rPr>
      <t xml:space="preserve"> </t>
    </r>
  </si>
  <si>
    <t>TC_14</t>
  </si>
  <si>
    <t>Verify that the confirmation popup appears when adding a signature for a Nominee who already has an existing signature in the system.</t>
  </si>
  <si>
    <t>Upon clicking the signature button for the Nominee, the system should immediately display the confirmation popup: 'This individual has a signature. Do you want to use it?'"</t>
  </si>
  <si>
    <t>Account Number: 1973000000046, Customer ID: 4000002870, Signatory Type: NOMINEE</t>
  </si>
  <si>
    <t>The system successfully identified the Nominee's existing signature and instantly displayed the expected confirmation popup window with 'Yes' and 'No' options.</t>
  </si>
  <si>
    <t>https://prnt.sc/2ek3Xz9EL79D</t>
  </si>
  <si>
    <t>TC-005</t>
  </si>
  <si>
    <t>Verify Profit Posting Account remains disabled when access guard is not assigned to role</t>
  </si>
  <si>
    <t>1. Ensure change-operating-acc-for-mtdr-ssp access guard exists in Access Guard Configuration.
2. Do not assign change-operating-acc-for-mtdr-ssp in Assign Rights to Role.
3. Login with the test user.
4. Open MTDR/SSP account in Edit mode.
5. Observe the Profit Posting Account field.</t>
  </si>
  <si>
    <t>Active &amp; Inactive MTDR/SSP Account</t>
  </si>
  <si>
    <t>Profit Posting Account field should remain disabled and the user should not be able to modify the Profit Posting Account when the change-operating-acc-for-mtdr-ssp right is not assigned to the role.</t>
  </si>
  <si>
    <t>TC_15</t>
  </si>
  <si>
    <r>
      <rPr>
        <rFont val="Arial"/>
        <color rgb="FF1155CC"/>
        <u/>
      </rPr>
      <t>https://prnt.sc/COqxd_u6H28j</t>
    </r>
    <r>
      <rPr>
        <rFont val="Arial"/>
      </rPr>
      <t xml:space="preserve">  </t>
    </r>
    <r>
      <rPr>
        <rFont val="Arial"/>
        <color rgb="FF1155CC"/>
        <u/>
      </rPr>
      <t>https://prnt.sc/ROJWa3U2j3cE</t>
    </r>
    <r>
      <rPr>
        <rFont val="Arial"/>
      </rPr>
      <t xml:space="preserve">   </t>
    </r>
    <r>
      <rPr>
        <rFont val="Arial"/>
        <color rgb="FF1155CC"/>
        <u/>
      </rPr>
      <t>https://prnt.sc/O6pGvMfAxQg_</t>
    </r>
    <r>
      <rPr>
        <rFont val="Arial"/>
      </rPr>
      <t xml:space="preserve">   </t>
    </r>
    <r>
      <rPr>
        <rFont val="Arial"/>
        <color rgb="FF1155CC"/>
        <u/>
      </rPr>
      <t>https://prnt.sc/e-NBCypnO7G6</t>
    </r>
    <r>
      <rPr>
        <rFont val="Arial"/>
      </rPr>
      <t xml:space="preserve">  </t>
    </r>
    <r>
      <rPr>
        <rFont val="Arial"/>
        <color rgb="FF1155CC"/>
        <u/>
      </rPr>
      <t>https://prnt.sc/5hPLzahzSzNc</t>
    </r>
    <r>
      <rPr>
        <rFont val="Arial"/>
      </rPr>
      <t xml:space="preserve"> </t>
    </r>
  </si>
  <si>
    <t>Verify that the system blocks the user from adding the same signature for a Nominee if it is already added as an Owner under the same account</t>
  </si>
  <si>
    <t>The system should restrict the duplicate entry and display an error message: 'Individual's signature already exists.' Ideally, this validation should trigger when clicking the final 'Save' button</t>
  </si>
  <si>
    <t>Customer ID: 4000002870, Individual ID: 300799357, Signatory Type: NOMINATED</t>
  </si>
  <si>
    <t>The system successfully blocked the duplicate entry and displayed the red error message: 'Individual's signature already exists.' However, the error appears prematurely right after clicking 'Yes' on the confirmation popup, while the record is still added to the grid below.</t>
  </si>
  <si>
    <t>https://prnt.sc/Rl3bEOGzeEs1</t>
  </si>
  <si>
    <t>The validation message is correct, but the triggering timing is wrong. Currently, the error appears immediately after clicking 'Yes' on the confirmation popup. It should ideally trigger at the final stage when clicking the top 'Save' button to ensure a proper and clean workflow sequence.</t>
  </si>
  <si>
    <t>https://prnt.sc/QsjHelU0uAbD</t>
  </si>
  <si>
    <t>TC-006</t>
  </si>
  <si>
    <t>Verify Profit Posting Account change with assigned access guard</t>
  </si>
  <si>
    <t>1. Ensure change-operating-acc-for-mtdr-ssp access guard is configured.
2. Assign change-operating-acc-for-mtdr-ssp in Assign Rights to Role for the test user role.
3. Login with the assigned user.
4. Open MTDR/SSP account in Edit mode.
5. Change Profit Posting Account.
6. Click Save.</t>
  </si>
  <si>
    <t>Profit Posting Account field should be editable and the user should be able to update and save the Profit Posting Account successfully after assigning the change-operating-acc-for-mtdr-ssp right to the role.</t>
  </si>
  <si>
    <t>TC_16</t>
  </si>
  <si>
    <t>Verify both UI rendering and Database integrity for an existing signature loaded under NOMINATED signatory type, ensuring the downloaded backend file matches the original properties.</t>
  </si>
  <si>
    <t>1. The signature image should load automatically on the screen under 'NOMINATED' type and show in the 'Approve Task' window. 2. The database 'Data Length' must be exactly 9144 (matching the 9,144 bytes file size). 3. The downloaded image must open without corruption with dimensions 255 x 200 pixels.</t>
  </si>
  <si>
    <t>Customer ID: 4000002870, Individual ID: 300799357, Signatory Name: jhon, Individual ID for Signature: 300795694</t>
  </si>
  <si>
    <t>1. UI Verification: The signature successfully rendered in the creation grid and appeared flawlessly in the Checker Approval screen. 2. Database Verification: Checked the ACCOUNT_OPERATOR_SIGNATORY table; the 'Data Length' shows exactly 9144, perfectly matching the image file properties 3. Image Integrity: The exported image opens correctly with exact dimensions of 255 x 200 pixels and clear resolution."</t>
  </si>
  <si>
    <r>
      <rPr>
        <color rgb="FF1155CC"/>
        <u/>
      </rPr>
      <t>https://prnt.sc/fvR9N4zzR14p</t>
    </r>
    <r>
      <rPr/>
      <t xml:space="preserve"> </t>
    </r>
    <r>
      <rPr>
        <color rgb="FF1155CC"/>
        <u/>
      </rPr>
      <t>https://prnt.sc/M6xkRZYenrqD</t>
    </r>
    <r>
      <rPr/>
      <t xml:space="preserve">  </t>
    </r>
    <r>
      <rPr>
        <color rgb="FF1155CC"/>
        <u/>
      </rPr>
      <t>https://prnt.sc/v4dKfgOXae8e</t>
    </r>
    <r>
      <rPr/>
      <t xml:space="preserve">   </t>
    </r>
    <r>
      <rPr>
        <color rgb="FF1155CC"/>
        <u/>
      </rPr>
      <t>https://prnt.sc/jK1H00_z4pPB</t>
    </r>
    <r>
      <rPr/>
      <t xml:space="preserve"> </t>
    </r>
  </si>
  <si>
    <r>
      <rPr>
        <rFont val="Arial"/>
        <color rgb="FF1155CC"/>
        <u/>
      </rPr>
      <t xml:space="preserve">https://prnt.sc/1di2LYuCTzHa </t>
    </r>
    <r>
      <rPr>
        <rFont val="Arial"/>
        <color rgb="FF1F1F1F"/>
      </rPr>
      <t xml:space="preserve">  </t>
    </r>
    <r>
      <rPr>
        <rFont val="Arial"/>
        <color rgb="FF1155CC"/>
        <u/>
      </rPr>
      <t>https://prnt.sc/2oTgB3mbIuKX</t>
    </r>
    <r>
      <rPr>
        <rFont val="Arial"/>
        <color rgb="FF1F1F1F"/>
      </rPr>
      <t xml:space="preserve">  </t>
    </r>
    <r>
      <rPr>
        <rFont val="Arial"/>
        <color rgb="FF1155CC"/>
        <u/>
      </rPr>
      <t>https://prnt.sc/tvAIU5-62JYc</t>
    </r>
    <r>
      <rPr>
        <rFont val="Arial"/>
      </rPr>
      <t xml:space="preserve">   </t>
    </r>
    <r>
      <rPr>
        <rFont val="Arial"/>
        <color rgb="FF1155CC"/>
        <u/>
      </rPr>
      <t>https://prnt.sc/mDdABpDq4aLf</t>
    </r>
    <r>
      <rPr>
        <rFont val="Arial"/>
      </rPr>
      <t xml:space="preserve">  </t>
    </r>
    <r>
      <rPr>
        <rFont val="Arial"/>
        <color rgb="FF1155CC"/>
        <u/>
      </rPr>
      <t>https://prnt.sc/QxvFx_fZwfbB</t>
    </r>
    <r>
      <rPr>
        <rFont val="Arial"/>
      </rPr>
      <t xml:space="preserve">   </t>
    </r>
    <r>
      <rPr>
        <rFont val="Arial"/>
        <color rgb="FF1155CC"/>
        <u/>
      </rPr>
      <t>https://prnt.sc/p33Lfhh4Zslk</t>
    </r>
    <r>
      <rPr>
        <rFont val="Arial"/>
      </rPr>
      <t xml:space="preserve">  </t>
    </r>
    <r>
      <rPr>
        <rFont val="Arial"/>
        <color rgb="FF1155CC"/>
        <u/>
      </rPr>
      <t>https://prnt.sc/NSAcswbE5qs0</t>
    </r>
    <r>
      <rPr>
        <rFont val="Arial"/>
      </rPr>
      <t xml:space="preserve">   </t>
    </r>
    <r>
      <rPr>
        <rFont val="Arial"/>
        <color rgb="FF1155CC"/>
        <u/>
      </rPr>
      <t>https://prnt.sc/tqA0zTFkXVNm</t>
    </r>
    <r>
      <rPr>
        <rFont val="Arial"/>
      </rPr>
      <t xml:space="preserve">  </t>
    </r>
    <r>
      <rPr>
        <rFont val="Arial"/>
        <color rgb="FF1155CC"/>
        <u/>
      </rPr>
      <t>https://prnt.sc/wUfQ7oXIHTKT</t>
    </r>
    <r>
      <rPr>
        <rFont val="Arial"/>
      </rPr>
      <t xml:space="preserve">  </t>
    </r>
    <r>
      <rPr>
        <rFont val="Arial"/>
        <color rgb="FF1155CC"/>
        <u/>
      </rPr>
      <t>https://prnt.sc/apeseQwasNua</t>
    </r>
    <r>
      <rPr>
        <rFont val="Arial"/>
      </rPr>
      <t xml:space="preserve"> </t>
    </r>
  </si>
  <si>
    <r>
      <rPr>
        <color rgb="FF1155CC"/>
        <u/>
      </rPr>
      <t>https://prnt.sc/qizKXCubtt_U</t>
    </r>
    <r>
      <rPr>
        <color rgb="FF1F1F1F"/>
      </rPr>
      <t xml:space="preserve"> </t>
    </r>
    <r>
      <rPr>
        <color rgb="FF1155CC"/>
        <u/>
      </rPr>
      <t>https://prnt.sc/U5lLsqQJea2Y</t>
    </r>
    <r>
      <rPr>
        <color rgb="FF1F1F1F"/>
      </rPr>
      <t xml:space="preserve">  </t>
    </r>
    <r>
      <rPr>
        <color rgb="FF1155CC"/>
        <u/>
      </rPr>
      <t>https://prnt.sc/fNmgVVrcPa73</t>
    </r>
    <r>
      <rPr/>
      <t xml:space="preserve">  </t>
    </r>
    <r>
      <rPr>
        <color rgb="FF1155CC"/>
        <u/>
      </rPr>
      <t>https://prnt.sc/JAwgYv7uqL89</t>
    </r>
    <r>
      <rPr/>
      <t xml:space="preserve">   </t>
    </r>
    <r>
      <rPr>
        <color rgb="FF1155CC"/>
        <u/>
      </rPr>
      <t>https://prnt.sc/cKtPmDQYiBzO</t>
    </r>
    <r>
      <rPr/>
      <t xml:space="preserve">   </t>
    </r>
    <r>
      <rPr>
        <color rgb="FF1155CC"/>
        <u/>
      </rPr>
      <t>https://prnt.sc/nwdiUgJ2ZSyQ</t>
    </r>
    <r>
      <rPr/>
      <t xml:space="preserve">  </t>
    </r>
    <r>
      <rPr>
        <color rgb="FF1155CC"/>
        <u/>
      </rPr>
      <t>https://prnt.sc/lN0JtLL5tNWi</t>
    </r>
    <r>
      <rPr/>
      <t xml:space="preserve"> </t>
    </r>
  </si>
  <si>
    <t>TC-007</t>
  </si>
  <si>
    <t>Verify Encashment Account change without access guard</t>
  </si>
  <si>
    <t>1. Login without Encashment guard.
2. Change Encashment Account.
3. Save.</t>
  </si>
  <si>
    <t>TC_17</t>
  </si>
  <si>
    <t>System should not allow modification.</t>
  </si>
  <si>
    <t>Verify that clicking 'No' on the existing signature confirmation popup cancels the auto-loading and successfully allows the user to upload a completely new/different signature image manually</t>
  </si>
  <si>
    <t>1. Clicking 'No' must close the popup without loading the pre-existing signature. 2. The system should allow clicking 'Upload Signature' to crop and select a new image. 3. The new signature must be displayed in the Checker Approval screen and saved correctly.</t>
  </si>
  <si>
    <t>Account Number: 112000000709, Customer ID: 4000002870, Individual ID: 300799357, Signatory Type: OWNER</t>
  </si>
  <si>
    <t xml:space="preserve">1. Popup Action: Clicking 'No' dismissed the confirmation box and kept the signature area blank 2. New Upload: Successfully uploaded and cropped a new emoji-themed signature image via the profile photo modal 3. Approval &amp; View: The newly uploaded signature perfectly appeared in the Checker's 'Approve Task' view  and verified successfully in the 'Signature Viewer' modal </t>
  </si>
  <si>
    <r>
      <rPr>
        <color rgb="FF1155CC"/>
        <u/>
      </rPr>
      <t>https://prnt.sc/CEQTfnHtYkE5</t>
    </r>
    <r>
      <rPr/>
      <t xml:space="preserve">  </t>
    </r>
    <r>
      <rPr>
        <color rgb="FF1155CC"/>
        <u/>
      </rPr>
      <t>https://prnt.sc/_fubfbyDmY1V</t>
    </r>
    <r>
      <rPr/>
      <t xml:space="preserve">  </t>
    </r>
    <r>
      <rPr>
        <color rgb="FF1155CC"/>
        <u/>
      </rPr>
      <t>https://prnt.sc/fZfvAq7OlcOx</t>
    </r>
    <r>
      <rPr/>
      <t xml:space="preserve">  </t>
    </r>
    <r>
      <rPr>
        <color rgb="FF1155CC"/>
        <u/>
      </rPr>
      <t>https://prnt.sc/6JY-CD2P6Trv</t>
    </r>
    <r>
      <rPr/>
      <t xml:space="preserve">  </t>
    </r>
    <r>
      <rPr>
        <color rgb="FF1155CC"/>
        <u/>
      </rPr>
      <t>https://prnt.sc/Rv8Ca1sz9uks</t>
    </r>
    <r>
      <rPr/>
      <t xml:space="preserve">  </t>
    </r>
    <r>
      <rPr>
        <color rgb="FF1155CC"/>
        <u/>
      </rPr>
      <t>https://prnt.sc/bwWiSkpEdfvv</t>
    </r>
    <r>
      <rPr/>
      <t xml:space="preserve"> </t>
    </r>
  </si>
  <si>
    <r>
      <rPr>
        <rFont val="Arial"/>
        <color rgb="FF1155CC"/>
        <u/>
      </rPr>
      <t>https://prnt.sc/EjrN7sbH6z7z</t>
    </r>
    <r>
      <rPr>
        <rFont val="Arial"/>
      </rPr>
      <t xml:space="preserve">  </t>
    </r>
    <r>
      <rPr>
        <rFont val="Arial"/>
        <color rgb="FF1155CC"/>
        <u/>
      </rPr>
      <t>https://prnt.sc/1EsTqzVo7bNf</t>
    </r>
    <r>
      <rPr>
        <rFont val="Arial"/>
      </rPr>
      <t xml:space="preserve">  </t>
    </r>
    <r>
      <rPr>
        <rFont val="Arial"/>
        <color rgb="FF1155CC"/>
        <u/>
      </rPr>
      <t>https://prnt.sc/ivCcpImhjjah</t>
    </r>
    <r>
      <rPr>
        <rFont val="Arial"/>
      </rPr>
      <t xml:space="preserve">  </t>
    </r>
    <r>
      <rPr>
        <rFont val="Arial"/>
        <color rgb="FF1155CC"/>
        <u/>
      </rPr>
      <t>https://prnt.sc/fVW_mL85B2qA</t>
    </r>
    <r>
      <rPr>
        <rFont val="Arial"/>
      </rPr>
      <t xml:space="preserve">  </t>
    </r>
    <r>
      <rPr>
        <rFont val="Arial"/>
        <color rgb="FF1155CC"/>
        <u/>
      </rPr>
      <t>https://prnt.sc/4iNUgRvApkKf</t>
    </r>
    <r>
      <rPr>
        <rFont val="Arial"/>
      </rPr>
      <t xml:space="preserve">  </t>
    </r>
    <r>
      <rPr>
        <rFont val="Arial"/>
        <color rgb="FF1155CC"/>
        <u/>
      </rPr>
      <t>https://prnt.sc/_BG_Q7Jc2su-</t>
    </r>
    <r>
      <rPr>
        <rFont val="Arial"/>
      </rPr>
      <t xml:space="preserve">  </t>
    </r>
    <r>
      <rPr>
        <rFont val="Arial"/>
        <color rgb="FF1155CC"/>
        <u/>
      </rPr>
      <t>https://prnt.sc/-EmRwOhiFUhQ</t>
    </r>
    <r>
      <rPr>
        <rFont val="Arial"/>
      </rPr>
      <t xml:space="preserve">   </t>
    </r>
    <r>
      <rPr>
        <rFont val="Arial"/>
        <color rgb="FF1155CC"/>
        <u/>
      </rPr>
      <t>https://prnt.sc/CGG1BWMrFQBb</t>
    </r>
    <r>
      <rPr>
        <rFont val="Arial"/>
      </rPr>
      <t xml:space="preserve">  </t>
    </r>
    <r>
      <rPr>
        <rFont val="Arial"/>
        <color rgb="FF1155CC"/>
        <u/>
      </rPr>
      <t>https://prnt.sc/GxTScENVLa5h</t>
    </r>
    <r>
      <rPr>
        <rFont val="Arial"/>
      </rPr>
      <t xml:space="preserve">  </t>
    </r>
    <r>
      <rPr>
        <rFont val="Arial"/>
        <color rgb="FF1155CC"/>
        <u/>
      </rPr>
      <t>https://prnt.sc/pk2sM5eKEAtA</t>
    </r>
    <r>
      <rPr>
        <rFont val="Arial"/>
      </rPr>
      <t xml:space="preserve"> </t>
    </r>
  </si>
  <si>
    <r>
      <rPr>
        <color rgb="FF1155CC"/>
        <u/>
      </rPr>
      <t>https://prnt.sc/G4WLMSJd2BWw</t>
    </r>
    <r>
      <rPr>
        <color rgb="FF1F1F1F"/>
      </rPr>
      <t xml:space="preserve"> </t>
    </r>
    <r>
      <rPr>
        <color rgb="FF1155CC"/>
        <u/>
      </rPr>
      <t>https://prnt.sc/cnimtHZEqlJ_</t>
    </r>
    <r>
      <rPr>
        <color rgb="FF1F1F1F"/>
      </rPr>
      <t xml:space="preserve">  </t>
    </r>
    <r>
      <rPr>
        <color rgb="FF1155CC"/>
        <u/>
      </rPr>
      <t>https://prnt.sc/ERu5al14fUCQ</t>
    </r>
    <r>
      <rPr>
        <color rgb="FF1F1F1F"/>
      </rPr>
      <t xml:space="preserve">  </t>
    </r>
    <r>
      <rPr>
        <color rgb="FF1155CC"/>
        <u/>
      </rPr>
      <t>https://prnt.sc/eC6Jxf5PKDAj</t>
    </r>
    <r>
      <rPr>
        <color rgb="FF1F1F1F"/>
      </rPr>
      <t xml:space="preserve">   </t>
    </r>
    <r>
      <rPr>
        <color rgb="FF1155CC"/>
        <u/>
      </rPr>
      <t>https://prnt.sc/eC6Jxf5PKDAj</t>
    </r>
    <r>
      <rPr>
        <color rgb="FF1F1F1F"/>
      </rPr>
      <t xml:space="preserve"> </t>
    </r>
  </si>
  <si>
    <t>TC-008</t>
  </si>
  <si>
    <t>Verify Encashment Account remains disabled when access guard is not assigned to role</t>
  </si>
  <si>
    <t>TC_18</t>
  </si>
  <si>
    <t>1. Ensure change-encashment-acc-for-mtdr-ssp access guard exists in Access Guard Configuration.
2. Do not assign change-encashment-acc-for-mtdr-ssp in Assign Rights to Role.
3. Login with the test user.
4. Open MTDR/SSP account in Edit mode.
5. Observe the Encashment Account field.</t>
  </si>
  <si>
    <t>"Database Level Verification: After successfully uploading a new signature in TC_16 (by selecting 'No' on the popup), query the database to verify the stored image data length and confirm it matches the locally saved file.</t>
  </si>
  <si>
    <t>1. The database record should show the exact data length matching the newly uploaded local file bytes.2. The file exported from the DB must open correctly, display a 360 x 360 pixel resolution, and match the uploaded emoji signature.</t>
  </si>
  <si>
    <t>Encashment Account field should remain disabled and the user should not be able to modify the Encashment Account when the change-encashment-acc-for-mtdr-ssp right is not assigned to the role.</t>
  </si>
  <si>
    <t>Verified the database table. The 'Data Length' column displays exactly 19725, which perfectly matches the image file properties (19,725 bytes). The image file opens successfully with precise dimensions of 360 x 360 pixels and completely intact visual data.</t>
  </si>
  <si>
    <t>https://prnt.sc/WPUHTfN3k0lP</t>
  </si>
  <si>
    <r>
      <rPr>
        <rFont val="Arial"/>
        <color rgb="FF1155CC"/>
        <u/>
      </rPr>
      <t>https://prnt.sc/xgHaij_zM2nJ</t>
    </r>
    <r>
      <rPr>
        <rFont val="Arial"/>
      </rPr>
      <t xml:space="preserve">   </t>
    </r>
    <r>
      <rPr>
        <rFont val="Arial"/>
        <color rgb="FF1155CC"/>
        <u/>
      </rPr>
      <t>https://prnt.sc/Z_7qxaM3wcIk</t>
    </r>
    <r>
      <rPr>
        <rFont val="Arial"/>
      </rPr>
      <t xml:space="preserve">   </t>
    </r>
    <r>
      <rPr>
        <rFont val="Arial"/>
        <color rgb="FF1155CC"/>
        <u/>
      </rPr>
      <t>https://prnt.sc/lNWtBlRE_q2Z</t>
    </r>
    <r>
      <rPr>
        <rFont val="Arial"/>
      </rPr>
      <t xml:space="preserve">   </t>
    </r>
    <r>
      <rPr>
        <rFont val="Arial"/>
        <color rgb="FF1155CC"/>
        <u/>
      </rPr>
      <t>https://prnt.sc/ZiT7JLAlYDtC</t>
    </r>
    <r>
      <rPr>
        <rFont val="Arial"/>
      </rPr>
      <t xml:space="preserve">   </t>
    </r>
    <r>
      <rPr>
        <rFont val="Arial"/>
        <color rgb="FF1155CC"/>
        <u/>
      </rPr>
      <t>https://prnt.sc/SfBdZV3_hcox</t>
    </r>
    <r>
      <rPr>
        <rFont val="Arial"/>
      </rPr>
      <t xml:space="preserve"> </t>
    </r>
  </si>
  <si>
    <r>
      <rPr/>
      <t xml:space="preserve"> </t>
    </r>
    <r>
      <rPr>
        <color rgb="FF1155CC"/>
        <u/>
      </rPr>
      <t>https://prnt.sc/G4WLMSJd2BWw</t>
    </r>
    <r>
      <rPr/>
      <t xml:space="preserve"> </t>
    </r>
    <r>
      <rPr>
        <color rgb="FF1155CC"/>
        <u/>
      </rPr>
      <t>https://prnt.sc/cnimtHZEqlJ_</t>
    </r>
    <r>
      <rPr/>
      <t xml:space="preserve">  </t>
    </r>
    <r>
      <rPr>
        <color rgb="FF1155CC"/>
        <u/>
      </rPr>
      <t>https://prnt.sc/ERu5al14fUCQ</t>
    </r>
    <r>
      <rPr/>
      <t xml:space="preserve">  </t>
    </r>
    <r>
      <rPr>
        <color rgb="FF1155CC"/>
        <u/>
      </rPr>
      <t>https://prnt.sc/eC6Jxf5PKDAj</t>
    </r>
    <r>
      <rPr/>
      <t xml:space="preserve">  </t>
    </r>
    <r>
      <rPr>
        <color rgb="FF1155CC"/>
        <u/>
      </rPr>
      <t>https://prnt.sc/y1yWsiaMVi2T</t>
    </r>
    <r>
      <rPr/>
      <t xml:space="preserve">    </t>
    </r>
    <r>
      <rPr>
        <color rgb="FF1155CC"/>
        <u/>
      </rPr>
      <t>https://prnt.sc/oS3aeMOd5NGM</t>
    </r>
    <r>
      <rPr/>
      <t xml:space="preserve">  </t>
    </r>
    <r>
      <rPr>
        <color rgb="FF1155CC"/>
        <u/>
      </rPr>
      <t>https://prnt.sc/hqRmiHjjz7RO</t>
    </r>
    <r>
      <rPr/>
      <t xml:space="preserve">  </t>
    </r>
    <r>
      <rPr>
        <color rgb="FF1155CC"/>
        <u/>
      </rPr>
      <t>https://prnt.sc/FHEBvDpHybah</t>
    </r>
    <r>
      <rPr/>
      <t xml:space="preserve"> </t>
    </r>
  </si>
  <si>
    <t>TC-009</t>
  </si>
  <si>
    <t>Verify Encashment Account change with assigned access guard</t>
  </si>
  <si>
    <t>1. Ensure change-encashment-acc-for-mtdr-ssp access guard is configured.
2. Assign change-encashment-acc-for-mtdr-ssp in Assign Rights to Role for the test user role.
3. Login with the assigned user.
4. Open MTDR/SSP account in Edit mode.
5. Change Encashment Account.
6. Click Save.</t>
  </si>
  <si>
    <t>Encashment Account field should be editable and the user should be able to update and save the Encashment Account successfully after assigning the change-encashment-acc-for-mtdr-ssp right to the role.</t>
  </si>
  <si>
    <r>
      <rPr>
        <rFont val="Arial"/>
        <color rgb="FF1155CC"/>
        <u/>
      </rPr>
      <t>https://prnt.sc/xgHaij_zM2nJ</t>
    </r>
    <r>
      <rPr>
        <rFont val="Arial"/>
        <color rgb="FF1F1F1F"/>
      </rPr>
      <t xml:space="preserve">  </t>
    </r>
    <r>
      <rPr>
        <rFont val="Arial"/>
        <color rgb="FF1155CC"/>
        <u/>
      </rPr>
      <t>https://prnt.sc/0LImD_Oqa5wM</t>
    </r>
    <r>
      <rPr>
        <rFont val="Arial"/>
        <color rgb="FF1F1F1F"/>
      </rPr>
      <t xml:space="preserve">  </t>
    </r>
    <r>
      <rPr>
        <rFont val="Arial"/>
        <color rgb="FF1155CC"/>
        <u/>
      </rPr>
      <t>https://prnt.sc/uMiVE2qRDgQC</t>
    </r>
    <r>
      <rPr>
        <rFont val="Arial"/>
        <color rgb="FF1F1F1F"/>
      </rPr>
      <t xml:space="preserve">  </t>
    </r>
    <r>
      <rPr>
        <rFont val="Arial"/>
        <color rgb="FF1155CC"/>
        <u/>
      </rPr>
      <t>https://prnt.sc/Ao7m_-lYPXbY</t>
    </r>
    <r>
      <rPr>
        <rFont val="Arial"/>
        <color rgb="FF1F1F1F"/>
      </rPr>
      <t xml:space="preserve">  </t>
    </r>
    <r>
      <rPr>
        <rFont val="Arial"/>
        <color rgb="FF1155CC"/>
        <u/>
      </rPr>
      <t>https://prnt.sc/5Wd69iNPpj7I</t>
    </r>
    <r>
      <rPr>
        <rFont val="Arial"/>
        <color rgb="FF1F1F1F"/>
      </rPr>
      <t xml:space="preserve">  </t>
    </r>
    <r>
      <rPr>
        <rFont val="Arial"/>
        <color rgb="FF1155CC"/>
        <u/>
      </rPr>
      <t>https://prnt.sc/qtFhlTcVlBy_</t>
    </r>
    <r>
      <rPr>
        <rFont val="Arial"/>
        <color rgb="FF1F1F1F"/>
      </rPr>
      <t xml:space="preserve">  </t>
    </r>
    <r>
      <rPr>
        <rFont val="Arial"/>
        <color rgb="FF1155CC"/>
        <u/>
      </rPr>
      <t>https://prnt.sc/kWFWiaU911nL</t>
    </r>
    <r>
      <rPr>
        <rFont val="Arial"/>
        <color rgb="FF1F1F1F"/>
      </rPr>
      <t xml:space="preserve">  </t>
    </r>
    <r>
      <rPr>
        <rFont val="Arial"/>
        <color rgb="FF1155CC"/>
        <u/>
      </rPr>
      <t>https://prnt.sc/zikRO_V8sEZd</t>
    </r>
    <r>
      <rPr>
        <rFont val="Arial"/>
        <color rgb="FF1F1F1F"/>
      </rPr>
      <t xml:space="preserve">  </t>
    </r>
    <r>
      <rPr>
        <rFont val="Arial"/>
        <color rgb="FF1155CC"/>
        <u/>
      </rPr>
      <t>https://prnt.sc/-AnT5_vWomFw</t>
    </r>
    <r>
      <rPr>
        <rFont val="Arial"/>
        <color rgb="FF1F1F1F"/>
      </rPr>
      <t xml:space="preserve">  </t>
    </r>
    <r>
      <rPr>
        <rFont val="Arial"/>
        <color rgb="FF1155CC"/>
        <u/>
      </rPr>
      <t>https://prnt.sc/cKoSlrZoRWVH</t>
    </r>
    <r>
      <rPr>
        <rFont val="Arial"/>
        <color rgb="FF1F1F1F"/>
      </rPr>
      <t xml:space="preserve"> </t>
    </r>
  </si>
  <si>
    <t>TC-010</t>
  </si>
  <si>
    <t>Verify Funding Account change is blocked when an active SI exists for the SSP account</t>
  </si>
  <si>
    <t>1. Assign change-funding-acc-for-mtdr-ssp to the user role.
2. Open SSP account.
3. Ensure an Active SI exists between CASA (Debit) and SSP (Credit).
4. Change Funding Account.
5. Click Save.</t>
  </si>
  <si>
    <t>SSP + Active SI</t>
  </si>
  <si>
    <t>System should prevent Funding Account modification and instruct the user to remove the related SI first.</t>
  </si>
  <si>
    <t>Error!
An active Standing Instruction (SI) is associated with funding account 1973000000048. Please proceed after withdrawing the SI.</t>
  </si>
  <si>
    <r>
      <rPr>
        <rFont val="Arial"/>
        <color rgb="FF1155CC"/>
        <u/>
      </rPr>
      <t>https://prnt.sc/SMUwo0yAo9DR</t>
    </r>
    <r>
      <rPr>
        <rFont val="Arial"/>
      </rPr>
      <t xml:space="preserve"> </t>
    </r>
    <r>
      <rPr>
        <rFont val="Arial"/>
        <color rgb="FF1155CC"/>
        <u/>
      </rPr>
      <t>https://prnt.sc/q7oqnsscSWbi</t>
    </r>
    <r>
      <rPr>
        <rFont val="Arial"/>
      </rPr>
      <t xml:space="preserve">  </t>
    </r>
    <r>
      <rPr>
        <rFont val="Arial"/>
        <color rgb="FF1155CC"/>
        <u/>
      </rPr>
      <t>https://prnt.sc/Sm-WZvMXpHE3</t>
    </r>
    <r>
      <rPr>
        <rFont val="Arial"/>
      </rPr>
      <t xml:space="preserve">  </t>
    </r>
    <r>
      <rPr>
        <rFont val="Arial"/>
        <color rgb="FF1155CC"/>
        <u/>
      </rPr>
      <t>https://prnt.sc/1LC6JC6fkTmz</t>
    </r>
    <r>
      <rPr>
        <rFont val="Arial"/>
      </rPr>
      <t xml:space="preserve">  </t>
    </r>
    <r>
      <rPr>
        <rFont val="Arial"/>
        <color rgb="FF1155CC"/>
        <u/>
      </rPr>
      <t>https://prnt.sc/wD-TxfT3ouyB</t>
    </r>
    <r>
      <rPr>
        <rFont val="Arial"/>
      </rPr>
      <t xml:space="preserve">  </t>
    </r>
    <r>
      <rPr>
        <rFont val="Arial"/>
        <color rgb="FF1155CC"/>
        <u/>
      </rPr>
      <t>https://prnt.sc/vVc5ny9h9OsT</t>
    </r>
    <r>
      <rPr>
        <rFont val="Arial"/>
      </rPr>
      <t xml:space="preserve">  </t>
    </r>
    <r>
      <rPr>
        <rFont val="Arial"/>
        <color rgb="FF1155CC"/>
        <u/>
      </rPr>
      <t>https://prnt.sc/5NqzLD_N1pp5</t>
    </r>
    <r>
      <rPr>
        <rFont val="Arial"/>
      </rPr>
      <t xml:space="preserve">  </t>
    </r>
    <r>
      <rPr>
        <rFont val="Arial"/>
        <color rgb="FF1155CC"/>
        <u/>
      </rPr>
      <t>https://prnt.sc/RteDkl3cJMxZ</t>
    </r>
    <r>
      <rPr>
        <rFont val="Arial"/>
      </rPr>
      <t xml:space="preserve">  </t>
    </r>
    <r>
      <rPr>
        <rFont val="Arial"/>
        <color rgb="FF1155CC"/>
        <u/>
      </rPr>
      <t>https://prnt.sc/68G0XkuCD23o</t>
    </r>
    <r>
      <rPr>
        <rFont val="Arial"/>
      </rPr>
      <t xml:space="preserve"> </t>
    </r>
  </si>
  <si>
    <t>TC-011</t>
  </si>
  <si>
    <t>Verify CASA closure blocked when Active SI exists</t>
  </si>
  <si>
    <t>1. Open CASA account linked with SSP Funding Account.
2. Ensure Active SI exists.
3. Attempt CASA closure.</t>
  </si>
  <si>
    <t>CASA + SSP + Active SI</t>
  </si>
  <si>
    <t>CASA closure should be blocked with SI dependency message.</t>
  </si>
  <si>
    <t>as expected casa closing exception si exits and casa closure is blocked</t>
  </si>
  <si>
    <t>https://prnt.sc/wBfsUi02S8dF</t>
  </si>
  <si>
    <t>TC-012</t>
  </si>
  <si>
    <t>Verify Funding Account change after SI removal</t>
  </si>
  <si>
    <t>1. Remove Active SI.
2. Open SSP account.
3. Change Funding Account.
4. Save.</t>
  </si>
  <si>
    <t>SSP + No Active SI</t>
  </si>
  <si>
    <t>Funding Account should be updated successfully.</t>
  </si>
  <si>
    <t>Funding Account is updated successfully.</t>
  </si>
  <si>
    <r>
      <rPr>
        <rFont val="Arial"/>
        <color rgb="FF1155CC"/>
        <u/>
      </rPr>
      <t>https://prnt.sc/eXG8ZvdtVbEl</t>
    </r>
    <r>
      <rPr>
        <rFont val="Arial"/>
      </rPr>
      <t xml:space="preserve"> </t>
    </r>
    <r>
      <rPr>
        <rFont val="Arial"/>
        <color rgb="FF1155CC"/>
        <u/>
      </rPr>
      <t>https://prnt.sc/Blv1vaIVKQXc</t>
    </r>
    <r>
      <rPr>
        <rFont val="Arial"/>
      </rPr>
      <t xml:space="preserve">  </t>
    </r>
    <r>
      <rPr>
        <rFont val="Arial"/>
        <color rgb="FF1155CC"/>
        <u/>
      </rPr>
      <t>https://prnt.sc/KzZznplwMGdl</t>
    </r>
    <r>
      <rPr>
        <rFont val="Arial"/>
      </rPr>
      <t xml:space="preserve">  </t>
    </r>
    <r>
      <rPr>
        <rFont val="Arial"/>
        <color rgb="FF1155CC"/>
        <u/>
      </rPr>
      <t>https://prnt.sc/8x77vS0FgpSz</t>
    </r>
    <r>
      <rPr>
        <rFont val="Arial"/>
      </rPr>
      <t xml:space="preserve"> </t>
    </r>
  </si>
  <si>
    <t>TC-013</t>
  </si>
  <si>
    <t>Verify CASA closure after SI removal</t>
  </si>
  <si>
    <t>1. Remove Active SI.
2. Attempt CASA closure</t>
  </si>
  <si>
    <t>CASA + No Active SI</t>
  </si>
  <si>
    <t>CASA closure should be successful.</t>
  </si>
  <si>
    <t>CASA closure is successful.</t>
  </si>
  <si>
    <r>
      <rPr>
        <rFont val="Arial"/>
        <color rgb="FF1155CC"/>
        <u/>
      </rPr>
      <t>https://prnt.sc/ibkT4pME9TJx</t>
    </r>
    <r>
      <rPr>
        <rFont val="Arial"/>
      </rPr>
      <t xml:space="preserve"> </t>
    </r>
  </si>
  <si>
    <t>TC-014</t>
  </si>
  <si>
    <t>Verify Funding Account cannot be changed when Auto SI is enabled</t>
  </si>
  <si>
    <t>1. Open SSP account.
2. Auto SI = Checked.
3. Attempt Funding Account change.</t>
  </si>
  <si>
    <t>Active SSP + Auto SI Checked</t>
  </si>
  <si>
    <t>Funding Account should remain restricted.</t>
  </si>
  <si>
    <t xml:space="preserve">Funding account field is restricted </t>
  </si>
  <si>
    <r>
      <rPr>
        <rFont val="Arial"/>
        <color rgb="FF1155CC"/>
        <u/>
      </rPr>
      <t>https://prnt.sc/7_yVfAuJXwUi</t>
    </r>
    <r>
      <rPr>
        <rFont val="Arial"/>
      </rPr>
      <t xml:space="preserve">  </t>
    </r>
    <r>
      <rPr>
        <rFont val="Arial"/>
        <color rgb="FF1155CC"/>
        <u/>
      </rPr>
      <t>https://prnt.sc/7IHsPlgTv59m</t>
    </r>
    <r>
      <rPr>
        <rFont val="Arial"/>
      </rPr>
      <t xml:space="preserve"> </t>
    </r>
  </si>
  <si>
    <t>TC-015</t>
  </si>
  <si>
    <t>Verify Funding Account can be changed when Auto SI is disabled and no Active SI exists</t>
  </si>
  <si>
    <t>1. Open SSP account.
2. Auto SI = Unchecked.
3. No Active SI exists.
4. Change Funding Account.</t>
  </si>
  <si>
    <t>Active SSP + Auto SI Unchecked</t>
  </si>
  <si>
    <t>Funding Account should be editable and saved successfully.</t>
  </si>
  <si>
    <t>Funding Account is editable and saved successfully.</t>
  </si>
  <si>
    <t>TC-016</t>
  </si>
  <si>
    <t>Verify Auto SI cannot be unchecked when Product Override is disabled</t>
  </si>
  <si>
    <t>1. Product Override = No.
2. Open activated SSP.
3. Change Auto SI Checked → Unchecked.
4. Save.</t>
  </si>
  <si>
    <t>Active SSP</t>
  </si>
  <si>
    <t>System should not allow update.</t>
  </si>
  <si>
    <t>Error!
Auto Standing Instruction is not overridable in product.</t>
  </si>
  <si>
    <r>
      <rPr>
        <rFont val="Arial"/>
        <color rgb="FF1155CC"/>
        <u/>
      </rPr>
      <t>https://prnt.sc/LAni7Wmsj6i5</t>
    </r>
    <r>
      <rPr>
        <rFont val="Arial"/>
        <color rgb="FF1F1F1F"/>
      </rPr>
      <t xml:space="preserve">  </t>
    </r>
    <r>
      <rPr>
        <rFont val="Arial"/>
        <color rgb="FF1155CC"/>
        <u/>
      </rPr>
      <t>https://prnt.sc/N0EY7nMUu9Ug</t>
    </r>
    <r>
      <rPr>
        <rFont val="Arial"/>
        <color rgb="FF1F1F1F"/>
      </rPr>
      <t xml:space="preserve">  </t>
    </r>
    <r>
      <rPr>
        <rFont val="Arial"/>
        <color rgb="FF1155CC"/>
        <u/>
      </rPr>
      <t>https://prnt.sc/MA58DXHgoVD3</t>
    </r>
    <r>
      <rPr>
        <rFont val="Arial"/>
        <color rgb="FF1F1F1F"/>
      </rPr>
      <t xml:space="preserve"> </t>
    </r>
  </si>
  <si>
    <t>TC-017</t>
  </si>
  <si>
    <t>Verify Auto SI can be unchecked when Product Override is enabled</t>
  </si>
  <si>
    <t>1. Product Override = Yes.
2. Open activated SSP.
3. Change Auto SI Checked → Unchecked.
4. Save.</t>
  </si>
  <si>
    <t>Auto SI should be updated successfully.</t>
  </si>
  <si>
    <t>Auto SI is updated successfully.</t>
  </si>
  <si>
    <r>
      <rPr>
        <rFont val="Arial"/>
        <color rgb="FF1155CC"/>
        <u/>
      </rPr>
      <t>https://prnt.sc/3bKIxqBZH1Mv</t>
    </r>
    <r>
      <rPr>
        <rFont val="Arial"/>
      </rPr>
      <t xml:space="preserve"> </t>
    </r>
    <r>
      <rPr>
        <rFont val="Arial"/>
        <color rgb="FF1155CC"/>
        <u/>
      </rPr>
      <t>https://prnt.sc/rrQIfEpvQe7s</t>
    </r>
    <r>
      <rPr>
        <rFont val="Arial"/>
      </rPr>
      <t xml:space="preserve">   </t>
    </r>
    <r>
      <rPr>
        <rFont val="Arial"/>
        <color rgb="FF1155CC"/>
        <u/>
      </rPr>
      <t>https://prnt.sc/u6x_eyN1j7cu</t>
    </r>
    <r>
      <rPr>
        <rFont val="Arial"/>
      </rPr>
      <t xml:space="preserve">  </t>
    </r>
    <r>
      <rPr>
        <rFont val="Arial"/>
        <color rgb="FF1155CC"/>
        <u/>
      </rPr>
      <t>https://prnt.sc/0Ch78FCjLUSy</t>
    </r>
    <r>
      <rPr>
        <rFont val="Arial"/>
      </rPr>
      <t xml:space="preserve">   </t>
    </r>
    <r>
      <rPr>
        <rFont val="Arial"/>
        <color rgb="FF1155CC"/>
        <u/>
      </rPr>
      <t>https://prnt.sc/3ai5axQRQi76</t>
    </r>
  </si>
  <si>
    <t>TC-018</t>
  </si>
  <si>
    <t>Verify Auto SI change save on inactive SSP when override enabled</t>
  </si>
  <si>
    <t>1. Product Override = Yes.
2. Open inactive SSP.
3. Change Auto SI Checked → Unchecked.
4. Save.</t>
  </si>
  <si>
    <t>Inactive SSP</t>
  </si>
  <si>
    <t>Auto SI change should be saved successfully.</t>
  </si>
  <si>
    <t>Auto SI change is saved successfully.</t>
  </si>
  <si>
    <r>
      <rPr>
        <rFont val="Arial"/>
        <color rgb="FF1155CC"/>
        <u/>
      </rPr>
      <t>https://prnt.sc/2-9tGv_QMCgx</t>
    </r>
    <r>
      <rPr>
        <rFont val="Arial"/>
      </rPr>
      <t xml:space="preserve">  </t>
    </r>
    <r>
      <rPr>
        <rFont val="Arial"/>
        <color rgb="FF1155CC"/>
        <u/>
      </rPr>
      <t>https://prnt.sc/FHFzZjszP4fq</t>
    </r>
    <r>
      <rPr>
        <rFont val="Arial"/>
      </rPr>
      <t xml:space="preserve">  </t>
    </r>
    <r>
      <rPr>
        <rFont val="Arial"/>
        <color rgb="FF1155CC"/>
        <u/>
      </rPr>
      <t>https://prnt.sc/9K9j7cd-EYlH</t>
    </r>
    <r>
      <rPr>
        <rFont val="Arial"/>
      </rPr>
      <t xml:space="preserve">  </t>
    </r>
    <r>
      <rPr>
        <rFont val="Arial"/>
        <color rgb="FF1155CC"/>
        <u/>
      </rPr>
      <t>https://prnt.sc/G9iFlhrq4Evq</t>
    </r>
    <r>
      <rPr>
        <rFont val="Arial"/>
      </rPr>
      <t xml:space="preserve">  </t>
    </r>
    <r>
      <rPr>
        <rFont val="Arial"/>
        <color rgb="FF1155CC"/>
        <u/>
      </rPr>
      <t>https://prnt.sc/k0HKeM09g275</t>
    </r>
    <r>
      <rPr>
        <rFont val="Arial"/>
      </rPr>
      <t xml:space="preserve"> </t>
    </r>
  </si>
  <si>
    <t>TC-019</t>
  </si>
  <si>
    <t>Verify Auto SI change restriction on inactive SSP when override disabled</t>
  </si>
  <si>
    <t>1. Product Override = No.
2. Open inactive SSP.
3. Attempt Auto SI change.
4. Save.</t>
  </si>
  <si>
    <t>System is not allow to update.</t>
  </si>
  <si>
    <r>
      <rPr>
        <rFont val="Arial"/>
        <color rgb="FF1155CC"/>
        <u/>
      </rPr>
      <t>https://prnt.sc/bwauRNGma1ul</t>
    </r>
    <r>
      <rPr>
        <rFont val="Arial"/>
        <color rgb="FF1F1F1F"/>
      </rPr>
      <t xml:space="preserve">  </t>
    </r>
    <r>
      <rPr>
        <rFont val="Arial"/>
        <color rgb="FF1155CC"/>
        <u/>
      </rPr>
      <t>https://prnt.sc/Bd_R3tnBUp1z</t>
    </r>
    <r>
      <rPr>
        <rFont val="Arial"/>
        <color rgb="FF1F1F1F"/>
      </rPr>
      <t xml:space="preserve">   </t>
    </r>
    <r>
      <rPr>
        <rFont val="Arial"/>
        <color rgb="FF1155CC"/>
        <u/>
      </rPr>
      <t>https://prnt.sc/G-Rza7zTOxKN</t>
    </r>
    <r>
      <rPr>
        <rFont val="Arial"/>
        <color rgb="FF1F1F1F"/>
      </rPr>
      <t xml:space="preserve"> </t>
    </r>
  </si>
  <si>
    <t>TC-020</t>
  </si>
  <si>
    <t>Verify CASA closure blocked when linked as Funding Account</t>
  </si>
  <si>
    <t>1. Identify CASA linked as Funding Account.
2. Attempt closure.</t>
  </si>
  <si>
    <t>CASA linked to SSP/MTDR</t>
  </si>
  <si>
    <t>CASA closure should be blocked.</t>
  </si>
  <si>
    <t>CASA closure is  blocked.</t>
  </si>
  <si>
    <r>
      <rPr>
        <rFont val="Arial"/>
        <color rgb="FF1155CC"/>
        <u/>
      </rPr>
      <t>https://prnt.sc/_YotBP34_8rp</t>
    </r>
    <r>
      <rPr>
        <rFont val="Arial"/>
      </rPr>
      <t xml:space="preserve"> </t>
    </r>
  </si>
  <si>
    <t>TC-021</t>
  </si>
  <si>
    <t>Verify CASA closure after Funding Account dependency removal</t>
  </si>
  <si>
    <t>1. Change Funding Account to another CASA.
2. Attempt closure.</t>
  </si>
  <si>
    <t>CASA Account</t>
  </si>
  <si>
    <r>
      <rPr>
        <rFont val="Arial"/>
        <color rgb="FF1155CC"/>
        <u/>
      </rPr>
      <t>https://prnt.sc/yET9M2ftFzRc</t>
    </r>
    <r>
      <rPr>
        <rFont val="Arial"/>
        <color rgb="FF1F1F1F"/>
      </rPr>
      <t xml:space="preserve">  </t>
    </r>
    <r>
      <rPr>
        <rFont val="Arial"/>
        <color rgb="FF1155CC"/>
        <u/>
      </rPr>
      <t>https://prnt.sc/kTGViGX4IMes</t>
    </r>
    <r>
      <rPr>
        <rFont val="Arial"/>
        <color rgb="FF1F1F1F"/>
      </rPr>
      <t xml:space="preserve">  </t>
    </r>
    <r>
      <rPr>
        <rFont val="Arial"/>
        <color rgb="FF1155CC"/>
        <u/>
      </rPr>
      <t>https://prnt.sc/D_vDlbpCf_aF</t>
    </r>
    <r>
      <rPr>
        <rFont val="Arial"/>
        <color rgb="FF1F1F1F"/>
      </rPr>
      <t xml:space="preserve"> </t>
    </r>
    <r>
      <rPr>
        <rFont val="Arial"/>
        <color rgb="FF1155CC"/>
        <u/>
      </rPr>
      <t>https://prnt.sc/D_vDlbpCf_aF</t>
    </r>
    <r>
      <rPr>
        <rFont val="Arial"/>
        <color rgb="FF1F1F1F"/>
      </rPr>
      <t xml:space="preserve">    </t>
    </r>
    <r>
      <rPr>
        <rFont val="Arial"/>
        <color rgb="FF1155CC"/>
        <u/>
      </rPr>
      <t>https://prnt.sc/fGNg3fN66P-f</t>
    </r>
    <r>
      <rPr>
        <rFont val="Arial"/>
      </rPr>
      <t xml:space="preserve">   </t>
    </r>
    <r>
      <rPr>
        <rFont val="Arial"/>
        <color rgb="FF1155CC"/>
        <u/>
      </rPr>
      <t>https://prnt.sc/eZCG1HLBrdQ5</t>
    </r>
    <r>
      <rPr>
        <rFont val="Arial"/>
      </rPr>
      <t xml:space="preserve">  </t>
    </r>
    <r>
      <rPr>
        <rFont val="Arial"/>
        <color rgb="FF1155CC"/>
        <u/>
      </rPr>
      <t>https://prnt.sc/kANzvlqfxJ_8</t>
    </r>
    <r>
      <rPr>
        <rFont val="Arial"/>
      </rPr>
      <t xml:space="preserve">  </t>
    </r>
    <r>
      <rPr>
        <rFont val="Arial"/>
        <color rgb="FF1155CC"/>
        <u/>
      </rPr>
      <t>https://prnt.sc/tFR3VnPFE-Wp</t>
    </r>
    <r>
      <rPr>
        <rFont val="Arial"/>
      </rPr>
      <t xml:space="preserve"> </t>
    </r>
  </si>
  <si>
    <t>TC-022</t>
  </si>
  <si>
    <t>Verify CASA closure blocked when linked as Profit Posting Account</t>
  </si>
  <si>
    <t>1. Identify CASA linked as Profit Posting Account.
2. Attempt closure.</t>
  </si>
  <si>
    <t>CASA linked as Profit Posting Account</t>
  </si>
  <si>
    <t>CASA closure is blocked.</t>
  </si>
  <si>
    <r>
      <rPr>
        <rFont val="Arial"/>
      </rPr>
      <t xml:space="preserve"> </t>
    </r>
    <r>
      <rPr>
        <rFont val="Arial"/>
        <color rgb="FF1155CC"/>
        <u/>
      </rPr>
      <t>https://prnt.sc/3pNk4tEAgh_W</t>
    </r>
  </si>
  <si>
    <t>TC-023</t>
  </si>
  <si>
    <t>Verify CASA closure after Profit Posting dependency removal</t>
  </si>
  <si>
    <t>1. Change Profit Posting Account.
2. Attempt CASA closure.</t>
  </si>
  <si>
    <r>
      <rPr>
        <rFont val="Arial"/>
        <color rgb="FF1155CC"/>
        <u/>
      </rPr>
      <t xml:space="preserve">https://prnt.sc/MbT--AjSva0n </t>
    </r>
    <r>
      <rPr>
        <rFont val="Arial"/>
        <color rgb="FF1F1F1F"/>
      </rPr>
      <t xml:space="preserve"> </t>
    </r>
    <r>
      <rPr>
        <rFont val="Arial"/>
        <color rgb="FF1155CC"/>
        <u/>
      </rPr>
      <t>https://prnt.sc/H9J-RJbuVH42</t>
    </r>
    <r>
      <rPr>
        <rFont val="Arial"/>
        <color rgb="FF1F1F1F"/>
      </rPr>
      <t xml:space="preserve">  </t>
    </r>
    <r>
      <rPr>
        <rFont val="Arial"/>
        <color rgb="FF1155CC"/>
        <u/>
      </rPr>
      <t>https://prnt.sc/TnVLLHsUak0W</t>
    </r>
  </si>
  <si>
    <t>TC-024</t>
  </si>
  <si>
    <t>Verify CASA closure blocked when linked as Encashment Account</t>
  </si>
  <si>
    <t>1. Identify CASA linked as Encashment Account.
2. Attempt closure.</t>
  </si>
  <si>
    <t>CASA linked as Encashment Account</t>
  </si>
  <si>
    <r>
      <rPr>
        <rFont val="Arial"/>
        <color rgb="FF1155CC"/>
        <u/>
      </rPr>
      <t>https://prnt.sc/XnRopcvOORkF</t>
    </r>
    <r>
      <rPr>
        <rFont val="Arial"/>
      </rPr>
      <t xml:space="preserve">    </t>
    </r>
    <r>
      <rPr>
        <rFont val="Arial"/>
        <color rgb="FF1155CC"/>
        <u/>
      </rPr>
      <t>https://prnt.sc/tWktZ_bamcls</t>
    </r>
    <r>
      <rPr>
        <rFont val="Arial"/>
      </rPr>
      <t xml:space="preserve">   </t>
    </r>
    <r>
      <rPr>
        <rFont val="Arial"/>
        <color rgb="FF1155CC"/>
        <u/>
      </rPr>
      <t>https://prnt.sc/rk3J77rYblh0</t>
    </r>
    <r>
      <rPr>
        <rFont val="Arial"/>
      </rPr>
      <t xml:space="preserve"> </t>
    </r>
  </si>
  <si>
    <t>TC-025</t>
  </si>
  <si>
    <t>Verify CASA closure after Encashment dependency removal</t>
  </si>
  <si>
    <t>1. Change Encashment Account.
2. Attempt CASA closure.</t>
  </si>
  <si>
    <t>CASA closure is  successful.</t>
  </si>
  <si>
    <r>
      <rPr>
        <rFont val="Arial"/>
        <color rgb="FF1155CC"/>
        <u/>
      </rPr>
      <t>https://prnt.sc/R6_SixsXSuxU</t>
    </r>
    <r>
      <rPr>
        <rFont val="Arial"/>
      </rPr>
      <t xml:space="preserve">  </t>
    </r>
    <r>
      <rPr>
        <rFont val="Arial"/>
        <color rgb="FF1155CC"/>
        <u/>
      </rPr>
      <t>https://prnt.sc/qUAj3e_yOXlZ</t>
    </r>
    <r>
      <rPr>
        <rFont val="Arial"/>
      </rPr>
      <t xml:space="preserve"> </t>
    </r>
  </si>
  <si>
    <t>TC-026</t>
  </si>
  <si>
    <t>Verify Funding Account change after Auto SI is disabled and active SI is removed</t>
  </si>
  <si>
    <t>1. Open an SSP account with Auto SI enabled.
2. Ensure an active SI exists between the Funding Account (Debit) and SSP Account (Credit).
3. Withdraw/Delete the active SI.
4. Uncheck Auto Standing Instruction (if product override is allowed).
5. Change the Funding Account to another CASA account.
6. Click Save</t>
  </si>
  <si>
    <t>SSP Account with Active SI</t>
  </si>
  <si>
    <t>After removing the active SI and disabling Auto SI (where applicable), the Funding Account should be editable and the update should be saved successfully without any SI validation error.</t>
  </si>
  <si>
    <t>as expected funding account editable after change SI debit account</t>
  </si>
  <si>
    <r>
      <rPr>
        <rFont val="Arial"/>
        <color rgb="FF1155CC"/>
        <u/>
      </rPr>
      <t>https://prnt.sc/dCXzpDtOtVT_</t>
    </r>
    <r>
      <rPr>
        <rFont val="Arial"/>
        <color rgb="FF1F1F1F"/>
      </rPr>
      <t xml:space="preserve">  </t>
    </r>
    <r>
      <rPr>
        <rFont val="Arial"/>
        <color rgb="FF1155CC"/>
        <u/>
      </rPr>
      <t>https://prnt.sc/1Kh5keWJOIEl</t>
    </r>
    <r>
      <rPr>
        <rFont val="Arial"/>
      </rPr>
      <t xml:space="preserve">   </t>
    </r>
    <r>
      <rPr>
        <rFont val="Arial"/>
        <color rgb="FF1155CC"/>
        <u/>
      </rPr>
      <t>https://prnt.sc/k09VQtRFdhoN</t>
    </r>
    <r>
      <rPr>
        <rFont val="Arial"/>
      </rPr>
      <t xml:space="preserve">   </t>
    </r>
    <r>
      <rPr>
        <rFont val="Arial"/>
        <color rgb="FF1155CC"/>
        <u/>
      </rPr>
      <t>https://prnt.sc/TagRJYFUCtSx</t>
    </r>
    <r>
      <rPr>
        <rFont val="Arial"/>
      </rPr>
      <t xml:space="preserve">   </t>
    </r>
    <r>
      <rPr>
        <rFont val="Arial"/>
        <color rgb="FF1155CC"/>
        <u/>
      </rPr>
      <t>https://prnt.sc/LoCkrs9nK6YH</t>
    </r>
    <r>
      <rPr>
        <rFont val="Arial"/>
      </rPr>
      <t xml:space="preserve">   </t>
    </r>
    <r>
      <rPr>
        <rFont val="Arial"/>
        <color rgb="FF1155CC"/>
        <u/>
      </rPr>
      <t>https://prnt.sc/MHJoQ52Sfkz8</t>
    </r>
    <r>
      <rPr>
        <rFont val="Arial"/>
      </rPr>
      <t xml:space="preserve">  </t>
    </r>
    <r>
      <rPr>
        <rFont val="Arial"/>
        <color rgb="FF1155CC"/>
        <u/>
      </rPr>
      <t>https://prnt.sc/RQJ2cb0ItGox</t>
    </r>
    <r>
      <rPr>
        <rFont val="Arial"/>
      </rPr>
      <t xml:space="preserve">    </t>
    </r>
  </si>
  <si>
    <t>TC-027</t>
  </si>
  <si>
    <t>Verify Auto SI cannot be changed from Unchecked to Checked for an already Activated account (even if product override is enabled)</t>
  </si>
  <si>
    <r>
      <rPr>
        <rFont val="Arial"/>
        <color rgb="FF1155CC"/>
        <u/>
      </rPr>
      <t>https://prnt.sc/qI1K_8XagrmU</t>
    </r>
    <r>
      <rPr>
        <rFont val="Arial"/>
        <color rgb="FF1F1F1F"/>
      </rPr>
      <t xml:space="preserve">  </t>
    </r>
    <r>
      <rPr>
        <rFont val="Arial"/>
        <color rgb="FF1155CC"/>
        <u/>
      </rPr>
      <t>https://prnt.sc/APEe97nZgMMV</t>
    </r>
    <r>
      <rPr>
        <rFont val="Arial"/>
      </rPr>
      <t xml:space="preserve"> </t>
    </r>
  </si>
  <si>
    <t>TC-028</t>
  </si>
  <si>
    <t>Verify CASA Account Closure system throws validation error directly from the CASA Closure Module if it's linked to an MTDR/SSP account.</t>
  </si>
  <si>
    <t>Closure should still be blocked until all dependencies are removed.</t>
  </si>
  <si>
    <t>This account cannot be closed</t>
  </si>
  <si>
    <r>
      <rPr>
        <rFont val="Arial"/>
        <color rgb="FF1155CC"/>
        <u/>
      </rPr>
      <t>https://prnt.sc/luufCnoMyatm</t>
    </r>
    <r>
      <rPr>
        <rFont val="Arial"/>
        <color rgb="FF1F1F1F"/>
      </rPr>
      <t xml:space="preserve">  </t>
    </r>
    <r>
      <rPr>
        <rFont val="Arial"/>
        <color rgb="FF1155CC"/>
        <u/>
      </rPr>
      <t>https://prnt.sc/NsMKdvn15lUE</t>
    </r>
    <r>
      <rPr>
        <rFont val="Arial"/>
        <color rgb="FF1F1F1F"/>
      </rPr>
      <t xml:space="preserve"> </t>
    </r>
  </si>
  <si>
    <t>TC-029</t>
  </si>
  <si>
    <t>Verify individual access guard behavior when only Funding and Encashment rights are assigned</t>
  </si>
  <si>
    <t xml:space="preserve">
1. Ensure all three access guards are configured:
    change-funding-acc-for-mtdr-ssp
    change-operating-acc-for-mtdr-ssp
    change-encashment-acc-for-mtdr-ssp
2. Assign the following rights to the test role:
change-funding-acc-for-mtdr-ssp
change-encashment-acc-for-mtdr-ssp
3. Do NOT assign:
change-operating-acc-for-mtdr-ssp
4. Login with the assigned user.
5. Open an MTDR/SSP account in Edit mode.
6. Observe Funding Account, Profit Posting Account, and Encashment Account fields.</t>
  </si>
  <si>
    <t>Active/Inactive MTDR or SSP Account</t>
  </si>
  <si>
    <t>Funding Account field should be enabled and editable.
Encashment Account field should be enabled and editable.
Profit Posting Account field should remain disabled and should not be editable.
User should be able to save Funding and Encashment Account changes successfully.
User should not be able to modify the Profit Posting Account.</t>
  </si>
  <si>
    <t>Funding Account field is enabled and editable.
Encashment Account field is enabled and editable.
Profit Posting Account field is remain disabled and should not be editable.
User is able to save Funding and Encashment Account changes successfully.
User is not be able to modify the Profit Posting Account.</t>
  </si>
  <si>
    <r>
      <rPr>
        <rFont val="Arial"/>
        <color rgb="FF1155CC"/>
        <u/>
      </rPr>
      <t>https://prnt.sc/fDrUBLfAlQHW</t>
    </r>
    <r>
      <rPr>
        <rFont val="Arial"/>
        <color rgb="FF1F1F1F"/>
      </rPr>
      <t xml:space="preserve">  </t>
    </r>
    <r>
      <rPr>
        <rFont val="Arial"/>
        <color rgb="FF1155CC"/>
        <u/>
      </rPr>
      <t>https://prnt.sc/hwKz3D0vDllk</t>
    </r>
    <r>
      <rPr>
        <rFont val="Arial"/>
        <color rgb="FF1F1F1F"/>
      </rPr>
      <t xml:space="preserve">   </t>
    </r>
    <r>
      <rPr>
        <rFont val="Arial"/>
        <color rgb="FF1155CC"/>
        <u/>
      </rPr>
      <t>https://prnt.sc/AxPgGXRY1zwP</t>
    </r>
    <r>
      <rPr>
        <rFont val="Arial"/>
      </rPr>
      <t xml:space="preserve">   </t>
    </r>
    <r>
      <rPr>
        <rFont val="Arial"/>
        <color rgb="FF1155CC"/>
        <u/>
      </rPr>
      <t>https://prnt.sc/RhAW0mUl8DQM</t>
    </r>
    <r>
      <rPr>
        <rFont val="Arial"/>
      </rPr>
      <t xml:space="preserve">   </t>
    </r>
    <r>
      <rPr>
        <rFont val="Arial"/>
        <color rgb="FF1155CC"/>
        <u/>
      </rPr>
      <t>https://prnt.sc/UDwy9ql_zOqu</t>
    </r>
    <r>
      <rPr>
        <rFont val="Arial"/>
      </rPr>
      <t xml:space="preserve">  </t>
    </r>
    <r>
      <rPr>
        <rFont val="Arial"/>
        <color rgb="FF1155CC"/>
        <u/>
      </rPr>
      <t>https://prnt.sc/pRu6SNhGzRRa</t>
    </r>
    <r>
      <rPr>
        <rFont val="Arial"/>
      </rPr>
      <t xml:space="preserve">  </t>
    </r>
    <r>
      <rPr>
        <rFont val="Arial"/>
        <color rgb="FF1155CC"/>
        <u/>
      </rPr>
      <t>https://prnt.sc/iO76KSos4Jrr</t>
    </r>
    <r>
      <rPr>
        <rFont val="Arial"/>
      </rPr>
      <t xml:space="preserve">   </t>
    </r>
    <r>
      <rPr>
        <rFont val="Arial"/>
        <color rgb="FF1155CC"/>
        <u/>
      </rPr>
      <t>https://prnt.sc/XVUHfsnH5-1E</t>
    </r>
    <r>
      <rPr>
        <rFont val="Arial"/>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</si>
</sst>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4">
    <font>
      <sz val="10.0"/>
      <color rgb="FF000000"/>
      <name val="Arial"/>
      <scheme val="minor"/>
    </font>
    <font>
      <b/>
      <sz val="12.0"/>
      <color theme="1"/>
      <name val="Calibri"/>
    </font>
    <font/>
    <font>
      <sz val="12.0"/>
      <color theme="1"/>
      <name val="Calibri"/>
    </font>
    <font>
      <color theme="1"/>
      <name val="Arial"/>
    </font>
    <font>
      <color theme="1"/>
      <name val="Arial"/>
      <scheme val="minor"/>
    </font>
    <font>
      <sz val="10.0"/>
      <color theme="1"/>
      <name val="Arial"/>
      <scheme val="minor"/>
    </font>
    <font>
      <u/>
      <color rgb="FF0000FF"/>
    </font>
    <font>
      <u/>
      <color rgb="FF0000FF"/>
    </font>
    <font>
      <u/>
      <color rgb="FF0000FF"/>
    </font>
    <font>
      <u/>
      <color rgb="FF0000FF"/>
    </font>
    <font>
      <u/>
      <color rgb="FF0000FF"/>
      <name val="Arial"/>
    </font>
    <font>
      <color rgb="FF000000"/>
      <name val="Arial"/>
    </font>
    <font>
      <u/>
      <color rgb="FF0000FF"/>
      <name val="Arial"/>
    </font>
  </fonts>
  <fills count="15">
    <fill>
      <patternFill patternType="none"/>
    </fill>
    <fill>
      <patternFill patternType="lightGray"/>
    </fill>
    <fill>
      <patternFill patternType="solid">
        <fgColor rgb="FFC6D9F0"/>
        <bgColor rgb="FFC6D9F0"/>
      </patternFill>
    </fill>
    <fill>
      <patternFill patternType="solid">
        <fgColor rgb="FFEAEAEA"/>
        <bgColor rgb="FFEAEAEA"/>
      </patternFill>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EFEFEF"/>
        <bgColor rgb="FFEFEFEF"/>
      </patternFill>
    </fill>
    <fill>
      <patternFill patternType="solid">
        <fgColor rgb="FFE06666"/>
        <bgColor rgb="FFE06666"/>
      </patternFill>
    </fill>
    <fill>
      <patternFill patternType="solid">
        <fgColor rgb="FFEA9999"/>
        <bgColor rgb="FFEA9999"/>
      </patternFill>
    </fill>
    <fill>
      <patternFill patternType="solid">
        <fgColor rgb="FFB7B7B7"/>
        <bgColor rgb="FFB7B7B7"/>
      </patternFill>
    </fill>
    <fill>
      <patternFill patternType="solid">
        <fgColor rgb="FFF4CCCC"/>
        <bgColor rgb="FFF4CCCC"/>
      </patternFill>
    </fill>
    <fill>
      <patternFill patternType="solid">
        <fgColor rgb="FFB6D7A8"/>
        <bgColor rgb="FFB6D7A8"/>
      </patternFill>
    </fill>
    <fill>
      <patternFill patternType="solid">
        <fgColor rgb="FFD8D8D8"/>
        <bgColor rgb="FFD8D8D8"/>
      </patternFill>
    </fill>
    <fill>
      <patternFill patternType="solid">
        <fgColor rgb="FFD9D9D9"/>
        <bgColor rgb="FFD9D9D9"/>
      </patternFill>
    </fill>
  </fills>
  <borders count="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2" fillId="0" fontId="2" numFmtId="0" xfId="0" applyBorder="1" applyFont="1"/>
    <xf borderId="1" fillId="2" fontId="1" numFmtId="0" xfId="0" applyAlignment="1" applyBorder="1" applyFill="1" applyFont="1">
      <alignment horizontal="center" shrinkToFit="0" vertical="center" wrapText="1"/>
    </xf>
    <xf borderId="3" fillId="0" fontId="3" numFmtId="0" xfId="0" applyAlignment="1" applyBorder="1" applyFont="1">
      <alignment horizontal="center" shrinkToFit="0" wrapText="1"/>
    </xf>
    <xf borderId="3" fillId="2" fontId="1" numFmtId="0" xfId="0" applyAlignment="1" applyBorder="1" applyFill="1" applyFont="1">
      <alignment horizontal="center" shrinkToFit="0" vertical="bottom" wrapText="1"/>
    </xf>
    <xf borderId="3" fillId="0" fontId="3" numFmtId="0" xfId="0" applyAlignment="1" applyBorder="1" applyFont="1">
      <alignment horizontal="center" shrinkToFit="0" vertical="center" wrapText="1"/>
    </xf>
    <xf borderId="3" fillId="2" fontId="1" numFmtId="0" xfId="0" applyAlignment="1" applyBorder="1" applyFill="1" applyFont="1">
      <alignment horizontal="center" shrinkToFit="0" vertical="center" wrapText="1"/>
    </xf>
    <xf borderId="1" fillId="0" fontId="4" numFmtId="164" xfId="0" applyAlignment="1" applyBorder="1" applyFont="1" applyNumberFormat="1">
      <alignment horizontal="center" readingOrder="0" shrinkToFit="0" wrapText="1"/>
    </xf>
    <xf borderId="3" fillId="0" fontId="4" numFmtId="164" xfId="0" applyAlignment="1" applyBorder="1" applyFont="1" applyNumberFormat="1">
      <alignment shrinkToFit="0" vertical="center" wrapText="1"/>
    </xf>
    <xf borderId="1" fillId="0" fontId="4" numFmtId="164" xfId="0" applyAlignment="1" applyBorder="1" applyFont="1" applyNumberFormat="1">
      <alignment vertical="bottom"/>
    </xf>
    <xf borderId="0" fillId="0" fontId="4" numFmtId="0" xfId="0" applyAlignment="1" applyFont="1">
      <alignment vertical="bottom"/>
    </xf>
    <xf borderId="0" fillId="0" fontId="5" numFmtId="0" xfId="0" applyAlignment="1" applyFont="1">
      <alignment shrinkToFit="0" wrapText="1"/>
    </xf>
    <xf borderId="3" fillId="2" fontId="4" numFmtId="0" xfId="0" applyAlignment="1" applyBorder="1" applyFill="1" applyFont="1">
      <alignment shrinkToFit="0" vertical="center" wrapText="1"/>
    </xf>
    <xf borderId="3" fillId="0" fontId="4" numFmtId="0" xfId="0" applyAlignment="1" applyBorder="1" applyFont="1">
      <alignment shrinkToFit="0" vertical="center" wrapText="1"/>
    </xf>
    <xf borderId="0" fillId="3" fontId="4" numFmtId="0" xfId="0" applyFill="1" applyFont="1"/>
    <xf borderId="3" fillId="4" fontId="4" numFmtId="0" xfId="0" applyAlignment="1" applyBorder="1" applyFill="1" applyFont="1">
      <alignment readingOrder="0" shrinkToFit="0" wrapText="1"/>
    </xf>
    <xf borderId="1" fillId="2" fontId="4" numFmtId="0" xfId="0" applyAlignment="1" applyBorder="1" applyFill="1" applyFont="1">
      <alignment shrinkToFit="0" vertical="center" wrapText="1"/>
    </xf>
    <xf borderId="1" fillId="0" fontId="4" numFmtId="0" xfId="0" applyAlignment="1" applyBorder="1" applyFont="1">
      <alignment horizontal="center" shrinkToFit="0" wrapText="1"/>
    </xf>
    <xf borderId="3" fillId="2" fontId="4" numFmtId="0" xfId="0" applyAlignment="1" applyBorder="1" applyFill="1" applyFont="1">
      <alignment vertical="bottom"/>
    </xf>
    <xf borderId="1" fillId="0" fontId="4" numFmtId="0" xfId="0" applyAlignment="1" applyBorder="1" applyFont="1">
      <alignment vertical="bottom"/>
    </xf>
    <xf borderId="3" fillId="3" fontId="4" numFmtId="0" xfId="0" applyAlignment="1" applyBorder="1" applyFill="1" applyFont="1">
      <alignment shrinkToFit="0" vertical="center" wrapText="1"/>
    </xf>
    <xf borderId="3" fillId="4" fontId="4" numFmtId="0" xfId="0" applyBorder="1" applyFill="1" applyFont="1"/>
    <xf borderId="3" fillId="5" fontId="1" numFmtId="0" xfId="0" applyAlignment="1" applyBorder="1" applyFill="1" applyFont="1">
      <alignment horizontal="center" shrinkToFit="0" vertical="center" wrapText="1"/>
    </xf>
    <xf borderId="1" fillId="0" fontId="4" numFmtId="0" xfId="0" applyAlignment="1" applyBorder="1" applyFont="1">
      <alignment horizontal="center" readingOrder="0" shrinkToFit="0" wrapText="1"/>
    </xf>
    <xf borderId="3" fillId="4" fontId="3" numFmtId="0" xfId="0" applyAlignment="1" applyBorder="1" applyFill="1" applyFont="1">
      <alignment horizontal="center" shrinkToFit="0" vertical="center" wrapText="1"/>
    </xf>
    <xf borderId="3" fillId="6" fontId="1" numFmtId="0" xfId="0" applyAlignment="1" applyBorder="1" applyFill="1" applyFont="1">
      <alignment horizontal="center" shrinkToFit="0" vertical="center" wrapText="1"/>
    </xf>
    <xf borderId="0" fillId="7" fontId="6" numFmtId="0" xfId="0" applyAlignment="1" applyFill="1" applyFont="1">
      <alignment horizontal="center" readingOrder="0" shrinkToFit="0" vertical="top" wrapText="1"/>
    </xf>
    <xf borderId="3" fillId="8" fontId="1" numFmtId="0" xfId="0" applyAlignment="1" applyBorder="1" applyFill="1" applyFont="1">
      <alignment horizontal="center" shrinkToFit="0" vertical="center" wrapText="1"/>
    </xf>
    <xf borderId="0" fillId="0" fontId="6" numFmtId="0" xfId="0" applyAlignment="1" applyFont="1">
      <alignment horizontal="center" shrinkToFit="0" vertical="top" wrapText="1"/>
    </xf>
    <xf borderId="0" fillId="0" fontId="5" numFmtId="0" xfId="0" applyAlignment="1" applyFont="1">
      <alignment horizontal="center" readingOrder="0" shrinkToFit="0" vertical="center" wrapText="1"/>
    </xf>
    <xf borderId="0" fillId="0" fontId="5" numFmtId="0" xfId="0" applyAlignment="1" applyFont="1">
      <alignment readingOrder="0" shrinkToFit="0" vertical="center" wrapText="1"/>
    </xf>
    <xf borderId="0" fillId="0" fontId="5" numFmtId="0" xfId="0" applyAlignment="1" applyFont="1">
      <alignment readingOrder="0" shrinkToFit="0" wrapText="1"/>
    </xf>
    <xf borderId="3" fillId="4" fontId="4" numFmtId="0" xfId="0" applyAlignment="1" applyBorder="1" applyFill="1" applyFont="1">
      <alignment readingOrder="0" shrinkToFit="0" vertical="center" wrapText="1"/>
    </xf>
    <xf borderId="3" fillId="0" fontId="4" numFmtId="0" xfId="0" applyAlignment="1" applyBorder="1" applyFont="1">
      <alignment horizontal="center" readingOrder="0" shrinkToFit="0" vertical="center" wrapText="1"/>
    </xf>
    <xf borderId="3" fillId="9" fontId="1" numFmtId="0" xfId="0" applyAlignment="1" applyBorder="1" applyFill="1" applyFont="1">
      <alignment horizontal="center" shrinkToFit="0" vertical="center" wrapText="1"/>
    </xf>
    <xf borderId="0" fillId="0" fontId="7" numFmtId="0" xfId="0" applyAlignment="1" applyFont="1">
      <alignment readingOrder="0" shrinkToFit="0" vertical="center" wrapText="1"/>
    </xf>
    <xf borderId="0" fillId="0" fontId="5" numFmtId="0" xfId="0" applyAlignment="1" applyFont="1">
      <alignment shrinkToFit="0" vertical="center" wrapText="1"/>
    </xf>
    <xf borderId="0" fillId="0" fontId="8" numFmtId="0" xfId="0" applyAlignment="1" applyFont="1">
      <alignment readingOrder="0" shrinkToFit="0" vertical="center" wrapText="1"/>
    </xf>
    <xf borderId="3" fillId="4" fontId="4" numFmtId="0" xfId="0" applyAlignment="1" applyBorder="1" applyFill="1" applyFont="1">
      <alignment shrinkToFit="0" vertical="center" wrapText="1"/>
    </xf>
    <xf borderId="3" fillId="0" fontId="4" numFmtId="0" xfId="0" applyAlignment="1" applyBorder="1" applyFont="1">
      <alignment horizontal="center" shrinkToFit="0" vertical="center" wrapText="1"/>
    </xf>
    <xf borderId="3" fillId="10" fontId="1" numFmtId="0" xfId="0" applyAlignment="1" applyBorder="1" applyFill="1" applyFont="1">
      <alignment horizontal="center" shrinkToFit="0" vertical="center" wrapText="1"/>
    </xf>
    <xf borderId="3" fillId="11" fontId="1" numFmtId="0" xfId="0" applyAlignment="1" applyBorder="1" applyFill="1" applyFont="1">
      <alignment horizontal="center" shrinkToFit="0" vertical="center" wrapText="1"/>
    </xf>
    <xf borderId="3" fillId="4" fontId="1" numFmtId="0" xfId="0" applyAlignment="1" applyBorder="1" applyFill="1" applyFont="1">
      <alignment horizontal="center" shrinkToFit="0" vertical="center" wrapText="1"/>
    </xf>
    <xf borderId="0" fillId="0" fontId="5" numFmtId="0" xfId="0" applyAlignment="1" applyFont="1">
      <alignment readingOrder="0" shrinkToFit="0" vertical="center" wrapText="1"/>
    </xf>
    <xf borderId="3" fillId="12" fontId="1" numFmtId="0" xfId="0" applyAlignment="1" applyBorder="1" applyFill="1" applyFont="1">
      <alignment horizontal="center" shrinkToFit="0" vertical="center" wrapText="1"/>
    </xf>
    <xf borderId="3" fillId="13" fontId="1" numFmtId="0" xfId="0" applyAlignment="1" applyBorder="1" applyFill="1" applyFont="1">
      <alignment horizontal="center" shrinkToFit="0" vertical="center" wrapText="1"/>
    </xf>
    <xf borderId="3" fillId="14" fontId="1" numFmtId="0" xfId="0" applyAlignment="1" applyBorder="1" applyFill="1" applyFont="1">
      <alignment horizontal="center" shrinkToFit="0" vertical="center" wrapText="1"/>
    </xf>
    <xf borderId="3" fillId="13" fontId="1" numFmtId="0" xfId="0" applyAlignment="1" applyBorder="1" applyFill="1" applyFont="1">
      <alignment horizontal="center" readingOrder="0" shrinkToFit="0" vertical="center" wrapText="1"/>
    </xf>
    <xf borderId="0" fillId="0" fontId="5" numFmtId="0" xfId="0" applyAlignment="1" applyFont="1">
      <alignment horizontal="left" readingOrder="0" shrinkToFit="0" vertical="center" wrapText="1"/>
    </xf>
    <xf borderId="0" fillId="0" fontId="5" numFmtId="0" xfId="0" applyAlignment="1" applyFont="1">
      <alignment horizontal="left" shrinkToFit="0" vertical="center" wrapText="1"/>
    </xf>
    <xf borderId="3" fillId="0" fontId="5" numFmtId="0" xfId="0" applyAlignment="1" applyBorder="1" applyFont="1">
      <alignment horizontal="center" readingOrder="0" shrinkToFit="0" vertical="center" wrapText="1"/>
    </xf>
    <xf borderId="0" fillId="0" fontId="9" numFmtId="0" xfId="0" applyAlignment="1" applyFont="1">
      <alignment horizontal="left" readingOrder="0" shrinkToFit="0" vertical="center" wrapText="1"/>
    </xf>
    <xf borderId="3" fillId="0" fontId="4" numFmtId="0" xfId="0" applyAlignment="1" applyBorder="1" applyFont="1">
      <alignment readingOrder="0" shrinkToFit="0" vertical="center" wrapText="1"/>
    </xf>
    <xf borderId="0" fillId="0" fontId="10" numFmtId="0" xfId="0" applyAlignment="1" applyFont="1">
      <alignment horizontal="left" readingOrder="0" shrinkToFit="0" vertical="center" wrapText="1"/>
    </xf>
    <xf borderId="3" fillId="0" fontId="1" numFmtId="0" xfId="0" applyAlignment="1" applyBorder="1" applyFont="1">
      <alignment horizontal="center" readingOrder="0" shrinkToFit="0" vertical="center" wrapText="1"/>
    </xf>
    <xf borderId="0" fillId="0" fontId="5" numFmtId="0" xfId="0" applyAlignment="1" applyFont="1">
      <alignment horizontal="left" readingOrder="0" shrinkToFit="0" vertical="center" wrapText="1"/>
    </xf>
    <xf borderId="3" fillId="0" fontId="1" numFmtId="0" xfId="0" applyAlignment="1" applyBorder="1" applyFont="1">
      <alignment horizontal="center" shrinkToFit="0" vertical="center" wrapText="1"/>
    </xf>
    <xf borderId="3" fillId="0" fontId="11" numFmtId="0" xfId="0" applyAlignment="1" applyBorder="1" applyFont="1">
      <alignment readingOrder="0" shrinkToFit="0" vertical="center" wrapText="1"/>
    </xf>
    <xf borderId="3" fillId="0" fontId="3" numFmtId="0" xfId="0" applyAlignment="1" applyBorder="1" applyFont="1">
      <alignment horizontal="left" readingOrder="0" shrinkToFit="0" vertical="center" wrapText="1"/>
    </xf>
    <xf borderId="3" fillId="0" fontId="12" numFmtId="0" xfId="0" applyAlignment="1" applyBorder="1" applyFont="1">
      <alignment readingOrder="0" shrinkToFit="0" vertical="center" wrapText="1"/>
    </xf>
    <xf borderId="3" fillId="0" fontId="5" numFmtId="0" xfId="0" applyAlignment="1" applyBorder="1" applyFont="1">
      <alignment readingOrder="0" shrinkToFit="0" vertical="center" wrapText="1"/>
    </xf>
    <xf borderId="3" fillId="0" fontId="13" numFmtId="0" xfId="0" applyAlignment="1" applyBorder="1" applyFont="1">
      <alignment readingOrder="0" shrinkToFit="0" vertical="center" wrapText="1"/>
    </xf>
    <xf borderId="3" fillId="0" fontId="4"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prnt.sc/RZceP9XMEiR-" TargetMode="External"/><Relationship Id="rId22" Type="http://schemas.openxmlformats.org/officeDocument/2006/relationships/hyperlink" Target="https://prnt.sc/TYVosWytzkGy" TargetMode="External"/><Relationship Id="rId21" Type="http://schemas.openxmlformats.org/officeDocument/2006/relationships/hyperlink" Target="https://prnt.sc/xW45qpCE6L4A" TargetMode="External"/><Relationship Id="rId24" Type="http://schemas.openxmlformats.org/officeDocument/2006/relationships/hyperlink" Target="https://prnt.sc/8_nFwlfNDTcH" TargetMode="External"/><Relationship Id="rId23" Type="http://schemas.openxmlformats.org/officeDocument/2006/relationships/hyperlink" Target="https://prnt.sc/c-T-VcHB24i_" TargetMode="External"/><Relationship Id="rId1" Type="http://schemas.openxmlformats.org/officeDocument/2006/relationships/hyperlink" Target="https://prnt.sc/fj8L4Lvu9C-7" TargetMode="External"/><Relationship Id="rId2" Type="http://schemas.openxmlformats.org/officeDocument/2006/relationships/hyperlink" Target="https://prnt.sc/OwUteaX7QLMu" TargetMode="External"/><Relationship Id="rId3" Type="http://schemas.openxmlformats.org/officeDocument/2006/relationships/hyperlink" Target="https://prnt.sc/9RyaVXA4D8WN" TargetMode="External"/><Relationship Id="rId4" Type="http://schemas.openxmlformats.org/officeDocument/2006/relationships/hyperlink" Target="https://prnt.sc/Di5Cof2t9JD0" TargetMode="External"/><Relationship Id="rId9" Type="http://schemas.openxmlformats.org/officeDocument/2006/relationships/hyperlink" Target="https://prnt.sc/zghweRPtp7QX" TargetMode="External"/><Relationship Id="rId26" Type="http://schemas.openxmlformats.org/officeDocument/2006/relationships/hyperlink" Target="https://prnt.sc/2ek3Xz9EL79D" TargetMode="External"/><Relationship Id="rId25" Type="http://schemas.openxmlformats.org/officeDocument/2006/relationships/hyperlink" Target="https://prnt.sc/AP2Rmoju9K28" TargetMode="External"/><Relationship Id="rId28" Type="http://schemas.openxmlformats.org/officeDocument/2006/relationships/hyperlink" Target="https://prnt.sc/QsjHelU0uAbD" TargetMode="External"/><Relationship Id="rId27" Type="http://schemas.openxmlformats.org/officeDocument/2006/relationships/hyperlink" Target="https://prnt.sc/Rl3bEOGzeEs1" TargetMode="External"/><Relationship Id="rId5" Type="http://schemas.openxmlformats.org/officeDocument/2006/relationships/hyperlink" Target="https://prnt.sc/-wutgozY8qLR" TargetMode="External"/><Relationship Id="rId6" Type="http://schemas.openxmlformats.org/officeDocument/2006/relationships/hyperlink" Target="https://prnt.sc/sf_sLn4ibbdW" TargetMode="External"/><Relationship Id="rId29" Type="http://schemas.openxmlformats.org/officeDocument/2006/relationships/hyperlink" Target="https://prnt.sc/fvR9N4zzR14p" TargetMode="External"/><Relationship Id="rId7" Type="http://schemas.openxmlformats.org/officeDocument/2006/relationships/hyperlink" Target="https://prnt.sc/iyjTn9WBGTqP" TargetMode="External"/><Relationship Id="rId8" Type="http://schemas.openxmlformats.org/officeDocument/2006/relationships/hyperlink" Target="https://prnt.sc/_Snw9QINW0oY" TargetMode="External"/><Relationship Id="rId31" Type="http://schemas.openxmlformats.org/officeDocument/2006/relationships/hyperlink" Target="https://prnt.sc/CEQTfnHtYkE5" TargetMode="External"/><Relationship Id="rId30" Type="http://schemas.openxmlformats.org/officeDocument/2006/relationships/hyperlink" Target="https://prnt.sc/qizKXCubtt_U" TargetMode="External"/><Relationship Id="rId11" Type="http://schemas.openxmlformats.org/officeDocument/2006/relationships/hyperlink" Target="https://prnt.sc/URUpUyrmUxie" TargetMode="External"/><Relationship Id="rId33" Type="http://schemas.openxmlformats.org/officeDocument/2006/relationships/hyperlink" Target="https://prnt.sc/WPUHTfN3k0lP" TargetMode="External"/><Relationship Id="rId10" Type="http://schemas.openxmlformats.org/officeDocument/2006/relationships/hyperlink" Target="https://prnt.sc/OnPLdSVC62GA" TargetMode="External"/><Relationship Id="rId32" Type="http://schemas.openxmlformats.org/officeDocument/2006/relationships/hyperlink" Target="https://prnt.sc/G4WLMSJd2BWw" TargetMode="External"/><Relationship Id="rId13" Type="http://schemas.openxmlformats.org/officeDocument/2006/relationships/hyperlink" Target="https://prnt.sc/4q9iWIHIXxu3" TargetMode="External"/><Relationship Id="rId35" Type="http://schemas.openxmlformats.org/officeDocument/2006/relationships/drawing" Target="../drawings/drawing1.xml"/><Relationship Id="rId12" Type="http://schemas.openxmlformats.org/officeDocument/2006/relationships/hyperlink" Target="https://prnt.sc/xj17iENJjgb7" TargetMode="External"/><Relationship Id="rId34" Type="http://schemas.openxmlformats.org/officeDocument/2006/relationships/hyperlink" Target="https://prnt.sc/G4WLMSJd2BWw" TargetMode="External"/><Relationship Id="rId15" Type="http://schemas.openxmlformats.org/officeDocument/2006/relationships/hyperlink" Target="https://prnt.sc/40RUMvavnKjP" TargetMode="External"/><Relationship Id="rId14" Type="http://schemas.openxmlformats.org/officeDocument/2006/relationships/hyperlink" Target="https://prnt.sc/V9B6Cm6THdDN" TargetMode="External"/><Relationship Id="rId17" Type="http://schemas.openxmlformats.org/officeDocument/2006/relationships/hyperlink" Target="https://prnt.sc/R6MrXTT8F1We" TargetMode="External"/><Relationship Id="rId16" Type="http://schemas.openxmlformats.org/officeDocument/2006/relationships/hyperlink" Target="https://prnt.sc/N8irHG-OMj9t" TargetMode="External"/><Relationship Id="rId19" Type="http://schemas.openxmlformats.org/officeDocument/2006/relationships/hyperlink" Target="https://prnt.sc/qCx_YyVgmtEu" TargetMode="External"/><Relationship Id="rId18" Type="http://schemas.openxmlformats.org/officeDocument/2006/relationships/hyperlink" Target="https://prnt.sc/Osm67QgY7t70"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prnt.sc/yET9M2ftFzRc" TargetMode="External"/><Relationship Id="rId22" Type="http://schemas.openxmlformats.org/officeDocument/2006/relationships/hyperlink" Target="https://prnt.sc/MbT--AjSva0n" TargetMode="External"/><Relationship Id="rId21" Type="http://schemas.openxmlformats.org/officeDocument/2006/relationships/hyperlink" Target="https://prnt.sc/3pNk4tEAgh_W" TargetMode="External"/><Relationship Id="rId24" Type="http://schemas.openxmlformats.org/officeDocument/2006/relationships/hyperlink" Target="https://prnt.sc/R6_SixsXSuxU" TargetMode="External"/><Relationship Id="rId23" Type="http://schemas.openxmlformats.org/officeDocument/2006/relationships/hyperlink" Target="https://prnt.sc/XnRopcvOORkF" TargetMode="External"/><Relationship Id="rId1" Type="http://schemas.openxmlformats.org/officeDocument/2006/relationships/hyperlink" Target="https://prnt.sc/JdjhwixqEDnR" TargetMode="External"/><Relationship Id="rId2" Type="http://schemas.openxmlformats.org/officeDocument/2006/relationships/hyperlink" Target="https://prnt.sc/cHnX3g0BcqIJ" TargetMode="External"/><Relationship Id="rId3" Type="http://schemas.openxmlformats.org/officeDocument/2006/relationships/hyperlink" Target="https://prnt.sc/cHnX3g0BcqIJ" TargetMode="External"/><Relationship Id="rId4" Type="http://schemas.openxmlformats.org/officeDocument/2006/relationships/hyperlink" Target="https://prnt.sc/me8XxpqqnngG" TargetMode="External"/><Relationship Id="rId9" Type="http://schemas.openxmlformats.org/officeDocument/2006/relationships/hyperlink" Target="https://prnt.sc/xgHaij_zM2nJ" TargetMode="External"/><Relationship Id="rId26" Type="http://schemas.openxmlformats.org/officeDocument/2006/relationships/hyperlink" Target="https://prnt.sc/qI1K_8XagrmU" TargetMode="External"/><Relationship Id="rId25" Type="http://schemas.openxmlformats.org/officeDocument/2006/relationships/hyperlink" Target="https://prnt.sc/dCXzpDtOtVT_" TargetMode="External"/><Relationship Id="rId28" Type="http://schemas.openxmlformats.org/officeDocument/2006/relationships/hyperlink" Target="https://prnt.sc/fDrUBLfAlQHW" TargetMode="External"/><Relationship Id="rId27" Type="http://schemas.openxmlformats.org/officeDocument/2006/relationships/hyperlink" Target="https://prnt.sc/luufCnoMyatm" TargetMode="External"/><Relationship Id="rId5" Type="http://schemas.openxmlformats.org/officeDocument/2006/relationships/hyperlink" Target="https://prnt.sc/COqxd_u6H28j" TargetMode="External"/><Relationship Id="rId6" Type="http://schemas.openxmlformats.org/officeDocument/2006/relationships/hyperlink" Target="https://prnt.sc/1di2LYuCTzHa" TargetMode="External"/><Relationship Id="rId29" Type="http://schemas.openxmlformats.org/officeDocument/2006/relationships/drawing" Target="../drawings/drawing2.xml"/><Relationship Id="rId7" Type="http://schemas.openxmlformats.org/officeDocument/2006/relationships/hyperlink" Target="https://prnt.sc/EjrN7sbH6z7z" TargetMode="External"/><Relationship Id="rId8" Type="http://schemas.openxmlformats.org/officeDocument/2006/relationships/hyperlink" Target="https://prnt.sc/xgHaij_zM2nJ" TargetMode="External"/><Relationship Id="rId11" Type="http://schemas.openxmlformats.org/officeDocument/2006/relationships/hyperlink" Target="https://prnt.sc/wBfsUi02S8dF" TargetMode="External"/><Relationship Id="rId10" Type="http://schemas.openxmlformats.org/officeDocument/2006/relationships/hyperlink" Target="https://prnt.sc/SMUwo0yAo9DR" TargetMode="External"/><Relationship Id="rId13" Type="http://schemas.openxmlformats.org/officeDocument/2006/relationships/hyperlink" Target="https://prnt.sc/ibkT4pME9TJx" TargetMode="External"/><Relationship Id="rId12" Type="http://schemas.openxmlformats.org/officeDocument/2006/relationships/hyperlink" Target="https://prnt.sc/eXG8ZvdtVbEl" TargetMode="External"/><Relationship Id="rId15" Type="http://schemas.openxmlformats.org/officeDocument/2006/relationships/hyperlink" Target="https://prnt.sc/LAni7Wmsj6i5" TargetMode="External"/><Relationship Id="rId14" Type="http://schemas.openxmlformats.org/officeDocument/2006/relationships/hyperlink" Target="https://prnt.sc/7_yVfAuJXwUi" TargetMode="External"/><Relationship Id="rId17" Type="http://schemas.openxmlformats.org/officeDocument/2006/relationships/hyperlink" Target="https://prnt.sc/2-9tGv_QMCgx" TargetMode="External"/><Relationship Id="rId16" Type="http://schemas.openxmlformats.org/officeDocument/2006/relationships/hyperlink" Target="https://prnt.sc/3bKIxqBZH1Mv" TargetMode="External"/><Relationship Id="rId19" Type="http://schemas.openxmlformats.org/officeDocument/2006/relationships/hyperlink" Target="https://prnt.sc/_YotBP34_8rp" TargetMode="External"/><Relationship Id="rId18" Type="http://schemas.openxmlformats.org/officeDocument/2006/relationships/hyperlink" Target="https://prnt.sc/bwauRNGma1u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2" width="23.38"/>
    <col customWidth="1" min="3" max="3" width="19.5"/>
    <col customWidth="1" min="4" max="4" width="17.63"/>
    <col customWidth="1" min="5" max="5" width="23.0"/>
    <col customWidth="1" min="6" max="6" width="14.25"/>
    <col customWidth="1" min="7" max="7" width="24.38"/>
    <col customWidth="1" min="8" max="8" width="30.88"/>
    <col customWidth="1" min="10" max="10" width="24.5"/>
    <col customWidth="1" min="11" max="11" width="16.38"/>
  </cols>
  <sheetData>
    <row r="1">
      <c r="A1" s="1" t="s">
        <v>0</v>
      </c>
      <c r="B1" s="2"/>
      <c r="C1" s="4" t="s">
        <v>1</v>
      </c>
      <c r="D1" s="5" t="s">
        <v>2</v>
      </c>
      <c r="E1" s="8">
        <v>46188.0</v>
      </c>
      <c r="F1" s="2"/>
      <c r="G1" s="5" t="s">
        <v>3</v>
      </c>
      <c r="H1" s="10"/>
      <c r="I1" s="11"/>
      <c r="J1" s="12"/>
      <c r="K1" s="12"/>
      <c r="L1" s="12"/>
      <c r="M1" s="12"/>
      <c r="N1" s="12"/>
      <c r="O1" s="12"/>
      <c r="P1" s="12"/>
      <c r="Q1" s="12"/>
      <c r="R1" s="12"/>
      <c r="S1" s="12"/>
      <c r="T1" s="12"/>
      <c r="U1" s="12"/>
      <c r="V1" s="12"/>
      <c r="W1" s="12"/>
      <c r="X1" s="12"/>
      <c r="Y1" s="12"/>
      <c r="Z1" s="12"/>
      <c r="AA1" s="12"/>
    </row>
    <row r="2">
      <c r="A2" s="1" t="s">
        <v>4</v>
      </c>
      <c r="B2" s="2"/>
      <c r="C2" s="15"/>
      <c r="D2" s="5" t="s">
        <v>6</v>
      </c>
      <c r="E2" s="10"/>
      <c r="F2" s="2"/>
      <c r="G2" s="5" t="s">
        <v>8</v>
      </c>
      <c r="H2" s="10"/>
      <c r="I2" s="11"/>
      <c r="J2" s="12"/>
      <c r="K2" s="12"/>
      <c r="L2" s="12"/>
      <c r="M2" s="12"/>
      <c r="N2" s="12"/>
      <c r="O2" s="12"/>
      <c r="P2" s="12"/>
      <c r="Q2" s="12"/>
      <c r="R2" s="12"/>
      <c r="S2" s="12"/>
      <c r="T2" s="12"/>
      <c r="U2" s="12"/>
      <c r="V2" s="12"/>
      <c r="W2" s="12"/>
      <c r="X2" s="12"/>
      <c r="Y2" s="12"/>
      <c r="Z2" s="12"/>
      <c r="AA2" s="12"/>
    </row>
    <row r="3">
      <c r="A3" s="1" t="s">
        <v>10</v>
      </c>
      <c r="B3" s="2"/>
      <c r="C3" s="16" t="s">
        <v>11</v>
      </c>
      <c r="D3" s="5" t="s">
        <v>12</v>
      </c>
      <c r="E3" s="18" t="s">
        <v>13</v>
      </c>
      <c r="F3" s="2"/>
      <c r="G3" s="19"/>
      <c r="H3" s="20"/>
      <c r="I3" s="11"/>
      <c r="J3" s="12"/>
      <c r="K3" s="12"/>
      <c r="L3" s="12"/>
      <c r="M3" s="12"/>
      <c r="N3" s="12"/>
      <c r="O3" s="12"/>
      <c r="P3" s="12"/>
      <c r="Q3" s="12"/>
      <c r="R3" s="12"/>
      <c r="S3" s="12"/>
      <c r="T3" s="12"/>
      <c r="U3" s="12"/>
      <c r="V3" s="12"/>
      <c r="W3" s="12"/>
      <c r="X3" s="12"/>
      <c r="Y3" s="12"/>
      <c r="Z3" s="12"/>
      <c r="AA3" s="12"/>
    </row>
    <row r="4">
      <c r="A4" s="1" t="s">
        <v>14</v>
      </c>
      <c r="B4" s="2"/>
      <c r="C4" s="22"/>
      <c r="D4" s="5" t="s">
        <v>16</v>
      </c>
      <c r="E4" s="20"/>
      <c r="F4" s="2"/>
      <c r="G4" s="19"/>
      <c r="H4" s="20"/>
      <c r="I4" s="11"/>
      <c r="J4" s="12"/>
      <c r="K4" s="12"/>
      <c r="L4" s="12"/>
      <c r="M4" s="12"/>
      <c r="N4" s="12"/>
      <c r="O4" s="12"/>
      <c r="P4" s="12"/>
      <c r="Q4" s="12"/>
      <c r="R4" s="12"/>
      <c r="S4" s="12"/>
      <c r="T4" s="12"/>
      <c r="U4" s="12"/>
      <c r="V4" s="12"/>
      <c r="W4" s="12"/>
      <c r="X4" s="12"/>
      <c r="Y4" s="12"/>
      <c r="Z4" s="12"/>
      <c r="AA4" s="12"/>
    </row>
    <row r="5">
      <c r="A5" s="1" t="s">
        <v>17</v>
      </c>
      <c r="B5" s="2"/>
      <c r="C5" s="22"/>
      <c r="D5" s="5" t="s">
        <v>18</v>
      </c>
      <c r="E5" s="24">
        <v>19520.0</v>
      </c>
      <c r="F5" s="2"/>
      <c r="G5" s="19"/>
      <c r="H5" s="20"/>
      <c r="I5" s="11"/>
      <c r="J5" s="12"/>
      <c r="K5" s="12"/>
      <c r="L5" s="12"/>
      <c r="M5" s="12"/>
      <c r="N5" s="12"/>
      <c r="O5" s="12"/>
      <c r="P5" s="12"/>
      <c r="Q5" s="12"/>
      <c r="R5" s="12"/>
      <c r="S5" s="12"/>
      <c r="T5" s="12"/>
      <c r="U5" s="12"/>
      <c r="V5" s="12"/>
      <c r="W5" s="12"/>
      <c r="X5" s="12"/>
      <c r="Y5" s="12"/>
      <c r="Z5" s="12"/>
      <c r="AA5" s="12"/>
    </row>
    <row r="6">
      <c r="A6" s="12"/>
      <c r="B6" s="12"/>
      <c r="C6" s="12"/>
      <c r="D6" s="12"/>
      <c r="E6" s="12"/>
      <c r="F6" s="12"/>
      <c r="G6" s="12"/>
      <c r="H6" s="12"/>
      <c r="I6" s="12"/>
      <c r="J6" s="12"/>
      <c r="K6" s="12"/>
      <c r="L6" s="12"/>
      <c r="M6" s="12"/>
      <c r="N6" s="12"/>
      <c r="O6" s="12"/>
      <c r="P6" s="12"/>
      <c r="Q6" s="12"/>
      <c r="R6" s="12"/>
      <c r="S6" s="12"/>
      <c r="T6" s="12"/>
      <c r="U6" s="12"/>
      <c r="V6" s="12"/>
      <c r="W6" s="12"/>
      <c r="X6" s="12"/>
      <c r="Y6" s="12"/>
      <c r="Z6" s="12"/>
      <c r="AA6" s="12"/>
    </row>
    <row r="7">
      <c r="A7" s="27" t="s">
        <v>20</v>
      </c>
      <c r="B7" s="27" t="s">
        <v>21</v>
      </c>
      <c r="C7" s="27" t="s">
        <v>22</v>
      </c>
      <c r="D7" s="27" t="s">
        <v>23</v>
      </c>
      <c r="E7" s="27" t="s">
        <v>24</v>
      </c>
      <c r="F7" s="27" t="s">
        <v>26</v>
      </c>
      <c r="G7" s="27" t="s">
        <v>27</v>
      </c>
      <c r="H7" s="27" t="s">
        <v>28</v>
      </c>
      <c r="I7" s="27" t="s">
        <v>29</v>
      </c>
      <c r="J7" s="27" t="s">
        <v>27</v>
      </c>
      <c r="K7" s="29"/>
      <c r="L7" s="29"/>
      <c r="M7" s="29"/>
      <c r="N7" s="29"/>
      <c r="O7" s="29"/>
      <c r="P7" s="29"/>
      <c r="Q7" s="29"/>
      <c r="R7" s="29"/>
      <c r="S7" s="29"/>
      <c r="T7" s="29"/>
      <c r="U7" s="29"/>
      <c r="V7" s="29"/>
      <c r="W7" s="29"/>
      <c r="X7" s="29"/>
      <c r="Y7" s="29"/>
      <c r="Z7" s="29"/>
      <c r="AA7" s="29"/>
    </row>
    <row r="8">
      <c r="A8" s="30" t="s">
        <v>30</v>
      </c>
      <c r="B8" s="31" t="s">
        <v>31</v>
      </c>
      <c r="C8" s="32" t="s">
        <v>32</v>
      </c>
      <c r="D8" s="31"/>
      <c r="E8" s="31" t="s">
        <v>33</v>
      </c>
      <c r="F8" s="31" t="s">
        <v>15</v>
      </c>
      <c r="G8" s="36" t="s">
        <v>35</v>
      </c>
      <c r="H8" s="37"/>
      <c r="I8" s="31" t="s">
        <v>15</v>
      </c>
      <c r="J8" s="38" t="s">
        <v>38</v>
      </c>
      <c r="K8" s="37"/>
      <c r="L8" s="37"/>
      <c r="M8" s="37"/>
      <c r="N8" s="37"/>
      <c r="O8" s="37"/>
      <c r="P8" s="37"/>
      <c r="Q8" s="37"/>
      <c r="R8" s="37"/>
      <c r="S8" s="37"/>
      <c r="T8" s="37"/>
      <c r="U8" s="37"/>
      <c r="V8" s="37"/>
      <c r="W8" s="37"/>
      <c r="X8" s="37"/>
      <c r="Y8" s="37"/>
      <c r="Z8" s="37"/>
      <c r="AA8" s="37"/>
    </row>
    <row r="9">
      <c r="A9" s="30" t="s">
        <v>39</v>
      </c>
      <c r="B9" s="31" t="s">
        <v>40</v>
      </c>
      <c r="C9" s="31" t="s">
        <v>41</v>
      </c>
      <c r="D9" s="31" t="s">
        <v>42</v>
      </c>
      <c r="E9" s="31" t="s">
        <v>43</v>
      </c>
      <c r="F9" s="31" t="s">
        <v>15</v>
      </c>
      <c r="G9" s="36" t="s">
        <v>44</v>
      </c>
      <c r="H9" s="37"/>
      <c r="I9" s="31" t="s">
        <v>15</v>
      </c>
      <c r="J9" s="36" t="s">
        <v>46</v>
      </c>
      <c r="K9" s="37"/>
      <c r="L9" s="37"/>
      <c r="M9" s="37"/>
      <c r="N9" s="37"/>
      <c r="O9" s="37"/>
      <c r="P9" s="37"/>
      <c r="Q9" s="37"/>
      <c r="R9" s="37"/>
      <c r="S9" s="37"/>
      <c r="T9" s="37"/>
      <c r="U9" s="37"/>
      <c r="V9" s="37"/>
      <c r="W9" s="37"/>
      <c r="X9" s="37"/>
      <c r="Y9" s="37"/>
      <c r="Z9" s="37"/>
      <c r="AA9" s="37"/>
    </row>
    <row r="10">
      <c r="A10" s="30" t="s">
        <v>48</v>
      </c>
      <c r="B10" s="31" t="s">
        <v>49</v>
      </c>
      <c r="C10" s="31" t="s">
        <v>50</v>
      </c>
      <c r="D10" s="31" t="s">
        <v>51</v>
      </c>
      <c r="E10" s="31" t="s">
        <v>52</v>
      </c>
      <c r="F10" s="31" t="s">
        <v>15</v>
      </c>
      <c r="G10" s="36" t="s">
        <v>53</v>
      </c>
      <c r="H10" s="37"/>
      <c r="I10" s="31" t="s">
        <v>15</v>
      </c>
      <c r="J10" s="36" t="s">
        <v>54</v>
      </c>
      <c r="K10" s="37"/>
      <c r="L10" s="37"/>
      <c r="M10" s="37"/>
      <c r="N10" s="37"/>
      <c r="O10" s="37"/>
      <c r="P10" s="37"/>
      <c r="Q10" s="37"/>
      <c r="R10" s="37"/>
      <c r="S10" s="37"/>
      <c r="T10" s="37"/>
      <c r="U10" s="37"/>
      <c r="V10" s="37"/>
      <c r="W10" s="37"/>
      <c r="X10" s="37"/>
      <c r="Y10" s="37"/>
      <c r="Z10" s="37"/>
      <c r="AA10" s="37"/>
    </row>
    <row r="11">
      <c r="A11" s="30" t="s">
        <v>56</v>
      </c>
      <c r="B11" s="31" t="s">
        <v>57</v>
      </c>
      <c r="C11" s="31" t="s">
        <v>58</v>
      </c>
      <c r="D11" s="31" t="s">
        <v>59</v>
      </c>
      <c r="E11" s="31" t="s">
        <v>60</v>
      </c>
      <c r="F11" s="31" t="s">
        <v>15</v>
      </c>
      <c r="G11" s="36" t="s">
        <v>61</v>
      </c>
      <c r="H11" s="44"/>
      <c r="I11" s="31" t="s">
        <v>15</v>
      </c>
      <c r="J11" s="36" t="s">
        <v>63</v>
      </c>
      <c r="K11" s="37"/>
      <c r="L11" s="37"/>
      <c r="M11" s="37"/>
      <c r="N11" s="37"/>
      <c r="O11" s="37"/>
      <c r="P11" s="37"/>
      <c r="Q11" s="37"/>
      <c r="R11" s="37"/>
      <c r="S11" s="37"/>
      <c r="T11" s="37"/>
      <c r="U11" s="37"/>
      <c r="V11" s="37"/>
      <c r="W11" s="37"/>
      <c r="X11" s="37"/>
      <c r="Y11" s="37"/>
      <c r="Z11" s="37"/>
      <c r="AA11" s="37"/>
    </row>
    <row r="12">
      <c r="A12" s="30" t="s">
        <v>64</v>
      </c>
      <c r="B12" s="31" t="s">
        <v>65</v>
      </c>
      <c r="C12" s="31" t="s">
        <v>66</v>
      </c>
      <c r="D12" s="37"/>
      <c r="E12" s="31" t="s">
        <v>67</v>
      </c>
      <c r="F12" s="31" t="s">
        <v>15</v>
      </c>
      <c r="G12" s="36" t="s">
        <v>68</v>
      </c>
      <c r="H12" s="37"/>
      <c r="I12" s="31" t="s">
        <v>15</v>
      </c>
      <c r="J12" s="36" t="s">
        <v>75</v>
      </c>
      <c r="K12" s="37"/>
      <c r="L12" s="37"/>
      <c r="M12" s="37"/>
      <c r="N12" s="37"/>
      <c r="O12" s="37"/>
      <c r="P12" s="37"/>
      <c r="Q12" s="37"/>
      <c r="R12" s="37"/>
      <c r="S12" s="37"/>
      <c r="T12" s="37"/>
      <c r="U12" s="37"/>
      <c r="V12" s="37"/>
      <c r="W12" s="37"/>
      <c r="X12" s="37"/>
      <c r="Y12" s="37"/>
      <c r="Z12" s="37"/>
      <c r="AA12" s="37"/>
    </row>
    <row r="13">
      <c r="A13" s="30" t="s">
        <v>78</v>
      </c>
      <c r="B13" s="49" t="s">
        <v>79</v>
      </c>
      <c r="C13" s="49" t="s">
        <v>82</v>
      </c>
      <c r="D13" s="50"/>
      <c r="E13" s="49" t="s">
        <v>85</v>
      </c>
      <c r="F13" s="31" t="s">
        <v>15</v>
      </c>
      <c r="G13" s="52" t="s">
        <v>86</v>
      </c>
      <c r="H13" s="54" t="s">
        <v>89</v>
      </c>
      <c r="I13" s="31" t="s">
        <v>15</v>
      </c>
      <c r="J13" s="52" t="s">
        <v>90</v>
      </c>
      <c r="K13" s="49" t="s">
        <v>95</v>
      </c>
      <c r="L13" s="50"/>
      <c r="M13" s="50"/>
      <c r="N13" s="50"/>
      <c r="O13" s="50"/>
      <c r="P13" s="50"/>
      <c r="Q13" s="50"/>
      <c r="R13" s="50"/>
      <c r="S13" s="50"/>
      <c r="T13" s="50"/>
      <c r="U13" s="50"/>
      <c r="V13" s="50"/>
      <c r="W13" s="50"/>
      <c r="X13" s="50"/>
      <c r="Y13" s="50"/>
      <c r="Z13" s="50"/>
      <c r="AA13" s="50"/>
    </row>
    <row r="14">
      <c r="A14" s="30" t="s">
        <v>96</v>
      </c>
      <c r="B14" s="49" t="s">
        <v>97</v>
      </c>
      <c r="C14" s="49" t="s">
        <v>98</v>
      </c>
      <c r="D14" s="49" t="s">
        <v>99</v>
      </c>
      <c r="E14" s="49" t="s">
        <v>100</v>
      </c>
      <c r="F14" s="31" t="s">
        <v>15</v>
      </c>
      <c r="G14" s="49"/>
      <c r="H14" s="56"/>
      <c r="I14" s="31" t="s">
        <v>15</v>
      </c>
      <c r="J14" s="52" t="s">
        <v>101</v>
      </c>
      <c r="K14" s="49"/>
      <c r="L14" s="50"/>
      <c r="M14" s="50"/>
      <c r="N14" s="50"/>
      <c r="O14" s="50"/>
      <c r="P14" s="50"/>
      <c r="Q14" s="50"/>
      <c r="R14" s="50"/>
      <c r="S14" s="50"/>
      <c r="T14" s="50"/>
      <c r="U14" s="50"/>
      <c r="V14" s="50"/>
      <c r="W14" s="50"/>
      <c r="X14" s="50"/>
      <c r="Y14" s="50"/>
      <c r="Z14" s="50"/>
      <c r="AA14" s="50"/>
    </row>
    <row r="15">
      <c r="A15" s="30" t="s">
        <v>102</v>
      </c>
      <c r="B15" s="31" t="s">
        <v>103</v>
      </c>
      <c r="C15" s="31" t="s">
        <v>104</v>
      </c>
      <c r="D15" s="31" t="s">
        <v>105</v>
      </c>
      <c r="E15" s="31" t="s">
        <v>60</v>
      </c>
      <c r="F15" s="31" t="s">
        <v>15</v>
      </c>
      <c r="G15" s="36" t="s">
        <v>107</v>
      </c>
      <c r="H15" s="37"/>
      <c r="I15" s="31" t="s">
        <v>15</v>
      </c>
      <c r="J15" s="36" t="s">
        <v>108</v>
      </c>
      <c r="K15" s="37"/>
      <c r="L15" s="37"/>
      <c r="M15" s="37"/>
      <c r="N15" s="37"/>
      <c r="O15" s="37"/>
      <c r="P15" s="37"/>
      <c r="Q15" s="37"/>
      <c r="R15" s="37"/>
      <c r="S15" s="37"/>
      <c r="T15" s="37"/>
      <c r="U15" s="37"/>
      <c r="V15" s="37"/>
      <c r="W15" s="37"/>
      <c r="X15" s="37"/>
      <c r="Y15" s="37"/>
      <c r="Z15" s="37"/>
      <c r="AA15" s="37"/>
    </row>
    <row r="16">
      <c r="A16" s="30" t="s">
        <v>109</v>
      </c>
      <c r="B16" s="31" t="s">
        <v>110</v>
      </c>
      <c r="C16" s="31" t="s">
        <v>66</v>
      </c>
      <c r="D16" s="37"/>
      <c r="E16" s="31" t="s">
        <v>111</v>
      </c>
      <c r="F16" s="31" t="s">
        <v>15</v>
      </c>
      <c r="G16" s="36" t="s">
        <v>112</v>
      </c>
      <c r="H16" s="37"/>
      <c r="I16" s="31" t="s">
        <v>15</v>
      </c>
      <c r="J16" s="36" t="s">
        <v>114</v>
      </c>
      <c r="K16" s="37"/>
      <c r="L16" s="37"/>
      <c r="M16" s="37"/>
      <c r="N16" s="37"/>
      <c r="O16" s="37"/>
      <c r="P16" s="37"/>
      <c r="Q16" s="37"/>
      <c r="R16" s="37"/>
      <c r="S16" s="37"/>
      <c r="T16" s="37"/>
      <c r="U16" s="37"/>
      <c r="V16" s="37"/>
      <c r="W16" s="37"/>
      <c r="X16" s="37"/>
      <c r="Y16" s="37"/>
      <c r="Z16" s="37"/>
      <c r="AA16" s="37"/>
    </row>
    <row r="17">
      <c r="A17" s="30" t="s">
        <v>115</v>
      </c>
      <c r="B17" s="31" t="s">
        <v>116</v>
      </c>
      <c r="C17" s="31" t="s">
        <v>117</v>
      </c>
      <c r="D17" s="31" t="s">
        <v>119</v>
      </c>
      <c r="E17" s="31" t="s">
        <v>120</v>
      </c>
      <c r="F17" s="31" t="s">
        <v>15</v>
      </c>
      <c r="G17" s="36" t="s">
        <v>122</v>
      </c>
      <c r="H17" s="37"/>
      <c r="I17" s="31" t="s">
        <v>15</v>
      </c>
      <c r="J17" s="38" t="s">
        <v>127</v>
      </c>
      <c r="K17" s="37"/>
      <c r="L17" s="37"/>
      <c r="M17" s="37"/>
      <c r="N17" s="37"/>
      <c r="O17" s="37"/>
      <c r="P17" s="37"/>
      <c r="Q17" s="37"/>
      <c r="R17" s="37"/>
      <c r="S17" s="37"/>
      <c r="T17" s="37"/>
      <c r="U17" s="37"/>
      <c r="V17" s="37"/>
      <c r="W17" s="37"/>
      <c r="X17" s="37"/>
      <c r="Y17" s="37"/>
      <c r="Z17" s="37"/>
      <c r="AA17" s="37"/>
    </row>
    <row r="18">
      <c r="A18" s="30" t="s">
        <v>129</v>
      </c>
      <c r="B18" s="31" t="s">
        <v>130</v>
      </c>
      <c r="C18" s="31" t="s">
        <v>131</v>
      </c>
      <c r="D18" s="31" t="s">
        <v>132</v>
      </c>
      <c r="E18" s="31" t="s">
        <v>133</v>
      </c>
      <c r="F18" s="31" t="s">
        <v>15</v>
      </c>
      <c r="G18" s="36" t="s">
        <v>134</v>
      </c>
      <c r="H18" s="37"/>
      <c r="I18" s="31" t="s">
        <v>15</v>
      </c>
      <c r="J18" s="36" t="s">
        <v>135</v>
      </c>
      <c r="K18" s="37"/>
      <c r="L18" s="37"/>
      <c r="M18" s="37"/>
      <c r="N18" s="37"/>
      <c r="O18" s="37"/>
      <c r="P18" s="37"/>
      <c r="Q18" s="37"/>
      <c r="R18" s="37"/>
      <c r="S18" s="37"/>
      <c r="T18" s="37"/>
      <c r="U18" s="37"/>
      <c r="V18" s="37"/>
      <c r="W18" s="37"/>
      <c r="X18" s="37"/>
      <c r="Y18" s="37"/>
      <c r="Z18" s="37"/>
      <c r="AA18" s="37"/>
    </row>
    <row r="19">
      <c r="A19" s="30" t="s">
        <v>142</v>
      </c>
      <c r="B19" s="31" t="s">
        <v>143</v>
      </c>
      <c r="C19" s="31" t="s">
        <v>144</v>
      </c>
      <c r="D19" s="31" t="s">
        <v>145</v>
      </c>
      <c r="E19" s="31" t="s">
        <v>146</v>
      </c>
      <c r="F19" s="31" t="s">
        <v>15</v>
      </c>
      <c r="G19" s="36" t="s">
        <v>147</v>
      </c>
      <c r="H19" s="37"/>
      <c r="I19" s="31" t="s">
        <v>15</v>
      </c>
      <c r="J19" s="37"/>
      <c r="K19" s="37"/>
      <c r="L19" s="37"/>
      <c r="M19" s="37"/>
      <c r="N19" s="37"/>
      <c r="O19" s="37"/>
      <c r="P19" s="37"/>
      <c r="Q19" s="37"/>
      <c r="R19" s="37"/>
      <c r="S19" s="37"/>
      <c r="T19" s="37"/>
      <c r="U19" s="37"/>
      <c r="V19" s="37"/>
      <c r="W19" s="37"/>
      <c r="X19" s="37"/>
      <c r="Y19" s="37"/>
      <c r="Z19" s="37"/>
      <c r="AA19" s="37"/>
    </row>
    <row r="20">
      <c r="A20" s="30" t="s">
        <v>150</v>
      </c>
      <c r="B20" s="31" t="s">
        <v>151</v>
      </c>
      <c r="C20" s="31" t="s">
        <v>66</v>
      </c>
      <c r="D20" s="37"/>
      <c r="E20" s="31" t="s">
        <v>153</v>
      </c>
      <c r="F20" s="31" t="s">
        <v>15</v>
      </c>
      <c r="G20" s="36" t="s">
        <v>154</v>
      </c>
      <c r="H20" s="37"/>
      <c r="I20" s="31" t="s">
        <v>15</v>
      </c>
      <c r="J20" s="36" t="s">
        <v>158</v>
      </c>
      <c r="K20" s="37"/>
      <c r="L20" s="37"/>
      <c r="M20" s="37"/>
      <c r="N20" s="37"/>
      <c r="O20" s="37"/>
      <c r="P20" s="37"/>
      <c r="Q20" s="37"/>
      <c r="R20" s="37"/>
      <c r="S20" s="37"/>
      <c r="T20" s="37"/>
      <c r="U20" s="37"/>
      <c r="V20" s="37"/>
      <c r="W20" s="37"/>
      <c r="X20" s="37"/>
      <c r="Y20" s="37"/>
      <c r="Z20" s="37"/>
      <c r="AA20" s="37"/>
    </row>
    <row r="21">
      <c r="A21" s="30" t="s">
        <v>160</v>
      </c>
      <c r="B21" s="31" t="s">
        <v>161</v>
      </c>
      <c r="C21" s="31" t="s">
        <v>162</v>
      </c>
      <c r="D21" s="31" t="s">
        <v>163</v>
      </c>
      <c r="E21" s="31" t="s">
        <v>164</v>
      </c>
      <c r="F21" s="31" t="s">
        <v>15</v>
      </c>
      <c r="G21" s="36" t="s">
        <v>165</v>
      </c>
      <c r="H21" s="37"/>
      <c r="I21" s="31" t="s">
        <v>15</v>
      </c>
      <c r="J21" s="31"/>
      <c r="K21" s="37"/>
      <c r="L21" s="37"/>
      <c r="M21" s="37"/>
      <c r="N21" s="37"/>
      <c r="O21" s="37"/>
      <c r="P21" s="37"/>
      <c r="Q21" s="37"/>
      <c r="R21" s="37"/>
      <c r="S21" s="37"/>
      <c r="T21" s="37"/>
      <c r="U21" s="37"/>
      <c r="V21" s="37"/>
      <c r="W21" s="37"/>
      <c r="X21" s="37"/>
      <c r="Y21" s="37"/>
      <c r="Z21" s="37"/>
      <c r="AA21" s="37"/>
    </row>
    <row r="22">
      <c r="A22" s="30" t="s">
        <v>171</v>
      </c>
      <c r="B22" s="31" t="s">
        <v>173</v>
      </c>
      <c r="C22" s="31" t="s">
        <v>174</v>
      </c>
      <c r="D22" s="31" t="s">
        <v>175</v>
      </c>
      <c r="E22" s="31" t="s">
        <v>176</v>
      </c>
      <c r="F22" s="31" t="s">
        <v>15</v>
      </c>
      <c r="G22" s="38" t="s">
        <v>177</v>
      </c>
      <c r="H22" s="31" t="s">
        <v>178</v>
      </c>
      <c r="I22" s="31" t="s">
        <v>15</v>
      </c>
      <c r="J22" s="36" t="s">
        <v>179</v>
      </c>
      <c r="K22" s="37"/>
      <c r="L22" s="37"/>
      <c r="M22" s="37"/>
      <c r="N22" s="37"/>
      <c r="O22" s="37"/>
      <c r="P22" s="37"/>
      <c r="Q22" s="37"/>
      <c r="R22" s="37"/>
      <c r="S22" s="37"/>
      <c r="T22" s="37"/>
      <c r="U22" s="37"/>
      <c r="V22" s="37"/>
      <c r="W22" s="37"/>
      <c r="X22" s="37"/>
      <c r="Y22" s="37"/>
      <c r="Z22" s="37"/>
      <c r="AA22" s="37"/>
    </row>
    <row r="23">
      <c r="A23" s="30" t="s">
        <v>184</v>
      </c>
      <c r="B23" s="31" t="s">
        <v>185</v>
      </c>
      <c r="C23" s="31" t="s">
        <v>186</v>
      </c>
      <c r="D23" s="31" t="s">
        <v>187</v>
      </c>
      <c r="E23" s="31" t="s">
        <v>188</v>
      </c>
      <c r="F23" s="31" t="s">
        <v>15</v>
      </c>
      <c r="G23" s="36" t="s">
        <v>189</v>
      </c>
      <c r="H23" s="37"/>
      <c r="I23" s="31" t="s">
        <v>15</v>
      </c>
      <c r="J23" s="36" t="s">
        <v>191</v>
      </c>
      <c r="K23" s="37"/>
      <c r="L23" s="37"/>
      <c r="M23" s="37"/>
      <c r="N23" s="37"/>
      <c r="O23" s="37"/>
      <c r="P23" s="37"/>
      <c r="Q23" s="37"/>
      <c r="R23" s="37"/>
      <c r="S23" s="37"/>
      <c r="T23" s="37"/>
      <c r="U23" s="37"/>
      <c r="V23" s="37"/>
      <c r="W23" s="37"/>
      <c r="X23" s="37"/>
      <c r="Y23" s="37"/>
      <c r="Z23" s="37"/>
      <c r="AA23" s="37"/>
    </row>
    <row r="24">
      <c r="A24" s="30" t="s">
        <v>195</v>
      </c>
      <c r="B24" s="31" t="s">
        <v>197</v>
      </c>
      <c r="C24" s="31" t="s">
        <v>198</v>
      </c>
      <c r="D24" s="31" t="s">
        <v>199</v>
      </c>
      <c r="E24" s="31" t="s">
        <v>200</v>
      </c>
      <c r="F24" s="31" t="s">
        <v>15</v>
      </c>
      <c r="G24" s="36" t="s">
        <v>201</v>
      </c>
      <c r="H24" s="37"/>
      <c r="I24" s="31" t="s">
        <v>15</v>
      </c>
      <c r="J24" s="36" t="s">
        <v>203</v>
      </c>
      <c r="K24" s="37"/>
      <c r="L24" s="37"/>
      <c r="M24" s="37"/>
      <c r="N24" s="37"/>
      <c r="O24" s="37"/>
      <c r="P24" s="37"/>
      <c r="Q24" s="37"/>
      <c r="R24" s="37"/>
      <c r="S24" s="37"/>
      <c r="T24" s="37"/>
      <c r="U24" s="37"/>
      <c r="V24" s="37"/>
      <c r="W24" s="37"/>
      <c r="X24" s="37"/>
      <c r="Y24" s="37"/>
      <c r="Z24" s="37"/>
      <c r="AA24" s="37"/>
    </row>
    <row r="25">
      <c r="A25" s="30" t="s">
        <v>206</v>
      </c>
      <c r="B25" s="31" t="s">
        <v>208</v>
      </c>
      <c r="C25" s="31" t="s">
        <v>209</v>
      </c>
      <c r="D25" s="37"/>
      <c r="E25" s="31" t="s">
        <v>211</v>
      </c>
      <c r="F25" s="31" t="s">
        <v>15</v>
      </c>
      <c r="G25" s="36" t="s">
        <v>212</v>
      </c>
      <c r="H25" s="37"/>
      <c r="I25" s="31" t="s">
        <v>15</v>
      </c>
      <c r="J25" s="36" t="s">
        <v>214</v>
      </c>
      <c r="K25" s="37"/>
      <c r="L25" s="37"/>
      <c r="M25" s="37"/>
      <c r="N25" s="37"/>
      <c r="O25" s="37"/>
      <c r="P25" s="37"/>
      <c r="Q25" s="37"/>
      <c r="R25" s="37"/>
      <c r="S25" s="37"/>
      <c r="T25" s="37"/>
      <c r="U25" s="37"/>
      <c r="V25" s="37"/>
      <c r="W25" s="37"/>
      <c r="X25" s="37"/>
      <c r="Y25" s="37"/>
      <c r="Z25" s="37"/>
      <c r="AA25" s="37"/>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row>
    <row r="100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row>
    <row r="1002">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c r="AA1002" s="12"/>
    </row>
    <row r="1003">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c r="AA1003" s="12"/>
    </row>
    <row r="1004">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c r="AA1004" s="12"/>
    </row>
    <row r="1005">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c r="AA1005" s="12"/>
    </row>
  </sheetData>
  <mergeCells count="10">
    <mergeCell ref="A4:B4"/>
    <mergeCell ref="A5:B5"/>
    <mergeCell ref="A1:B1"/>
    <mergeCell ref="E1:F1"/>
    <mergeCell ref="A2:B2"/>
    <mergeCell ref="E2:F2"/>
    <mergeCell ref="A3:B3"/>
    <mergeCell ref="E3:F3"/>
    <mergeCell ref="E4:F4"/>
    <mergeCell ref="E5:F5"/>
  </mergeCells>
  <dataValidations>
    <dataValidation type="list" allowBlank="1" showErrorMessage="1" sqref="F8:F25 I8:I25">
      <formula1>"PASS,FAIL"</formula1>
    </dataValidation>
    <dataValidation type="list" allowBlank="1" showErrorMessage="1" sqref="F7">
      <formula1>"QA Status"</formula1>
    </dataValidation>
  </dataValidations>
  <hyperlinks>
    <hyperlink r:id="rId1" ref="G8"/>
    <hyperlink r:id="rId2" ref="J8"/>
    <hyperlink r:id="rId3" ref="G9"/>
    <hyperlink r:id="rId4" ref="J9"/>
    <hyperlink r:id="rId5" ref="G10"/>
    <hyperlink r:id="rId6" ref="J10"/>
    <hyperlink r:id="rId7" ref="G11"/>
    <hyperlink r:id="rId8" ref="J11"/>
    <hyperlink r:id="rId9" ref="G12"/>
    <hyperlink r:id="rId10" ref="J12"/>
    <hyperlink r:id="rId11" ref="G13"/>
    <hyperlink r:id="rId12" ref="H13"/>
    <hyperlink r:id="rId13" ref="J13"/>
    <hyperlink r:id="rId14" ref="J14"/>
    <hyperlink r:id="rId15" ref="G15"/>
    <hyperlink r:id="rId16" ref="J15"/>
    <hyperlink r:id="rId17" ref="G16"/>
    <hyperlink r:id="rId18" ref="J16"/>
    <hyperlink r:id="rId19" ref="G17"/>
    <hyperlink r:id="rId20" ref="J17"/>
    <hyperlink r:id="rId21" ref="G18"/>
    <hyperlink r:id="rId22" ref="J18"/>
    <hyperlink r:id="rId23" ref="G19"/>
    <hyperlink r:id="rId24" ref="G20"/>
    <hyperlink r:id="rId25" ref="J20"/>
    <hyperlink r:id="rId26" ref="G21"/>
    <hyperlink r:id="rId27" ref="G22"/>
    <hyperlink r:id="rId28" ref="J22"/>
    <hyperlink r:id="rId29" ref="G23"/>
    <hyperlink r:id="rId30" ref="J23"/>
    <hyperlink r:id="rId31" ref="G24"/>
    <hyperlink r:id="rId32" ref="J24"/>
    <hyperlink r:id="rId33" ref="G25"/>
    <hyperlink r:id="rId34" ref="J25"/>
  </hyperlinks>
  <drawing r:id="rId3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63"/>
    <col customWidth="1" min="4" max="4" width="25.88"/>
    <col customWidth="1" min="5" max="5" width="16.0"/>
    <col customWidth="1" min="6" max="6" width="32.25"/>
    <col customWidth="1" min="8" max="8" width="24.5"/>
    <col customWidth="1" min="9" max="9" width="24.0"/>
    <col customWidth="1" min="14" max="14" width="26.38"/>
    <col customWidth="1" min="15" max="15" width="46.75"/>
  </cols>
  <sheetData>
    <row r="1">
      <c r="A1" s="3" t="s">
        <v>0</v>
      </c>
      <c r="B1" s="2"/>
      <c r="C1" s="6" t="s">
        <v>1</v>
      </c>
      <c r="D1" s="7" t="s">
        <v>2</v>
      </c>
      <c r="E1" s="9"/>
      <c r="F1" s="7" t="s">
        <v>3</v>
      </c>
      <c r="G1" s="9"/>
      <c r="H1" s="13"/>
      <c r="I1" s="14"/>
      <c r="J1" s="3" t="s">
        <v>5</v>
      </c>
      <c r="K1" s="2"/>
      <c r="L1" s="3" t="s">
        <v>7</v>
      </c>
      <c r="M1" s="2"/>
      <c r="N1" s="3" t="s">
        <v>9</v>
      </c>
      <c r="O1" s="2"/>
      <c r="P1" s="17"/>
      <c r="Q1" s="2"/>
      <c r="R1" s="14"/>
      <c r="S1" s="14"/>
      <c r="T1" s="14"/>
      <c r="U1" s="14"/>
      <c r="V1" s="14"/>
      <c r="W1" s="14"/>
      <c r="X1" s="14"/>
      <c r="Y1" s="14"/>
      <c r="Z1" s="14"/>
      <c r="AA1" s="14"/>
      <c r="AB1" s="14"/>
      <c r="AC1" s="14"/>
      <c r="AD1" s="14"/>
      <c r="AE1" s="14"/>
      <c r="AF1" s="14"/>
    </row>
    <row r="2">
      <c r="A2" s="3" t="s">
        <v>4</v>
      </c>
      <c r="B2" s="2"/>
      <c r="C2" s="21"/>
      <c r="D2" s="7" t="s">
        <v>6</v>
      </c>
      <c r="E2" s="9"/>
      <c r="F2" s="7" t="s">
        <v>8</v>
      </c>
      <c r="G2" s="9"/>
      <c r="H2" s="13"/>
      <c r="I2" s="14"/>
      <c r="J2" s="23" t="s">
        <v>15</v>
      </c>
      <c r="K2" s="25">
        <f>COUNTIF(J7:J1003, "PASS")</f>
        <v>28</v>
      </c>
      <c r="L2" s="26" t="s">
        <v>19</v>
      </c>
      <c r="M2" s="25">
        <f>COUNTIF(L7:L1003, "Critical")</f>
        <v>0</v>
      </c>
      <c r="N2" s="28" t="s">
        <v>25</v>
      </c>
      <c r="O2" s="25">
        <f>COUNTIF(M6:M1002, "High")</f>
        <v>0</v>
      </c>
      <c r="P2" s="17"/>
      <c r="Q2" s="2"/>
      <c r="R2" s="14"/>
      <c r="S2" s="14"/>
      <c r="T2" s="14"/>
      <c r="U2" s="14"/>
      <c r="V2" s="14"/>
      <c r="W2" s="14"/>
      <c r="X2" s="14"/>
      <c r="Y2" s="14"/>
      <c r="Z2" s="14"/>
      <c r="AA2" s="14"/>
      <c r="AB2" s="14"/>
      <c r="AC2" s="14"/>
      <c r="AD2" s="14"/>
      <c r="AE2" s="14"/>
      <c r="AF2" s="14"/>
    </row>
    <row r="3">
      <c r="A3" s="3" t="s">
        <v>10</v>
      </c>
      <c r="B3" s="2"/>
      <c r="C3" s="33" t="s">
        <v>34</v>
      </c>
      <c r="D3" s="7" t="s">
        <v>12</v>
      </c>
      <c r="E3" s="34" t="s">
        <v>13</v>
      </c>
      <c r="F3" s="13"/>
      <c r="G3" s="14"/>
      <c r="H3" s="13"/>
      <c r="I3" s="14"/>
      <c r="J3" s="26" t="s">
        <v>36</v>
      </c>
      <c r="K3" s="25">
        <f>COUNTIF(J7:J1003, "FAIL")</f>
        <v>1</v>
      </c>
      <c r="L3" s="28" t="s">
        <v>25</v>
      </c>
      <c r="M3" s="25">
        <f>COUNTIF(L7:L1003, "High")</f>
        <v>0</v>
      </c>
      <c r="N3" s="35" t="s">
        <v>37</v>
      </c>
      <c r="O3" s="25">
        <f>COUNTIF(M6:M1002, "Medium")</f>
        <v>0</v>
      </c>
      <c r="P3" s="17"/>
      <c r="Q3" s="2"/>
      <c r="R3" s="14"/>
      <c r="S3" s="14"/>
      <c r="T3" s="14"/>
      <c r="U3" s="14"/>
      <c r="V3" s="14"/>
      <c r="W3" s="14"/>
      <c r="X3" s="14"/>
      <c r="Y3" s="14"/>
      <c r="Z3" s="14"/>
      <c r="AA3" s="14"/>
      <c r="AB3" s="14"/>
      <c r="AC3" s="14"/>
      <c r="AD3" s="14"/>
      <c r="AE3" s="14"/>
      <c r="AF3" s="14"/>
    </row>
    <row r="4">
      <c r="A4" s="3" t="s">
        <v>14</v>
      </c>
      <c r="B4" s="2"/>
      <c r="C4" s="39"/>
      <c r="D4" s="7" t="s">
        <v>16</v>
      </c>
      <c r="E4" s="40"/>
      <c r="F4" s="13"/>
      <c r="G4" s="14"/>
      <c r="H4" s="13"/>
      <c r="I4" s="14"/>
      <c r="J4" s="41" t="s">
        <v>45</v>
      </c>
      <c r="K4" s="25">
        <f>COUNTIF(J7:J1003, "NT")</f>
        <v>0</v>
      </c>
      <c r="L4" s="35" t="s">
        <v>37</v>
      </c>
      <c r="M4" s="25">
        <f>COUNTIF(L7:L1003, "Medium")</f>
        <v>0</v>
      </c>
      <c r="N4" s="42" t="s">
        <v>47</v>
      </c>
      <c r="O4" s="25">
        <f>COUNTIF(M6:M1003, "Low")</f>
        <v>0</v>
      </c>
      <c r="P4" s="17"/>
      <c r="Q4" s="2"/>
      <c r="R4" s="14"/>
      <c r="S4" s="14"/>
      <c r="T4" s="14"/>
      <c r="U4" s="14"/>
      <c r="V4" s="14"/>
      <c r="W4" s="14"/>
      <c r="X4" s="14"/>
      <c r="Y4" s="14"/>
      <c r="Z4" s="14"/>
      <c r="AA4" s="14"/>
      <c r="AB4" s="14"/>
      <c r="AC4" s="14"/>
      <c r="AD4" s="14"/>
      <c r="AE4" s="14"/>
      <c r="AF4" s="14"/>
    </row>
    <row r="5">
      <c r="A5" s="3" t="s">
        <v>17</v>
      </c>
      <c r="B5" s="2"/>
      <c r="C5" s="39"/>
      <c r="D5" s="7" t="s">
        <v>18</v>
      </c>
      <c r="E5" s="34">
        <v>19270.0</v>
      </c>
      <c r="F5" s="13"/>
      <c r="G5" s="14"/>
      <c r="H5" s="13"/>
      <c r="I5" s="14"/>
      <c r="J5" s="43" t="s">
        <v>55</v>
      </c>
      <c r="K5" s="25">
        <f>SUM(K2,K3,K4)</f>
        <v>29</v>
      </c>
      <c r="L5" s="42" t="s">
        <v>47</v>
      </c>
      <c r="M5" s="25">
        <f>COUNTIF(L7:L1004, "Low")</f>
        <v>0</v>
      </c>
      <c r="N5" s="45" t="s">
        <v>62</v>
      </c>
      <c r="O5" s="25">
        <f>COUNTIF(O7:O1003, "Accepted")</f>
        <v>0</v>
      </c>
      <c r="P5" s="17"/>
      <c r="Q5" s="2"/>
      <c r="R5" s="14"/>
      <c r="S5" s="14"/>
      <c r="T5" s="14"/>
      <c r="U5" s="14"/>
      <c r="V5" s="14"/>
      <c r="W5" s="14"/>
      <c r="X5" s="14"/>
      <c r="Y5" s="14"/>
      <c r="Z5" s="14"/>
      <c r="AA5" s="14"/>
      <c r="AB5" s="14"/>
      <c r="AC5" s="14"/>
      <c r="AD5" s="14"/>
      <c r="AE5" s="14"/>
      <c r="AF5" s="14"/>
    </row>
    <row r="6" ht="63.75" customHeight="1">
      <c r="A6" s="46" t="s">
        <v>69</v>
      </c>
      <c r="B6" s="46" t="s">
        <v>70</v>
      </c>
      <c r="C6" s="46" t="s">
        <v>71</v>
      </c>
      <c r="D6" s="46" t="s">
        <v>72</v>
      </c>
      <c r="E6" s="46" t="s">
        <v>73</v>
      </c>
      <c r="F6" s="46" t="s">
        <v>74</v>
      </c>
      <c r="G6" s="46" t="s">
        <v>23</v>
      </c>
      <c r="H6" s="46" t="s">
        <v>22</v>
      </c>
      <c r="I6" s="46" t="s">
        <v>24</v>
      </c>
      <c r="J6" s="47" t="s">
        <v>26</v>
      </c>
      <c r="K6" s="47" t="s">
        <v>76</v>
      </c>
      <c r="L6" s="46" t="s">
        <v>7</v>
      </c>
      <c r="M6" s="46" t="s">
        <v>9</v>
      </c>
      <c r="N6" s="48" t="s">
        <v>77</v>
      </c>
      <c r="O6" s="46" t="s">
        <v>80</v>
      </c>
      <c r="P6" s="47" t="s">
        <v>81</v>
      </c>
      <c r="Q6" s="47" t="s">
        <v>83</v>
      </c>
      <c r="R6" s="47" t="s">
        <v>84</v>
      </c>
      <c r="S6" s="14"/>
      <c r="T6" s="14"/>
      <c r="U6" s="14"/>
      <c r="V6" s="14"/>
      <c r="W6" s="14"/>
      <c r="X6" s="14"/>
      <c r="Y6" s="14"/>
      <c r="Z6" s="14"/>
      <c r="AA6" s="14"/>
      <c r="AB6" s="14"/>
      <c r="AC6" s="14"/>
      <c r="AD6" s="14"/>
      <c r="AE6" s="14"/>
      <c r="AF6" s="14"/>
    </row>
    <row r="7" ht="245.25" customHeight="1">
      <c r="A7" s="14"/>
      <c r="B7" s="14"/>
      <c r="C7" s="51" t="s">
        <v>87</v>
      </c>
      <c r="D7" s="53" t="s">
        <v>88</v>
      </c>
      <c r="E7" s="14"/>
      <c r="F7" s="53" t="s">
        <v>91</v>
      </c>
      <c r="G7" s="53" t="s">
        <v>92</v>
      </c>
      <c r="H7" s="53" t="s">
        <v>93</v>
      </c>
      <c r="I7" s="53" t="s">
        <v>94</v>
      </c>
      <c r="J7" s="55" t="s">
        <v>36</v>
      </c>
      <c r="K7" s="14"/>
      <c r="L7" s="57"/>
      <c r="M7" s="57"/>
      <c r="N7" s="58" t="s">
        <v>106</v>
      </c>
      <c r="O7" s="59" t="s">
        <v>113</v>
      </c>
      <c r="P7" s="14"/>
      <c r="Q7" s="14"/>
      <c r="R7" s="55" t="s">
        <v>15</v>
      </c>
      <c r="S7" s="14"/>
      <c r="T7" s="14"/>
      <c r="U7" s="14"/>
      <c r="V7" s="14"/>
      <c r="W7" s="14"/>
      <c r="X7" s="14"/>
      <c r="Y7" s="14"/>
      <c r="Z7" s="14"/>
      <c r="AA7" s="14"/>
      <c r="AB7" s="14"/>
      <c r="AC7" s="14"/>
      <c r="AD7" s="14"/>
      <c r="AE7" s="14"/>
      <c r="AF7" s="14"/>
    </row>
    <row r="8">
      <c r="A8" s="14"/>
      <c r="B8" s="14"/>
      <c r="C8" s="51" t="s">
        <v>118</v>
      </c>
      <c r="D8" s="53" t="s">
        <v>121</v>
      </c>
      <c r="E8" s="14"/>
      <c r="F8" s="53" t="s">
        <v>123</v>
      </c>
      <c r="G8" s="53" t="s">
        <v>124</v>
      </c>
      <c r="H8" s="53" t="s">
        <v>125</v>
      </c>
      <c r="I8" s="53" t="s">
        <v>126</v>
      </c>
      <c r="J8" s="53" t="s">
        <v>15</v>
      </c>
      <c r="K8" s="14"/>
      <c r="L8" s="57"/>
      <c r="M8" s="57"/>
      <c r="N8" s="58" t="s">
        <v>128</v>
      </c>
      <c r="O8" s="55"/>
      <c r="P8" s="14"/>
      <c r="Q8" s="14"/>
      <c r="R8" s="14"/>
      <c r="S8" s="14"/>
      <c r="T8" s="14"/>
      <c r="U8" s="14"/>
      <c r="V8" s="14"/>
      <c r="W8" s="14"/>
      <c r="X8" s="14"/>
      <c r="Y8" s="14"/>
      <c r="Z8" s="14"/>
      <c r="AA8" s="14"/>
      <c r="AB8" s="14"/>
      <c r="AC8" s="14"/>
      <c r="AD8" s="14"/>
      <c r="AE8" s="14"/>
      <c r="AF8" s="14"/>
    </row>
    <row r="9">
      <c r="A9" s="14"/>
      <c r="B9" s="14"/>
      <c r="C9" s="51" t="s">
        <v>136</v>
      </c>
      <c r="D9" s="60" t="s">
        <v>137</v>
      </c>
      <c r="E9" s="14"/>
      <c r="F9" s="53" t="s">
        <v>138</v>
      </c>
      <c r="G9" s="53" t="s">
        <v>139</v>
      </c>
      <c r="H9" s="53" t="s">
        <v>140</v>
      </c>
      <c r="I9" s="53" t="s">
        <v>141</v>
      </c>
      <c r="J9" s="53" t="s">
        <v>15</v>
      </c>
      <c r="K9" s="14"/>
      <c r="L9" s="57"/>
      <c r="M9" s="57"/>
      <c r="N9" s="58" t="s">
        <v>148</v>
      </c>
      <c r="O9" s="57"/>
      <c r="P9" s="14"/>
      <c r="Q9" s="14"/>
      <c r="R9" s="14"/>
      <c r="S9" s="14"/>
      <c r="T9" s="14"/>
      <c r="U9" s="14"/>
      <c r="V9" s="14"/>
      <c r="W9" s="14"/>
      <c r="X9" s="14"/>
      <c r="Y9" s="14"/>
      <c r="Z9" s="14"/>
      <c r="AA9" s="14"/>
      <c r="AB9" s="14"/>
      <c r="AC9" s="14"/>
      <c r="AD9" s="14"/>
      <c r="AE9" s="14"/>
      <c r="AF9" s="14"/>
    </row>
    <row r="10">
      <c r="A10" s="14"/>
      <c r="B10" s="14"/>
      <c r="C10" s="51" t="s">
        <v>149</v>
      </c>
      <c r="D10" s="61" t="s">
        <v>152</v>
      </c>
      <c r="E10" s="14"/>
      <c r="F10" s="53" t="s">
        <v>155</v>
      </c>
      <c r="G10" s="53" t="s">
        <v>124</v>
      </c>
      <c r="H10" s="53" t="s">
        <v>156</v>
      </c>
      <c r="I10" s="53" t="s">
        <v>157</v>
      </c>
      <c r="J10" s="53" t="s">
        <v>15</v>
      </c>
      <c r="K10" s="14"/>
      <c r="L10" s="57"/>
      <c r="M10" s="57"/>
      <c r="N10" s="58" t="s">
        <v>159</v>
      </c>
      <c r="O10" s="14"/>
      <c r="P10" s="14"/>
      <c r="Q10" s="14"/>
      <c r="R10" s="14"/>
      <c r="S10" s="14"/>
      <c r="T10" s="14"/>
      <c r="U10" s="14"/>
      <c r="V10" s="14"/>
      <c r="W10" s="14"/>
      <c r="X10" s="14"/>
      <c r="Y10" s="14"/>
      <c r="Z10" s="14"/>
      <c r="AA10" s="14"/>
      <c r="AB10" s="14"/>
      <c r="AC10" s="14"/>
      <c r="AD10" s="14"/>
      <c r="AE10" s="14"/>
      <c r="AF10" s="14"/>
    </row>
    <row r="11">
      <c r="A11" s="14"/>
      <c r="B11" s="14"/>
      <c r="C11" s="51" t="s">
        <v>166</v>
      </c>
      <c r="D11" s="61" t="s">
        <v>167</v>
      </c>
      <c r="E11" s="14"/>
      <c r="F11" s="53" t="s">
        <v>168</v>
      </c>
      <c r="G11" s="53" t="s">
        <v>169</v>
      </c>
      <c r="H11" s="53" t="s">
        <v>170</v>
      </c>
      <c r="I11" s="53" t="s">
        <v>157</v>
      </c>
      <c r="J11" s="53" t="s">
        <v>15</v>
      </c>
      <c r="K11" s="14"/>
      <c r="L11" s="57"/>
      <c r="M11" s="57"/>
      <c r="N11" s="58" t="s">
        <v>172</v>
      </c>
      <c r="O11" s="14"/>
      <c r="P11" s="14"/>
      <c r="Q11" s="14"/>
      <c r="R11" s="14"/>
      <c r="S11" s="14"/>
      <c r="T11" s="14"/>
      <c r="U11" s="14"/>
      <c r="V11" s="14"/>
      <c r="W11" s="14"/>
      <c r="X11" s="14"/>
      <c r="Y11" s="14"/>
      <c r="Z11" s="14"/>
      <c r="AA11" s="14"/>
      <c r="AB11" s="14"/>
      <c r="AC11" s="14"/>
      <c r="AD11" s="14"/>
      <c r="AE11" s="14"/>
      <c r="AF11" s="14"/>
    </row>
    <row r="12">
      <c r="A12" s="14"/>
      <c r="B12" s="14"/>
      <c r="C12" s="51" t="s">
        <v>180</v>
      </c>
      <c r="D12" s="53" t="s">
        <v>181</v>
      </c>
      <c r="E12" s="14"/>
      <c r="F12" s="53" t="s">
        <v>182</v>
      </c>
      <c r="G12" s="53" t="s">
        <v>124</v>
      </c>
      <c r="H12" s="53" t="s">
        <v>183</v>
      </c>
      <c r="I12" s="53" t="s">
        <v>157</v>
      </c>
      <c r="J12" s="53" t="s">
        <v>15</v>
      </c>
      <c r="K12" s="14"/>
      <c r="L12" s="57"/>
      <c r="M12" s="14"/>
      <c r="N12" s="58" t="s">
        <v>190</v>
      </c>
      <c r="O12" s="14"/>
      <c r="P12" s="14"/>
      <c r="Q12" s="14"/>
      <c r="R12" s="14"/>
      <c r="S12" s="14"/>
      <c r="T12" s="14"/>
      <c r="U12" s="14"/>
      <c r="V12" s="14"/>
      <c r="W12" s="14"/>
      <c r="X12" s="14"/>
      <c r="Y12" s="14"/>
      <c r="Z12" s="14"/>
      <c r="AA12" s="14"/>
      <c r="AB12" s="14"/>
      <c r="AC12" s="14"/>
      <c r="AD12" s="14"/>
      <c r="AE12" s="14"/>
      <c r="AF12" s="14"/>
    </row>
    <row r="13">
      <c r="A13" s="14"/>
      <c r="B13" s="14"/>
      <c r="C13" s="51" t="s">
        <v>192</v>
      </c>
      <c r="D13" s="53" t="s">
        <v>193</v>
      </c>
      <c r="E13" s="14"/>
      <c r="F13" s="53" t="s">
        <v>194</v>
      </c>
      <c r="G13" s="53" t="s">
        <v>124</v>
      </c>
      <c r="H13" s="53" t="s">
        <v>196</v>
      </c>
      <c r="I13" s="53" t="s">
        <v>157</v>
      </c>
      <c r="J13" s="53" t="s">
        <v>15</v>
      </c>
      <c r="K13" s="14"/>
      <c r="L13" s="14"/>
      <c r="M13" s="14"/>
      <c r="N13" s="58" t="s">
        <v>202</v>
      </c>
      <c r="O13" s="14"/>
      <c r="P13" s="14"/>
      <c r="Q13" s="14"/>
      <c r="R13" s="14"/>
      <c r="S13" s="14"/>
      <c r="T13" s="14"/>
      <c r="U13" s="14"/>
      <c r="V13" s="14"/>
      <c r="W13" s="14"/>
      <c r="X13" s="14"/>
      <c r="Y13" s="14"/>
      <c r="Z13" s="14"/>
      <c r="AA13" s="14"/>
      <c r="AB13" s="14"/>
      <c r="AC13" s="14"/>
      <c r="AD13" s="14"/>
      <c r="AE13" s="14"/>
      <c r="AF13" s="14"/>
    </row>
    <row r="14">
      <c r="A14" s="14"/>
      <c r="B14" s="14"/>
      <c r="C14" s="51" t="s">
        <v>204</v>
      </c>
      <c r="D14" s="53" t="s">
        <v>205</v>
      </c>
      <c r="E14" s="14"/>
      <c r="F14" s="53" t="s">
        <v>207</v>
      </c>
      <c r="G14" s="53" t="s">
        <v>124</v>
      </c>
      <c r="H14" s="53" t="s">
        <v>210</v>
      </c>
      <c r="I14" s="53" t="s">
        <v>157</v>
      </c>
      <c r="J14" s="53" t="s">
        <v>15</v>
      </c>
      <c r="K14" s="14"/>
      <c r="L14" s="14"/>
      <c r="M14" s="14"/>
      <c r="N14" s="58" t="s">
        <v>213</v>
      </c>
      <c r="O14" s="14"/>
      <c r="P14" s="14"/>
      <c r="Q14" s="14"/>
      <c r="R14" s="14"/>
      <c r="S14" s="14"/>
      <c r="T14" s="14"/>
      <c r="U14" s="14"/>
      <c r="V14" s="14"/>
      <c r="W14" s="14"/>
      <c r="X14" s="14"/>
      <c r="Y14" s="14"/>
      <c r="Z14" s="14"/>
      <c r="AA14" s="14"/>
      <c r="AB14" s="14"/>
      <c r="AC14" s="14"/>
      <c r="AD14" s="14"/>
      <c r="AE14" s="14"/>
      <c r="AF14" s="14"/>
    </row>
    <row r="15">
      <c r="A15" s="14"/>
      <c r="B15" s="14"/>
      <c r="C15" s="51" t="s">
        <v>215</v>
      </c>
      <c r="D15" s="53" t="s">
        <v>216</v>
      </c>
      <c r="E15" s="14"/>
      <c r="F15" s="53" t="s">
        <v>217</v>
      </c>
      <c r="G15" s="53" t="s">
        <v>124</v>
      </c>
      <c r="H15" s="53" t="s">
        <v>218</v>
      </c>
      <c r="I15" s="53" t="s">
        <v>157</v>
      </c>
      <c r="J15" s="53" t="s">
        <v>15</v>
      </c>
      <c r="K15" s="14"/>
      <c r="L15" s="14"/>
      <c r="M15" s="14"/>
      <c r="N15" s="58" t="s">
        <v>219</v>
      </c>
      <c r="O15" s="14"/>
      <c r="P15" s="14"/>
      <c r="Q15" s="14"/>
      <c r="R15" s="14"/>
      <c r="S15" s="14"/>
      <c r="T15" s="14"/>
      <c r="U15" s="14"/>
      <c r="V15" s="14"/>
      <c r="W15" s="14"/>
      <c r="X15" s="14"/>
      <c r="Y15" s="14"/>
      <c r="Z15" s="14"/>
      <c r="AA15" s="14"/>
      <c r="AB15" s="14"/>
      <c r="AC15" s="14"/>
      <c r="AD15" s="14"/>
      <c r="AE15" s="14"/>
      <c r="AF15" s="14"/>
    </row>
    <row r="16">
      <c r="A16" s="14"/>
      <c r="B16" s="14"/>
      <c r="C16" s="51" t="s">
        <v>220</v>
      </c>
      <c r="D16" s="53" t="s">
        <v>221</v>
      </c>
      <c r="E16" s="14"/>
      <c r="F16" s="53" t="s">
        <v>222</v>
      </c>
      <c r="G16" s="53" t="s">
        <v>223</v>
      </c>
      <c r="H16" s="53" t="s">
        <v>224</v>
      </c>
      <c r="I16" s="53" t="s">
        <v>225</v>
      </c>
      <c r="J16" s="53" t="s">
        <v>15</v>
      </c>
      <c r="K16" s="14"/>
      <c r="L16" s="14"/>
      <c r="M16" s="14"/>
      <c r="N16" s="58" t="s">
        <v>226</v>
      </c>
      <c r="O16" s="14"/>
      <c r="P16" s="14"/>
      <c r="Q16" s="14"/>
      <c r="R16" s="14"/>
      <c r="S16" s="14"/>
      <c r="T16" s="14"/>
      <c r="U16" s="14"/>
      <c r="V16" s="14"/>
      <c r="W16" s="14"/>
      <c r="X16" s="14"/>
      <c r="Y16" s="14"/>
      <c r="Z16" s="14"/>
      <c r="AA16" s="14"/>
      <c r="AB16" s="14"/>
      <c r="AC16" s="14"/>
      <c r="AD16" s="14"/>
      <c r="AE16" s="14"/>
      <c r="AF16" s="14"/>
    </row>
    <row r="17">
      <c r="A17" s="14"/>
      <c r="B17" s="14"/>
      <c r="C17" s="51" t="s">
        <v>227</v>
      </c>
      <c r="D17" s="53" t="s">
        <v>228</v>
      </c>
      <c r="E17" s="14"/>
      <c r="F17" s="53" t="s">
        <v>229</v>
      </c>
      <c r="G17" s="53" t="s">
        <v>230</v>
      </c>
      <c r="H17" s="53" t="s">
        <v>231</v>
      </c>
      <c r="I17" s="53" t="s">
        <v>232</v>
      </c>
      <c r="J17" s="53" t="s">
        <v>15</v>
      </c>
      <c r="K17" s="14"/>
      <c r="L17" s="14"/>
      <c r="M17" s="14"/>
      <c r="N17" s="62" t="s">
        <v>233</v>
      </c>
      <c r="O17" s="14"/>
      <c r="P17" s="14"/>
      <c r="Q17" s="14"/>
      <c r="R17" s="14"/>
      <c r="S17" s="14"/>
      <c r="T17" s="14"/>
      <c r="U17" s="14"/>
      <c r="V17" s="14"/>
      <c r="W17" s="14"/>
      <c r="X17" s="14"/>
      <c r="Y17" s="14"/>
      <c r="Z17" s="14"/>
      <c r="AA17" s="14"/>
      <c r="AB17" s="14"/>
      <c r="AC17" s="14"/>
      <c r="AD17" s="14"/>
      <c r="AE17" s="14"/>
      <c r="AF17" s="14"/>
    </row>
    <row r="18">
      <c r="A18" s="14"/>
      <c r="B18" s="14"/>
      <c r="C18" s="51" t="s">
        <v>234</v>
      </c>
      <c r="D18" s="53" t="s">
        <v>235</v>
      </c>
      <c r="E18" s="14"/>
      <c r="F18" s="53" t="s">
        <v>236</v>
      </c>
      <c r="G18" s="53" t="s">
        <v>237</v>
      </c>
      <c r="H18" s="53" t="s">
        <v>238</v>
      </c>
      <c r="I18" s="53" t="s">
        <v>239</v>
      </c>
      <c r="J18" s="53" t="s">
        <v>15</v>
      </c>
      <c r="K18" s="14"/>
      <c r="L18" s="14"/>
      <c r="M18" s="14"/>
      <c r="N18" s="58" t="s">
        <v>240</v>
      </c>
      <c r="O18" s="14"/>
      <c r="P18" s="14"/>
      <c r="Q18" s="14"/>
      <c r="R18" s="14"/>
      <c r="S18" s="14"/>
      <c r="T18" s="14"/>
      <c r="U18" s="14"/>
      <c r="V18" s="14"/>
      <c r="W18" s="14"/>
      <c r="X18" s="14"/>
      <c r="Y18" s="14"/>
      <c r="Z18" s="14"/>
      <c r="AA18" s="14"/>
      <c r="AB18" s="14"/>
      <c r="AC18" s="14"/>
      <c r="AD18" s="14"/>
      <c r="AE18" s="14"/>
      <c r="AF18" s="14"/>
    </row>
    <row r="19">
      <c r="A19" s="14"/>
      <c r="B19" s="14"/>
      <c r="C19" s="51" t="s">
        <v>241</v>
      </c>
      <c r="D19" s="53" t="s">
        <v>242</v>
      </c>
      <c r="E19" s="14"/>
      <c r="F19" s="53" t="s">
        <v>243</v>
      </c>
      <c r="G19" s="53" t="s">
        <v>244</v>
      </c>
      <c r="H19" s="53" t="s">
        <v>245</v>
      </c>
      <c r="I19" s="53" t="s">
        <v>246</v>
      </c>
      <c r="J19" s="53" t="s">
        <v>15</v>
      </c>
      <c r="K19" s="14"/>
      <c r="L19" s="14"/>
      <c r="M19" s="14"/>
      <c r="N19" s="58" t="s">
        <v>247</v>
      </c>
      <c r="O19" s="14"/>
      <c r="P19" s="14"/>
      <c r="Q19" s="14"/>
      <c r="R19" s="14"/>
      <c r="S19" s="14"/>
      <c r="T19" s="14"/>
      <c r="U19" s="14"/>
      <c r="V19" s="14"/>
      <c r="W19" s="14"/>
      <c r="X19" s="14"/>
      <c r="Y19" s="14"/>
      <c r="Z19" s="14"/>
      <c r="AA19" s="14"/>
      <c r="AB19" s="14"/>
      <c r="AC19" s="14"/>
      <c r="AD19" s="14"/>
      <c r="AE19" s="14"/>
      <c r="AF19" s="14"/>
    </row>
    <row r="20">
      <c r="A20" s="14"/>
      <c r="B20" s="14"/>
      <c r="C20" s="51" t="s">
        <v>248</v>
      </c>
      <c r="D20" s="53" t="s">
        <v>249</v>
      </c>
      <c r="E20" s="14"/>
      <c r="F20" s="53" t="s">
        <v>250</v>
      </c>
      <c r="G20" s="53" t="s">
        <v>251</v>
      </c>
      <c r="H20" s="53" t="s">
        <v>252</v>
      </c>
      <c r="I20" s="53" t="s">
        <v>253</v>
      </c>
      <c r="J20" s="53" t="s">
        <v>15</v>
      </c>
      <c r="K20" s="14"/>
      <c r="L20" s="14"/>
      <c r="M20" s="14"/>
      <c r="N20" s="58" t="s">
        <v>254</v>
      </c>
      <c r="O20" s="14"/>
      <c r="P20" s="14"/>
      <c r="Q20" s="14"/>
      <c r="R20" s="14"/>
      <c r="S20" s="14"/>
      <c r="T20" s="14"/>
      <c r="U20" s="14"/>
      <c r="V20" s="14"/>
      <c r="W20" s="14"/>
      <c r="X20" s="14"/>
      <c r="Y20" s="14"/>
      <c r="Z20" s="14"/>
      <c r="AA20" s="14"/>
      <c r="AB20" s="14"/>
      <c r="AC20" s="14"/>
      <c r="AD20" s="14"/>
      <c r="AE20" s="14"/>
      <c r="AF20" s="14"/>
    </row>
    <row r="21">
      <c r="A21" s="14"/>
      <c r="B21" s="14"/>
      <c r="C21" s="51" t="s">
        <v>255</v>
      </c>
      <c r="D21" s="53" t="s">
        <v>256</v>
      </c>
      <c r="E21" s="14"/>
      <c r="F21" s="53" t="s">
        <v>257</v>
      </c>
      <c r="G21" s="53" t="s">
        <v>258</v>
      </c>
      <c r="H21" s="53" t="s">
        <v>259</v>
      </c>
      <c r="I21" s="53" t="s">
        <v>260</v>
      </c>
      <c r="J21" s="53" t="s">
        <v>15</v>
      </c>
      <c r="K21" s="14"/>
      <c r="L21" s="14"/>
      <c r="M21" s="14"/>
      <c r="N21" s="63"/>
      <c r="O21" s="14"/>
      <c r="P21" s="14"/>
      <c r="Q21" s="14"/>
      <c r="R21" s="14"/>
      <c r="S21" s="14"/>
      <c r="T21" s="14"/>
      <c r="U21" s="14"/>
      <c r="V21" s="14"/>
      <c r="W21" s="14"/>
      <c r="X21" s="14"/>
      <c r="Y21" s="14"/>
      <c r="Z21" s="14"/>
      <c r="AA21" s="14"/>
      <c r="AB21" s="14"/>
      <c r="AC21" s="14"/>
      <c r="AD21" s="14"/>
      <c r="AE21" s="14"/>
      <c r="AF21" s="14"/>
    </row>
    <row r="22">
      <c r="A22" s="14"/>
      <c r="B22" s="14"/>
      <c r="C22" s="51" t="s">
        <v>261</v>
      </c>
      <c r="D22" s="53" t="s">
        <v>262</v>
      </c>
      <c r="E22" s="14"/>
      <c r="F22" s="53" t="s">
        <v>263</v>
      </c>
      <c r="G22" s="53" t="s">
        <v>264</v>
      </c>
      <c r="H22" s="53" t="s">
        <v>265</v>
      </c>
      <c r="I22" s="53" t="s">
        <v>266</v>
      </c>
      <c r="J22" s="53" t="s">
        <v>15</v>
      </c>
      <c r="K22" s="14"/>
      <c r="L22" s="14"/>
      <c r="M22" s="14"/>
      <c r="N22" s="58" t="s">
        <v>267</v>
      </c>
      <c r="O22" s="14"/>
      <c r="P22" s="14"/>
      <c r="Q22" s="14"/>
      <c r="R22" s="14"/>
      <c r="S22" s="14"/>
      <c r="T22" s="14"/>
      <c r="U22" s="14"/>
      <c r="V22" s="14"/>
      <c r="W22" s="14"/>
      <c r="X22" s="14"/>
      <c r="Y22" s="14"/>
      <c r="Z22" s="14"/>
      <c r="AA22" s="14"/>
      <c r="AB22" s="14"/>
      <c r="AC22" s="14"/>
      <c r="AD22" s="14"/>
      <c r="AE22" s="14"/>
      <c r="AF22" s="14"/>
    </row>
    <row r="23">
      <c r="A23" s="14"/>
      <c r="B23" s="14"/>
      <c r="C23" s="51" t="s">
        <v>268</v>
      </c>
      <c r="D23" s="53" t="s">
        <v>269</v>
      </c>
      <c r="E23" s="14"/>
      <c r="F23" s="53" t="s">
        <v>270</v>
      </c>
      <c r="G23" s="53" t="s">
        <v>264</v>
      </c>
      <c r="H23" s="53" t="s">
        <v>271</v>
      </c>
      <c r="I23" s="53" t="s">
        <v>272</v>
      </c>
      <c r="J23" s="53" t="s">
        <v>15</v>
      </c>
      <c r="K23" s="14"/>
      <c r="L23" s="14"/>
      <c r="M23" s="14"/>
      <c r="N23" s="58" t="s">
        <v>273</v>
      </c>
      <c r="O23" s="14"/>
      <c r="P23" s="14"/>
      <c r="Q23" s="14"/>
      <c r="R23" s="14"/>
      <c r="S23" s="14"/>
      <c r="T23" s="14"/>
      <c r="U23" s="14"/>
      <c r="V23" s="14"/>
      <c r="W23" s="14"/>
      <c r="X23" s="14"/>
      <c r="Y23" s="14"/>
      <c r="Z23" s="14"/>
      <c r="AA23" s="14"/>
      <c r="AB23" s="14"/>
      <c r="AC23" s="14"/>
      <c r="AD23" s="14"/>
      <c r="AE23" s="14"/>
      <c r="AF23" s="14"/>
    </row>
    <row r="24">
      <c r="A24" s="14"/>
      <c r="B24" s="14"/>
      <c r="C24" s="51" t="s">
        <v>274</v>
      </c>
      <c r="D24" s="53" t="s">
        <v>275</v>
      </c>
      <c r="E24" s="14"/>
      <c r="F24" s="53" t="s">
        <v>276</v>
      </c>
      <c r="G24" s="53" t="s">
        <v>277</v>
      </c>
      <c r="H24" s="53" t="s">
        <v>278</v>
      </c>
      <c r="I24" s="53" t="s">
        <v>279</v>
      </c>
      <c r="J24" s="53" t="s">
        <v>15</v>
      </c>
      <c r="K24" s="14"/>
      <c r="L24" s="14"/>
      <c r="M24" s="14"/>
      <c r="N24" s="58" t="s">
        <v>280</v>
      </c>
      <c r="O24" s="14"/>
      <c r="P24" s="14"/>
      <c r="Q24" s="14"/>
      <c r="R24" s="14"/>
      <c r="S24" s="14"/>
      <c r="T24" s="14"/>
      <c r="U24" s="14"/>
      <c r="V24" s="14"/>
      <c r="W24" s="14"/>
      <c r="X24" s="14"/>
      <c r="Y24" s="14"/>
      <c r="Z24" s="14"/>
      <c r="AA24" s="14"/>
      <c r="AB24" s="14"/>
      <c r="AC24" s="14"/>
      <c r="AD24" s="14"/>
      <c r="AE24" s="14"/>
      <c r="AF24" s="14"/>
    </row>
    <row r="25">
      <c r="A25" s="14"/>
      <c r="B25" s="14"/>
      <c r="C25" s="51" t="s">
        <v>281</v>
      </c>
      <c r="D25" s="53" t="s">
        <v>282</v>
      </c>
      <c r="E25" s="14"/>
      <c r="F25" s="53" t="s">
        <v>283</v>
      </c>
      <c r="G25" s="53" t="s">
        <v>277</v>
      </c>
      <c r="H25" s="53" t="s">
        <v>265</v>
      </c>
      <c r="I25" s="53" t="s">
        <v>284</v>
      </c>
      <c r="J25" s="53" t="s">
        <v>15</v>
      </c>
      <c r="K25" s="14"/>
      <c r="L25" s="14"/>
      <c r="M25" s="14"/>
      <c r="N25" s="58" t="s">
        <v>285</v>
      </c>
      <c r="O25" s="14"/>
      <c r="P25" s="14"/>
      <c r="Q25" s="14"/>
      <c r="R25" s="14"/>
      <c r="S25" s="14"/>
      <c r="T25" s="14"/>
      <c r="U25" s="14"/>
      <c r="V25" s="14"/>
      <c r="W25" s="14"/>
      <c r="X25" s="14"/>
      <c r="Y25" s="14"/>
      <c r="Z25" s="14"/>
      <c r="AA25" s="14"/>
      <c r="AB25" s="14"/>
      <c r="AC25" s="14"/>
      <c r="AD25" s="14"/>
      <c r="AE25" s="14"/>
      <c r="AF25" s="14"/>
    </row>
    <row r="26">
      <c r="A26" s="14"/>
      <c r="B26" s="14"/>
      <c r="C26" s="51" t="s">
        <v>286</v>
      </c>
      <c r="D26" s="53" t="s">
        <v>287</v>
      </c>
      <c r="E26" s="14"/>
      <c r="F26" s="53" t="s">
        <v>288</v>
      </c>
      <c r="G26" s="53" t="s">
        <v>289</v>
      </c>
      <c r="H26" s="53" t="s">
        <v>290</v>
      </c>
      <c r="I26" s="53" t="s">
        <v>291</v>
      </c>
      <c r="J26" s="53" t="s">
        <v>15</v>
      </c>
      <c r="K26" s="14"/>
      <c r="L26" s="14"/>
      <c r="M26" s="14"/>
      <c r="N26" s="58" t="s">
        <v>292</v>
      </c>
      <c r="O26" s="14"/>
      <c r="P26" s="14"/>
      <c r="Q26" s="14"/>
      <c r="R26" s="14"/>
      <c r="S26" s="14"/>
      <c r="T26" s="14"/>
      <c r="U26" s="14"/>
      <c r="V26" s="14"/>
      <c r="W26" s="14"/>
      <c r="X26" s="14"/>
      <c r="Y26" s="14"/>
      <c r="Z26" s="14"/>
      <c r="AA26" s="14"/>
      <c r="AB26" s="14"/>
      <c r="AC26" s="14"/>
      <c r="AD26" s="14"/>
      <c r="AE26" s="14"/>
      <c r="AF26" s="14"/>
    </row>
    <row r="27">
      <c r="A27" s="14"/>
      <c r="B27" s="14"/>
      <c r="C27" s="51" t="s">
        <v>293</v>
      </c>
      <c r="D27" s="53" t="s">
        <v>294</v>
      </c>
      <c r="E27" s="14"/>
      <c r="F27" s="53" t="s">
        <v>295</v>
      </c>
      <c r="G27" s="53" t="s">
        <v>296</v>
      </c>
      <c r="H27" s="53" t="s">
        <v>245</v>
      </c>
      <c r="I27" s="53" t="s">
        <v>246</v>
      </c>
      <c r="J27" s="53" t="s">
        <v>15</v>
      </c>
      <c r="K27" s="14"/>
      <c r="L27" s="14"/>
      <c r="M27" s="14"/>
      <c r="N27" s="58" t="s">
        <v>297</v>
      </c>
      <c r="O27" s="14"/>
      <c r="P27" s="14"/>
      <c r="Q27" s="14"/>
      <c r="R27" s="14"/>
      <c r="S27" s="14"/>
      <c r="T27" s="14"/>
      <c r="U27" s="14"/>
      <c r="V27" s="14"/>
      <c r="W27" s="14"/>
      <c r="X27" s="14"/>
      <c r="Y27" s="14"/>
      <c r="Z27" s="14"/>
      <c r="AA27" s="14"/>
      <c r="AB27" s="14"/>
      <c r="AC27" s="14"/>
      <c r="AD27" s="14"/>
      <c r="AE27" s="14"/>
      <c r="AF27" s="14"/>
    </row>
    <row r="28">
      <c r="A28" s="14"/>
      <c r="B28" s="14"/>
      <c r="C28" s="51" t="s">
        <v>298</v>
      </c>
      <c r="D28" s="53" t="s">
        <v>299</v>
      </c>
      <c r="E28" s="14"/>
      <c r="F28" s="53" t="s">
        <v>300</v>
      </c>
      <c r="G28" s="53" t="s">
        <v>301</v>
      </c>
      <c r="H28" s="53" t="s">
        <v>290</v>
      </c>
      <c r="I28" s="53" t="s">
        <v>302</v>
      </c>
      <c r="J28" s="53" t="s">
        <v>15</v>
      </c>
      <c r="K28" s="14"/>
      <c r="L28" s="14"/>
      <c r="M28" s="14"/>
      <c r="N28" s="58" t="s">
        <v>303</v>
      </c>
      <c r="O28" s="14"/>
      <c r="P28" s="14"/>
      <c r="Q28" s="14"/>
      <c r="R28" s="14"/>
      <c r="S28" s="14"/>
      <c r="T28" s="14"/>
      <c r="U28" s="14"/>
      <c r="V28" s="14"/>
      <c r="W28" s="14"/>
      <c r="X28" s="14"/>
      <c r="Y28" s="14"/>
      <c r="Z28" s="14"/>
      <c r="AA28" s="14"/>
      <c r="AB28" s="14"/>
      <c r="AC28" s="14"/>
      <c r="AD28" s="14"/>
      <c r="AE28" s="14"/>
      <c r="AF28" s="14"/>
    </row>
    <row r="29">
      <c r="A29" s="14"/>
      <c r="B29" s="14"/>
      <c r="C29" s="51" t="s">
        <v>304</v>
      </c>
      <c r="D29" s="53" t="s">
        <v>305</v>
      </c>
      <c r="E29" s="14"/>
      <c r="F29" s="53" t="s">
        <v>306</v>
      </c>
      <c r="G29" s="53" t="s">
        <v>296</v>
      </c>
      <c r="H29" s="53" t="s">
        <v>245</v>
      </c>
      <c r="I29" s="53" t="s">
        <v>246</v>
      </c>
      <c r="J29" s="53" t="s">
        <v>15</v>
      </c>
      <c r="K29" s="14"/>
      <c r="L29" s="14"/>
      <c r="M29" s="14"/>
      <c r="N29" s="58" t="s">
        <v>307</v>
      </c>
      <c r="O29" s="14"/>
      <c r="P29" s="14"/>
      <c r="Q29" s="14"/>
      <c r="R29" s="14"/>
      <c r="S29" s="14"/>
      <c r="T29" s="14"/>
      <c r="U29" s="14"/>
      <c r="V29" s="14"/>
      <c r="W29" s="14"/>
      <c r="X29" s="14"/>
      <c r="Y29" s="14"/>
      <c r="Z29" s="14"/>
      <c r="AA29" s="14"/>
      <c r="AB29" s="14"/>
      <c r="AC29" s="14"/>
      <c r="AD29" s="14"/>
      <c r="AE29" s="14"/>
      <c r="AF29" s="14"/>
    </row>
    <row r="30">
      <c r="A30" s="14"/>
      <c r="B30" s="14"/>
      <c r="C30" s="51" t="s">
        <v>308</v>
      </c>
      <c r="D30" s="53" t="s">
        <v>309</v>
      </c>
      <c r="E30" s="14"/>
      <c r="F30" s="53" t="s">
        <v>310</v>
      </c>
      <c r="G30" s="53" t="s">
        <v>311</v>
      </c>
      <c r="H30" s="53" t="s">
        <v>290</v>
      </c>
      <c r="I30" s="53" t="s">
        <v>302</v>
      </c>
      <c r="J30" s="53" t="s">
        <v>15</v>
      </c>
      <c r="K30" s="14"/>
      <c r="L30" s="14"/>
      <c r="M30" s="14"/>
      <c r="N30" s="58" t="s">
        <v>312</v>
      </c>
      <c r="O30" s="14"/>
      <c r="P30" s="14"/>
      <c r="Q30" s="14"/>
      <c r="R30" s="14"/>
      <c r="S30" s="14"/>
      <c r="T30" s="14"/>
      <c r="U30" s="14"/>
      <c r="V30" s="14"/>
      <c r="W30" s="14"/>
      <c r="X30" s="14"/>
      <c r="Y30" s="14"/>
      <c r="Z30" s="14"/>
      <c r="AA30" s="14"/>
      <c r="AB30" s="14"/>
      <c r="AC30" s="14"/>
      <c r="AD30" s="14"/>
      <c r="AE30" s="14"/>
      <c r="AF30" s="14"/>
    </row>
    <row r="31">
      <c r="A31" s="14"/>
      <c r="B31" s="14"/>
      <c r="C31" s="51" t="s">
        <v>313</v>
      </c>
      <c r="D31" s="53" t="s">
        <v>314</v>
      </c>
      <c r="E31" s="14"/>
      <c r="F31" s="53" t="s">
        <v>315</v>
      </c>
      <c r="G31" s="53" t="s">
        <v>296</v>
      </c>
      <c r="H31" s="53" t="s">
        <v>245</v>
      </c>
      <c r="I31" s="53" t="s">
        <v>316</v>
      </c>
      <c r="J31" s="53" t="s">
        <v>15</v>
      </c>
      <c r="K31" s="14"/>
      <c r="L31" s="14"/>
      <c r="M31" s="14"/>
      <c r="N31" s="58" t="s">
        <v>317</v>
      </c>
      <c r="O31" s="14"/>
      <c r="P31" s="14"/>
      <c r="Q31" s="14"/>
      <c r="R31" s="14"/>
      <c r="S31" s="14"/>
      <c r="T31" s="14"/>
      <c r="U31" s="14"/>
      <c r="V31" s="14"/>
      <c r="W31" s="14"/>
      <c r="X31" s="14"/>
      <c r="Y31" s="14"/>
      <c r="Z31" s="14"/>
      <c r="AA31" s="14"/>
      <c r="AB31" s="14"/>
      <c r="AC31" s="14"/>
      <c r="AD31" s="14"/>
      <c r="AE31" s="14"/>
      <c r="AF31" s="14"/>
    </row>
    <row r="32">
      <c r="A32" s="14"/>
      <c r="B32" s="14"/>
      <c r="C32" s="51" t="s">
        <v>318</v>
      </c>
      <c r="D32" s="53" t="s">
        <v>319</v>
      </c>
      <c r="E32" s="14"/>
      <c r="F32" s="53" t="s">
        <v>320</v>
      </c>
      <c r="G32" s="53" t="s">
        <v>321</v>
      </c>
      <c r="H32" s="53" t="s">
        <v>322</v>
      </c>
      <c r="I32" s="53" t="s">
        <v>323</v>
      </c>
      <c r="J32" s="53" t="s">
        <v>15</v>
      </c>
      <c r="K32" s="14"/>
      <c r="L32" s="14"/>
      <c r="M32" s="14"/>
      <c r="N32" s="58" t="s">
        <v>324</v>
      </c>
      <c r="O32" s="14"/>
      <c r="P32" s="14"/>
      <c r="Q32" s="14"/>
      <c r="R32" s="14"/>
      <c r="S32" s="14"/>
      <c r="T32" s="14"/>
      <c r="U32" s="14"/>
      <c r="V32" s="14"/>
      <c r="W32" s="14"/>
      <c r="X32" s="14"/>
      <c r="Y32" s="14"/>
      <c r="Z32" s="14"/>
      <c r="AA32" s="14"/>
      <c r="AB32" s="14"/>
      <c r="AC32" s="14"/>
      <c r="AD32" s="14"/>
      <c r="AE32" s="14"/>
      <c r="AF32" s="14"/>
    </row>
    <row r="33">
      <c r="A33" s="14"/>
      <c r="B33" s="14"/>
      <c r="C33" s="51" t="s">
        <v>325</v>
      </c>
      <c r="D33" s="53" t="s">
        <v>326</v>
      </c>
      <c r="E33" s="14"/>
      <c r="F33" s="14"/>
      <c r="G33" s="14"/>
      <c r="H33" s="14"/>
      <c r="I33" s="14"/>
      <c r="J33" s="53" t="s">
        <v>15</v>
      </c>
      <c r="K33" s="14"/>
      <c r="L33" s="14"/>
      <c r="M33" s="14"/>
      <c r="N33" s="58" t="s">
        <v>327</v>
      </c>
      <c r="O33" s="14"/>
      <c r="P33" s="14"/>
      <c r="Q33" s="14"/>
      <c r="R33" s="14"/>
      <c r="S33" s="14"/>
      <c r="T33" s="14"/>
      <c r="U33" s="14"/>
      <c r="V33" s="14"/>
      <c r="W33" s="14"/>
      <c r="X33" s="14"/>
      <c r="Y33" s="14"/>
      <c r="Z33" s="14"/>
      <c r="AA33" s="14"/>
      <c r="AB33" s="14"/>
      <c r="AC33" s="14"/>
      <c r="AD33" s="14"/>
      <c r="AE33" s="14"/>
      <c r="AF33" s="14"/>
    </row>
    <row r="34">
      <c r="A34" s="14"/>
      <c r="B34" s="14"/>
      <c r="C34" s="51" t="s">
        <v>328</v>
      </c>
      <c r="D34" s="53" t="s">
        <v>329</v>
      </c>
      <c r="E34" s="14"/>
      <c r="F34" s="14"/>
      <c r="G34" s="14"/>
      <c r="H34" s="53" t="s">
        <v>330</v>
      </c>
      <c r="I34" s="53" t="s">
        <v>331</v>
      </c>
      <c r="J34" s="53" t="s">
        <v>15</v>
      </c>
      <c r="K34" s="14"/>
      <c r="L34" s="14"/>
      <c r="M34" s="14"/>
      <c r="N34" s="58" t="s">
        <v>332</v>
      </c>
      <c r="O34" s="14"/>
      <c r="P34" s="14"/>
      <c r="Q34" s="14"/>
      <c r="R34" s="14"/>
      <c r="S34" s="14"/>
      <c r="T34" s="14"/>
      <c r="U34" s="14"/>
      <c r="V34" s="14"/>
      <c r="W34" s="14"/>
      <c r="X34" s="14"/>
      <c r="Y34" s="14"/>
      <c r="Z34" s="14"/>
      <c r="AA34" s="14"/>
      <c r="AB34" s="14"/>
      <c r="AC34" s="14"/>
      <c r="AD34" s="14"/>
      <c r="AE34" s="14"/>
      <c r="AF34" s="14"/>
    </row>
    <row r="35">
      <c r="A35" s="14"/>
      <c r="B35" s="14"/>
      <c r="C35" s="51" t="s">
        <v>333</v>
      </c>
      <c r="D35" s="53" t="s">
        <v>334</v>
      </c>
      <c r="E35" s="14"/>
      <c r="F35" s="53" t="s">
        <v>335</v>
      </c>
      <c r="G35" s="53" t="s">
        <v>336</v>
      </c>
      <c r="H35" s="53" t="s">
        <v>337</v>
      </c>
      <c r="I35" s="53" t="s">
        <v>338</v>
      </c>
      <c r="J35" s="53" t="s">
        <v>15</v>
      </c>
      <c r="K35" s="14"/>
      <c r="L35" s="14"/>
      <c r="M35" s="14"/>
      <c r="N35" s="58" t="s">
        <v>339</v>
      </c>
      <c r="O35" s="14"/>
      <c r="P35" s="14"/>
      <c r="Q35" s="14"/>
      <c r="R35" s="14"/>
      <c r="S35" s="14"/>
      <c r="T35" s="14"/>
      <c r="U35" s="14"/>
      <c r="V35" s="14"/>
      <c r="W35" s="14"/>
      <c r="X35" s="14"/>
      <c r="Y35" s="14"/>
      <c r="Z35" s="14"/>
      <c r="AA35" s="14"/>
      <c r="AB35" s="14"/>
      <c r="AC35" s="14"/>
      <c r="AD35" s="14"/>
      <c r="AE35" s="14"/>
      <c r="AF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row>
    <row r="1001">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4"/>
      <c r="AE1001" s="14"/>
      <c r="AF1001" s="14"/>
    </row>
    <row r="1002">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c r="AD1002" s="14"/>
      <c r="AE1002" s="14"/>
      <c r="AF1002" s="14"/>
    </row>
    <row r="1003">
      <c r="A1003" s="14"/>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c r="AD1003" s="14"/>
      <c r="AE1003" s="14"/>
      <c r="AF1003" s="14"/>
    </row>
    <row r="1004">
      <c r="A1004" s="14"/>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c r="AD1004" s="14"/>
      <c r="AE1004" s="14"/>
      <c r="AF1004" s="14"/>
    </row>
    <row r="1005">
      <c r="A1005" s="14"/>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c r="AC1005" s="14"/>
      <c r="AD1005" s="14"/>
      <c r="AE1005" s="14"/>
      <c r="AF1005" s="14"/>
    </row>
    <row r="1006">
      <c r="A1006" s="14"/>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c r="AD1006" s="14"/>
      <c r="AE1006" s="14"/>
      <c r="AF1006" s="14"/>
    </row>
    <row r="1007">
      <c r="A1007" s="14"/>
      <c r="B1007" s="14"/>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c r="AD1007" s="14"/>
      <c r="AE1007" s="14"/>
      <c r="AF1007" s="14"/>
    </row>
  </sheetData>
  <mergeCells count="13">
    <mergeCell ref="P2:Q2"/>
    <mergeCell ref="P3:Q3"/>
    <mergeCell ref="P1:Q1"/>
    <mergeCell ref="P4:Q4"/>
    <mergeCell ref="P5:Q5"/>
    <mergeCell ref="A1:B1"/>
    <mergeCell ref="J1:K1"/>
    <mergeCell ref="L1:M1"/>
    <mergeCell ref="N1:O1"/>
    <mergeCell ref="A2:B2"/>
    <mergeCell ref="A3:B3"/>
    <mergeCell ref="A4:B4"/>
    <mergeCell ref="A5:B5"/>
  </mergeCells>
  <dataValidations>
    <dataValidation type="list" allowBlank="1" sqref="J7:J1003 R7:R1003">
      <formula1>"PASS,FAIL,NT"</formula1>
    </dataValidation>
    <dataValidation type="list" allowBlank="1" sqref="L7:L1003">
      <formula1>"Critical,High,Medium,Low"</formula1>
    </dataValidation>
    <dataValidation type="list" allowBlank="1" showErrorMessage="1" sqref="E7:E1007">
      <formula1>"UI,API,PL/SQL,DB"</formula1>
    </dataValidation>
    <dataValidation type="list" allowBlank="1" showErrorMessage="1" sqref="M7:M1003">
      <formula1>"High,Medium,Low"</formula1>
    </dataValidation>
  </dataValidations>
  <hyperlinks>
    <hyperlink r:id="rId1" ref="N7"/>
    <hyperlink r:id="rId2" ref="N8"/>
    <hyperlink r:id="rId3" ref="N9"/>
    <hyperlink r:id="rId4" ref="N10"/>
    <hyperlink r:id="rId5" ref="N11"/>
    <hyperlink r:id="rId6" ref="N12"/>
    <hyperlink r:id="rId7" ref="N13"/>
    <hyperlink r:id="rId8" ref="N14"/>
    <hyperlink r:id="rId9" ref="N15"/>
    <hyperlink r:id="rId10" ref="N16"/>
    <hyperlink r:id="rId11" ref="N17"/>
    <hyperlink r:id="rId12" ref="N18"/>
    <hyperlink r:id="rId13" ref="N19"/>
    <hyperlink r:id="rId14" ref="N20"/>
    <hyperlink r:id="rId15" ref="N22"/>
    <hyperlink r:id="rId16" ref="N23"/>
    <hyperlink r:id="rId17" ref="N24"/>
    <hyperlink r:id="rId18" ref="N25"/>
    <hyperlink r:id="rId19" ref="N26"/>
    <hyperlink r:id="rId20" ref="N27"/>
    <hyperlink r:id="rId21" ref="N28"/>
    <hyperlink r:id="rId22" ref="N29"/>
    <hyperlink r:id="rId23" ref="N30"/>
    <hyperlink r:id="rId24" ref="N31"/>
    <hyperlink r:id="rId25" ref="N32"/>
    <hyperlink r:id="rId26" ref="N33"/>
    <hyperlink r:id="rId27" ref="N34"/>
    <hyperlink r:id="rId28" ref="N35"/>
  </hyperlinks>
  <drawing r:id="rId29"/>
</worksheet>
</file>