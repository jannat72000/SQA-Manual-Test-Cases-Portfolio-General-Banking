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<sst xmlns="http://schemas.openxmlformats.org/spreadsheetml/2006/main" count="167" uniqueCount="129">
  <si>
    <t>Product Name</t>
  </si>
  <si>
    <t>ABABIL NG</t>
  </si>
  <si>
    <t>TC Start Date</t>
  </si>
  <si>
    <t>21-12-2025</t>
  </si>
  <si>
    <t>TC Execution Start Date</t>
  </si>
  <si>
    <t>TEST CASE STATUS</t>
  </si>
  <si>
    <t>Severity</t>
  </si>
  <si>
    <t>Priority</t>
  </si>
  <si>
    <t>Event Name</t>
  </si>
  <si>
    <t>TC End Date</t>
  </si>
  <si>
    <t>21-12-2026</t>
  </si>
  <si>
    <t>TC Execution End Date</t>
  </si>
  <si>
    <t>PASS</t>
  </si>
  <si>
    <t>Critical</t>
  </si>
  <si>
    <t>High</t>
  </si>
  <si>
    <t>Para Form Name</t>
  </si>
  <si>
    <t xml:space="preserve">Load Search Results Only When User Searches in “Imposed Positive Pay” UI </t>
  </si>
  <si>
    <t>Test Case Developed By</t>
  </si>
  <si>
    <t>Jannat</t>
  </si>
  <si>
    <t>FAIL</t>
  </si>
  <si>
    <t>Medium</t>
  </si>
  <si>
    <t>Developer Name (TL)</t>
  </si>
  <si>
    <t>Test Case Reviewed By</t>
  </si>
  <si>
    <t>NT</t>
  </si>
  <si>
    <t>Low</t>
  </si>
  <si>
    <t>Test Executed by</t>
  </si>
  <si>
    <t>MITS ID</t>
  </si>
  <si>
    <t>TOTAL</t>
  </si>
  <si>
    <t>Issue Accepted</t>
  </si>
  <si>
    <t>Req ID</t>
  </si>
  <si>
    <t>Requirement Description</t>
  </si>
  <si>
    <t>TC ID</t>
  </si>
  <si>
    <t>Test Case Description</t>
  </si>
  <si>
    <t>Category</t>
  </si>
  <si>
    <t>Test Steps</t>
  </si>
  <si>
    <t>Test Data</t>
  </si>
  <si>
    <t>Expected Result</t>
  </si>
  <si>
    <t>Actual Result</t>
  </si>
  <si>
    <t>QA Status</t>
  </si>
  <si>
    <t>Tested By</t>
  </si>
  <si>
    <t>QA Remarks</t>
  </si>
  <si>
    <t>Dev Status</t>
  </si>
  <si>
    <t>Developed By</t>
  </si>
  <si>
    <t>Dev Remarks</t>
  </si>
  <si>
    <t>Updated QA Status</t>
  </si>
  <si>
    <t>Verify No Automatic Data Load on Page Open</t>
  </si>
  <si>
    <t>UI</t>
  </si>
  <si>
    <t>Navigate to Imposed Positive Pay screen</t>
  </si>
  <si>
    <t>1. User is logged in
2. User has access to Imposed Positive Pay UI</t>
  </si>
  <si>
    <t>No data should load automatically on Imposed Positive Pay page load</t>
  </si>
  <si>
    <t>Page opens without loading any search results.</t>
  </si>
  <si>
    <r>
      <rPr>
        <rFont val="Arial"/>
        <color rgb="FF1155CC"/>
        <u/>
      </rPr>
      <t>https://prnt.sc/zbv-yOSgL_jZ</t>
    </r>
    <r>
      <rPr>
        <rFont val="Arial"/>
        <color rgb="FF000000"/>
      </rPr>
      <t xml:space="preserve">    </t>
    </r>
    <r>
      <rPr>
        <rFont val="Arial"/>
        <color rgb="FF1155CC"/>
        <u/>
      </rPr>
      <t>https://prnt.sc/7nVL9oFgz_5P</t>
    </r>
  </si>
  <si>
    <t>Verify Search Section is Inside Expandable Accordion</t>
  </si>
  <si>
    <t>1. Observe the page layout
2. Expand the search accordion</t>
  </si>
  <si>
    <t>User is on Imposed Positive Pay screen</t>
  </si>
  <si>
    <t>Search options should appear inside an expandable section.</t>
  </si>
  <si>
    <t>Search section is visible with filters: Account Number, Payee Name, Cheque Number, Cheque Date, Cheque Status, Branch, Reset and Search buttons are present.</t>
  </si>
  <si>
    <t>https://prnt.sc/AAFYxfZO_Ppm</t>
  </si>
  <si>
    <t>Verify Data Loads Only After Clicking Search</t>
  </si>
  <si>
    <t>1. Expand search accordion
2. Enter valid search criteria
3. Click Search</t>
  </si>
  <si>
    <t>Data should load only after user clicks Search.</t>
  </si>
  <si>
    <t>Imposed Positive Pay data is displayed</t>
  </si>
  <si>
    <r>
      <rPr>
        <rFont val="Arial"/>
        <color rgb="FF1155CC"/>
        <u/>
      </rPr>
      <t>https://prnt.sc/Mjw5ecJhFeRW</t>
    </r>
    <r>
      <rPr>
        <rFont val="Arial"/>
        <color rgb="FF000000"/>
      </rPr>
      <t xml:space="preserve">   </t>
    </r>
    <r>
      <rPr>
        <rFont val="Arial"/>
        <color rgb="FF1155CC"/>
        <u/>
      </rPr>
      <t>https://prnt.sc/ZDVBizHvgswb</t>
    </r>
  </si>
  <si>
    <t>Verify Search Result Reset on New Search</t>
  </si>
  <si>
    <t>1.Perform a search and observe results
2.Change search criteria
3. Click Search again</t>
  </si>
  <si>
    <t>Account number: 1120000000108</t>
  </si>
  <si>
    <t>Reset should clear all search inputs and results.</t>
  </si>
  <si>
    <t>Positive Pay Search Result” section is empty on load</t>
  </si>
  <si>
    <r>
      <rPr>
        <rFont val="Arial"/>
        <color rgb="FF1155CC"/>
        <u/>
      </rPr>
      <t>https://prnt.sc/Ro6mBMym62vQ</t>
    </r>
    <r>
      <rPr>
        <rFont val="Arial"/>
        <color rgb="FF000000"/>
      </rPr>
      <t xml:space="preserve">  </t>
    </r>
    <r>
      <rPr>
        <rFont val="Arial"/>
        <color rgb="FF1155CC"/>
        <u/>
      </rPr>
      <t>https://prnt.sc/KjPPGQWCBHSi</t>
    </r>
  </si>
  <si>
    <t>Verify Loading Indicator During Search</t>
  </si>
  <si>
    <t>1. Enter search criteria
2. Click Search</t>
  </si>
  <si>
    <t>User is on search screen</t>
  </si>
  <si>
    <t>Loading indicator should appear during data fetch</t>
  </si>
  <si>
    <t>Spinner disappears after data loads</t>
  </si>
  <si>
    <t>Verify search returns results for a valid account number</t>
  </si>
  <si>
    <t>1. Open Imposed Positive Pay UI.
2. Expand the Search accordion.
3. Enter a valid account number in the Account Number field.
4. Click Search.</t>
  </si>
  <si>
    <t>Account no:1120000000509</t>
  </si>
  <si>
    <t>System should displays only the records for the entered account number.</t>
  </si>
  <si>
    <t>System displays only the records for the entered account number.</t>
  </si>
  <si>
    <r>
      <rPr>
        <rFont val="Arial"/>
        <color rgb="FF1155CC"/>
        <u/>
      </rPr>
      <t>https://prnt.sc/OFW9gCjWE64N</t>
    </r>
    <r>
      <rPr>
        <rFont val="Arial"/>
        <color rgb="FF000000"/>
      </rPr>
      <t xml:space="preserve">   </t>
    </r>
    <r>
      <rPr>
        <rFont val="Arial"/>
        <color rgb="FF1155CC"/>
        <u/>
      </rPr>
      <t>https://prnt.sc/xiT3aRzP0lYn</t>
    </r>
  </si>
  <si>
    <t>Verify search returns results for a valid payee name</t>
  </si>
  <si>
    <t>Enter payee name</t>
  </si>
  <si>
    <t>System should displays only the records for the entered payee name.</t>
  </si>
  <si>
    <t>System displays only the records for the entered payee name.</t>
  </si>
  <si>
    <r>
      <rPr>
        <rFont val="Arial"/>
        <color rgb="FF1155CC"/>
        <u/>
      </rPr>
      <t>https://prnt.sc/JiWxkPVAAZLD</t>
    </r>
    <r>
      <rPr>
        <rFont val="Arial"/>
        <color rgb="FF000000"/>
      </rPr>
      <t xml:space="preserve">   </t>
    </r>
    <r>
      <rPr>
        <rFont val="Arial"/>
        <color rgb="FF1155CC"/>
        <u/>
      </rPr>
      <t>https://prnt.sc/xHRcFYuqv4ml</t>
    </r>
  </si>
  <si>
    <t>Verify search returns results for a valid cheque number</t>
  </si>
  <si>
    <t>Enter only cheque number</t>
  </si>
  <si>
    <t>System should displays only the records for the entered cheque number.</t>
  </si>
  <si>
    <t>System displays only the records for the entered cheque number.</t>
  </si>
  <si>
    <t>https://prnt.sc/An8id_GN0POW</t>
  </si>
  <si>
    <t>Verify search returns results for cheque status</t>
  </si>
  <si>
    <t>Enter only cheque status</t>
  </si>
  <si>
    <t xml:space="preserve">cheque status =used </t>
  </si>
  <si>
    <t>System should displays only the records for the entered used cheque status.</t>
  </si>
  <si>
    <t>System displays only the records for the entered used cheque status.</t>
  </si>
  <si>
    <r>
      <rPr>
        <rFont val="Arial"/>
        <color rgb="FF1155CC"/>
        <u/>
      </rPr>
      <t>https://prnt.sc/pbjyyOyup3sD</t>
    </r>
    <r>
      <rPr>
        <rFont val="Arial"/>
        <color rgb="FF000000"/>
      </rPr>
      <t xml:space="preserve">  </t>
    </r>
    <r>
      <rPr>
        <rFont val="Arial"/>
        <color rgb="FF1155CC"/>
        <u/>
      </rPr>
      <t>https://prnt.sc/WDqVf0xSsNJf</t>
    </r>
    <r>
      <rPr>
        <rFont val="Arial"/>
        <color rgb="FF000000"/>
      </rPr>
      <t xml:space="preserve"> </t>
    </r>
  </si>
  <si>
    <t xml:space="preserve">Verify system behavior when searching with an invalid account number
</t>
  </si>
  <si>
    <t>1.Open Imposed Positive Pay UI.
2. Expand Search accordion.
3. Enter an invalid account number.
4. Click Search.</t>
  </si>
  <si>
    <t>Account no. 1120000000405</t>
  </si>
  <si>
    <t>System should displays “No data found” message.</t>
  </si>
  <si>
    <t>System displays “No data found” message.</t>
  </si>
  <si>
    <r>
      <rPr>
        <rFont val="Arial"/>
        <color rgb="FF1155CC"/>
        <u/>
      </rPr>
      <t>https://prnt.sc/_1_TH_80F5ke</t>
    </r>
    <r>
      <rPr>
        <rFont val="Arial"/>
      </rPr>
      <t xml:space="preserve">   </t>
    </r>
    <r>
      <rPr>
        <rFont val="Arial"/>
        <color rgb="FF1155CC"/>
        <u/>
      </rPr>
      <t>https://prnt.sc/g-mzd8agHk_b</t>
    </r>
  </si>
  <si>
    <t>Verify search returns correct results when multiple filters are applied</t>
  </si>
  <si>
    <t>1.Open Imposed Positive Pay UI.
2. Expand Search accordion.
3. Enter valid account number.
4. Optionally, select Cheque Status, Branch, or Cheque Date.
5. Click Search.</t>
  </si>
  <si>
    <t>Acc no:1120000000509 Payee name: Max  Cheque number: XYZ6000001   CHeque status: UNUSED    Branch: 
Gulshan Branch (0002) Cheque date: 31-10-2024</t>
  </si>
  <si>
    <t>System should displays results matching all entered criteria.</t>
  </si>
  <si>
    <t>As expected</t>
  </si>
  <si>
    <r>
      <rPr>
        <rFont val="Arial"/>
        <color rgb="FF1155CC"/>
        <u/>
      </rPr>
      <t>https://prnt.sc/QY_MrfJCvjoI</t>
    </r>
    <r>
      <rPr>
        <rFont val="Arial"/>
        <color rgb="FF000000"/>
      </rPr>
      <t xml:space="preserve">   </t>
    </r>
    <r>
      <rPr>
        <rFont val="Arial"/>
        <color rgb="FF1155CC"/>
        <u/>
      </rPr>
      <t>https://prnt.sc/oGM5GmQXmjho</t>
    </r>
  </si>
  <si>
    <t xml:space="preserve"> Verify system behavior when searching with an invalid cheque date</t>
  </si>
  <si>
    <t>1.Open Imposed Positive Pay UI.
2. Expand Search accordion.
3. Enter valid account number.
4. Optionally, select Cheque Status, Branch
5. Click Search.</t>
  </si>
  <si>
    <t>Wrong cheque date;21-10-2024</t>
  </si>
  <si>
    <t>System is displays “No data found” message.</t>
  </si>
  <si>
    <r>
      <rPr>
        <rFont val="Arial"/>
        <color rgb="FF1155CC"/>
        <u/>
      </rPr>
      <t>https://prnt.sc/643WeIU-zEKy</t>
    </r>
    <r>
      <rPr>
        <rFont val="Arial"/>
        <color rgb="FF000000"/>
      </rPr>
      <t xml:space="preserve">  </t>
    </r>
    <r>
      <rPr>
        <rFont val="Arial"/>
        <color rgb="FF1155CC"/>
        <u/>
      </rPr>
      <t>https://prnt.sc/uxUrveUi_1uK</t>
    </r>
  </si>
  <si>
    <t>Verify Branch Field for Regular User</t>
  </si>
  <si>
    <t>1.Open Imposed Positive Pay UI
2. Expand search accordion
3. Click on Branch field
4. Select a different branch
5. Click Search</t>
  </si>
  <si>
    <t xml:space="preserve">1. Logged in as regular user
No special route permission assigned
2. Imposed Positive pay UI in Branch = 
Agrabad Corporate Branch (0003) </t>
  </si>
  <si>
    <t>Branch field should editable and selectable</t>
  </si>
  <si>
    <t>Data displayed for selected branch  or if don't select branch fetach all data</t>
  </si>
  <si>
    <r>
      <rPr>
        <rFont val="Arial"/>
        <color rgb="FF1155CC"/>
        <u/>
      </rPr>
      <t>https://prnt.sc/ROb-t4btgYOM</t>
    </r>
    <r>
      <rPr>
        <rFont val="Arial"/>
      </rPr>
      <t xml:space="preserve">   </t>
    </r>
    <r>
      <rPr>
        <rFont val="Arial"/>
        <color rgb="FF1155CC"/>
        <u/>
      </rPr>
      <t>https://prnt.sc/ui1lb4P_cJ6R</t>
    </r>
    <r>
      <rPr>
        <rFont val="Arial"/>
      </rPr>
      <t xml:space="preserve">  </t>
    </r>
    <r>
      <rPr>
        <rFont val="Arial"/>
        <color rgb="FF1155CC"/>
        <u/>
      </rPr>
      <t>https://prnt.sc/mt9eOUQhqJkN</t>
    </r>
    <r>
      <rPr>
        <rFont val="Arial"/>
      </rPr>
      <t xml:space="preserve">   </t>
    </r>
    <r>
      <rPr>
        <rFont val="Arial"/>
        <color rgb="FF1155CC"/>
        <u/>
      </rPr>
      <t>https://prnt.sc/zHWHWSgO1hsC</t>
    </r>
  </si>
  <si>
    <t>Verify Branch Field for Privileged User</t>
  </si>
  <si>
    <t>1. Open Imposed Positive Pay UI
2. Expand search accordion
3. Observe Branch field</t>
  </si>
  <si>
    <t>Logged in as user with permission
branch-restriction-required-route-of-ababil-deposit</t>
  </si>
  <si>
    <t>Branch is auto-filled with session branch
or disabled/read-only
or
User cannot change branch</t>
  </si>
  <si>
    <r>
      <rPr>
        <rFont val="Arial"/>
        <color rgb="FF1155CC"/>
        <u/>
      </rPr>
      <t>https://prnt.sc/dShZIz5xMTdN</t>
    </r>
    <r>
      <rPr>
        <rFont val="Arial"/>
        <color rgb="FF000000"/>
      </rPr>
      <t xml:space="preserve">    </t>
    </r>
    <r>
      <rPr>
        <rFont val="Arial"/>
        <color rgb="FF1155CC"/>
        <u/>
      </rPr>
      <t>https://prnt.sc/tuxpy3obO4MS</t>
    </r>
  </si>
  <si>
    <t>Search with Account Number – Branch Restriction Check</t>
  </si>
  <si>
    <t>1. Open Imposed Positive Pay UI.
2. Expand Search accordion.
3. Enter valid account number.
4. Click Search.</t>
  </si>
  <si>
    <t xml:space="preserve">1. User has only access to their session branch(User branch =2)        2. Account no. 1120000000395 (branch 3) </t>
  </si>
  <si>
    <t>User cannot see data for other branches</t>
  </si>
  <si>
    <r>
      <rPr>
        <rFont val="Arial"/>
        <color rgb="FF1155CC"/>
        <u/>
      </rPr>
      <t>https://prnt.sc/3dhOUB_7UPA2</t>
    </r>
    <r>
      <rPr>
        <rFont val="Arial"/>
        <color rgb="FF000000"/>
      </rPr>
      <t xml:space="preserve">  </t>
    </r>
    <r>
      <rPr>
        <rFont val="Arial"/>
        <color rgb="FF1155CC"/>
        <u/>
      </rPr>
      <t>https://prnt.sc/Klc6mCwk52WB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</si>
</sst>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0.0"/>
      <color rgb="FF000000"/>
      <name val="Arial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EAEAEA"/>
        <bgColor rgb="FFEAEAEA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textRotation="0" vertical="center" wrapText="1"/>
    </xf>
    <xf borderId="3" fillId="2" fontId="1" numFmtId="0" xfId="0" applyAlignment="1" applyBorder="1" applyFont="1">
      <alignment horizontal="center" shrinkToFit="0" textRotation="0" vertical="center" wrapText="1"/>
    </xf>
    <xf borderId="3" fillId="0" fontId="4" numFmtId="164" xfId="0" applyAlignment="1" applyBorder="1" applyFont="1" applyNumberFormat="1">
      <alignment horizontal="center" shrinkToFit="0" textRotation="0" vertical="center" wrapText="1"/>
    </xf>
    <xf borderId="3" fillId="2" fontId="1" numFmtId="164" xfId="0" applyAlignment="1" applyBorder="1" applyFont="1" applyNumberFormat="1">
      <alignment horizontal="center" shrinkToFit="0" textRotation="0" vertical="center" wrapText="1"/>
    </xf>
    <xf borderId="3" fillId="0" fontId="4" numFmtId="164" xfId="0" applyAlignment="1" applyBorder="1" applyFont="1" applyNumberFormat="1">
      <alignment shrinkToFit="0" textRotation="0" vertical="center" wrapText="1"/>
    </xf>
    <xf borderId="3" fillId="2" fontId="4" numFmtId="164" xfId="0" applyAlignment="1" applyBorder="1" applyFont="1" applyNumberFormat="1">
      <alignment shrinkToFit="0" textRotation="0" vertical="center" wrapText="1"/>
    </xf>
    <xf borderId="3" fillId="0" fontId="4" numFmtId="0" xfId="0" applyAlignment="1" applyBorder="1" applyFont="1">
      <alignment shrinkToFit="0" textRotation="0" vertical="center" wrapText="1"/>
    </xf>
    <xf borderId="4" fillId="0" fontId="2" numFmtId="0" xfId="0" applyBorder="1" applyFont="1"/>
    <xf borderId="4" fillId="2" fontId="1" numFmtId="0" xfId="0" applyAlignment="1" applyBorder="1" applyFont="1">
      <alignment horizontal="center" shrinkToFit="0" textRotation="0" vertical="center" wrapText="1"/>
    </xf>
    <xf borderId="1" fillId="2" fontId="1" numFmtId="0" xfId="0" applyAlignment="1" applyBorder="1" applyFont="1">
      <alignment shrinkToFit="0" textRotation="0" vertical="center" wrapText="1"/>
    </xf>
    <xf borderId="1" fillId="2" fontId="4" numFmtId="0" xfId="0" applyAlignment="1" applyBorder="1" applyFont="1">
      <alignment shrinkToFit="0" textRotation="0" vertical="center" wrapText="1"/>
    </xf>
    <xf borderId="0" fillId="0" fontId="4" numFmtId="0" xfId="0" applyAlignment="1" applyFont="1">
      <alignment shrinkToFit="0" textRotation="0" vertical="center" wrapText="1"/>
    </xf>
    <xf borderId="0" fillId="3" fontId="4" numFmtId="0" xfId="0" applyAlignment="1" applyFill="1" applyFont="1">
      <alignment shrinkToFit="0" textRotation="0" vertical="center" wrapText="1"/>
    </xf>
    <xf borderId="3" fillId="4" fontId="1" numFmtId="0" xfId="0" applyAlignment="1" applyBorder="1" applyFill="1" applyFont="1">
      <alignment horizontal="center" shrinkToFit="0" textRotation="0" vertical="center" wrapText="1"/>
    </xf>
    <xf borderId="3" fillId="5" fontId="3" numFmtId="0" xfId="0" applyAlignment="1" applyBorder="1" applyFill="1" applyFont="1">
      <alignment horizontal="center" shrinkToFit="0" textRotation="0" vertical="center" wrapText="1"/>
    </xf>
    <xf borderId="3" fillId="6" fontId="1" numFmtId="0" xfId="0" applyAlignment="1" applyBorder="1" applyFill="1" applyFont="1">
      <alignment horizontal="center" shrinkToFit="0" textRotation="0" vertical="center" wrapText="1"/>
    </xf>
    <xf borderId="3" fillId="7" fontId="1" numFmtId="0" xfId="0" applyAlignment="1" applyBorder="1" applyFill="1" applyFont="1">
      <alignment shrinkToFit="0" textRotation="0" vertical="center" wrapText="1"/>
    </xf>
    <xf borderId="3" fillId="5" fontId="4" numFmtId="0" xfId="0" applyAlignment="1" applyBorder="1" applyFont="1">
      <alignment shrinkToFit="0" textRotation="0" vertical="center" wrapText="1"/>
    </xf>
    <xf borderId="3" fillId="0" fontId="4" numFmtId="0" xfId="0" applyAlignment="1" applyBorder="1" applyFont="1">
      <alignment horizontal="center" shrinkToFit="0" textRotation="0" vertical="center" wrapText="1"/>
    </xf>
    <xf borderId="3" fillId="2" fontId="4" numFmtId="0" xfId="0" applyAlignment="1" applyBorder="1" applyFont="1">
      <alignment shrinkToFit="0" textRotation="0" vertical="center" wrapText="1"/>
    </xf>
    <xf borderId="3" fillId="7" fontId="1" numFmtId="0" xfId="0" applyAlignment="1" applyBorder="1" applyFont="1">
      <alignment horizontal="center" shrinkToFit="0" textRotation="0" vertical="center" wrapText="1"/>
    </xf>
    <xf borderId="3" fillId="8" fontId="1" numFmtId="0" xfId="0" applyAlignment="1" applyBorder="1" applyFill="1" applyFont="1">
      <alignment shrinkToFit="0" textRotation="0" vertical="center" wrapText="1"/>
    </xf>
    <xf borderId="3" fillId="0" fontId="4" numFmtId="0" xfId="0" applyAlignment="1" applyBorder="1" applyFont="1">
      <alignment shrinkToFit="0" textRotation="0" vertical="center" wrapText="1"/>
    </xf>
    <xf borderId="3" fillId="2" fontId="4" numFmtId="0" xfId="0" applyAlignment="1" applyBorder="1" applyFont="1">
      <alignment shrinkToFit="0" textRotation="0" vertical="center" wrapText="1"/>
    </xf>
    <xf borderId="3" fillId="9" fontId="1" numFmtId="0" xfId="0" applyAlignment="1" applyBorder="1" applyFill="1" applyFont="1">
      <alignment horizontal="center" shrinkToFit="0" textRotation="0" vertical="center" wrapText="1"/>
    </xf>
    <xf borderId="3" fillId="8" fontId="1" numFmtId="0" xfId="0" applyAlignment="1" applyBorder="1" applyFont="1">
      <alignment horizontal="center" shrinkToFit="0" textRotation="0" vertical="center" wrapText="1"/>
    </xf>
    <xf borderId="3" fillId="10" fontId="1" numFmtId="0" xfId="0" applyAlignment="1" applyBorder="1" applyFill="1" applyFont="1">
      <alignment shrinkToFit="0" textRotation="0" vertical="center" wrapText="1"/>
    </xf>
    <xf borderId="3" fillId="0" fontId="5" numFmtId="0" xfId="0" applyAlignment="1" applyBorder="1" applyFont="1">
      <alignment horizontal="center" shrinkToFit="0" textRotation="0" vertical="center" wrapText="1"/>
    </xf>
    <xf borderId="3" fillId="5" fontId="1" numFmtId="0" xfId="0" applyAlignment="1" applyBorder="1" applyFont="1">
      <alignment horizontal="center" shrinkToFit="0" textRotation="0" vertical="center" wrapText="1"/>
    </xf>
    <xf borderId="3" fillId="10" fontId="1" numFmtId="0" xfId="0" applyAlignment="1" applyBorder="1" applyFont="1">
      <alignment horizontal="center" shrinkToFit="0" textRotation="0" vertical="center" wrapText="1"/>
    </xf>
    <xf borderId="3" fillId="11" fontId="1" numFmtId="0" xfId="0" applyAlignment="1" applyBorder="1" applyFill="1" applyFont="1">
      <alignment shrinkToFit="0" textRotation="0" vertical="center" wrapText="1"/>
    </xf>
    <xf borderId="3" fillId="12" fontId="1" numFmtId="0" xfId="0" applyAlignment="1" applyBorder="1" applyFill="1" applyFont="1">
      <alignment horizontal="center" shrinkToFit="0" textRotation="0" vertical="center" wrapText="1"/>
    </xf>
    <xf borderId="3" fillId="13" fontId="1" numFmtId="0" xfId="0" applyAlignment="1" applyBorder="1" applyFill="1" applyFont="1">
      <alignment horizontal="center" shrinkToFit="0" textRotation="0" vertical="center" wrapText="1"/>
    </xf>
    <xf borderId="3" fillId="12" fontId="1" numFmtId="0" xfId="0" applyAlignment="1" applyBorder="1" applyFont="1">
      <alignment shrinkToFit="0" textRotation="0" vertical="center" wrapText="1"/>
    </xf>
    <xf borderId="3" fillId="0" fontId="6" numFmtId="0" xfId="0" applyAlignment="1" applyBorder="1" applyFont="1">
      <alignment shrinkToFit="0" textRotation="0" vertical="center" wrapText="1"/>
    </xf>
    <xf borderId="3" fillId="0" fontId="7" numFmtId="0" xfId="0" applyAlignment="1" applyBorder="1" applyFont="1">
      <alignment shrinkToFit="0" textRotation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rnt.sc/643WeIU-zEKy" TargetMode="External"/><Relationship Id="rId10" Type="http://schemas.openxmlformats.org/officeDocument/2006/relationships/hyperlink" Target="https://prnt.sc/QY_MrfJCvjoI" TargetMode="External"/><Relationship Id="rId13" Type="http://schemas.openxmlformats.org/officeDocument/2006/relationships/hyperlink" Target="https://prnt.sc/dShZIz5xMTdN" TargetMode="External"/><Relationship Id="rId12" Type="http://schemas.openxmlformats.org/officeDocument/2006/relationships/hyperlink" Target="https://prnt.sc/ROb-t4btgYOM" TargetMode="External"/><Relationship Id="rId1" Type="http://schemas.openxmlformats.org/officeDocument/2006/relationships/hyperlink" Target="https://prnt.sc/zbv-yOSgL_jZ" TargetMode="External"/><Relationship Id="rId2" Type="http://schemas.openxmlformats.org/officeDocument/2006/relationships/hyperlink" Target="https://prnt.sc/AAFYxfZO_Ppm" TargetMode="External"/><Relationship Id="rId3" Type="http://schemas.openxmlformats.org/officeDocument/2006/relationships/hyperlink" Target="https://prnt.sc/Mjw5ecJhFeRW" TargetMode="External"/><Relationship Id="rId4" Type="http://schemas.openxmlformats.org/officeDocument/2006/relationships/hyperlink" Target="https://prnt.sc/Ro6mBMym62vQ" TargetMode="External"/><Relationship Id="rId9" Type="http://schemas.openxmlformats.org/officeDocument/2006/relationships/hyperlink" Target="https://prnt.sc/_1_TH_80F5ke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prnt.sc/3dhOUB_7UPA2" TargetMode="External"/><Relationship Id="rId5" Type="http://schemas.openxmlformats.org/officeDocument/2006/relationships/hyperlink" Target="https://prnt.sc/OFW9gCjWE64N" TargetMode="External"/><Relationship Id="rId6" Type="http://schemas.openxmlformats.org/officeDocument/2006/relationships/hyperlink" Target="https://prnt.sc/JiWxkPVAAZLD" TargetMode="External"/><Relationship Id="rId7" Type="http://schemas.openxmlformats.org/officeDocument/2006/relationships/hyperlink" Target="https://prnt.sc/An8id_GN0POW" TargetMode="External"/><Relationship Id="rId8" Type="http://schemas.openxmlformats.org/officeDocument/2006/relationships/hyperlink" Target="https://prnt.sc/pbjyyOyup3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14.13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6" t="s">
        <v>4</v>
      </c>
      <c r="G1" s="7"/>
      <c r="H1" s="8"/>
      <c r="I1" s="9"/>
      <c r="J1" s="1" t="s">
        <v>5</v>
      </c>
      <c r="K1" s="10"/>
      <c r="L1" s="11" t="s">
        <v>6</v>
      </c>
      <c r="M1" s="2"/>
      <c r="N1" s="12" t="s">
        <v>7</v>
      </c>
      <c r="O1" s="2"/>
      <c r="P1" s="13"/>
      <c r="Q1" s="2"/>
      <c r="R1" s="9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>
      <c r="A2" s="1" t="s">
        <v>8</v>
      </c>
      <c r="B2" s="2"/>
      <c r="C2" s="15"/>
      <c r="D2" s="4" t="s">
        <v>9</v>
      </c>
      <c r="E2" s="5" t="s">
        <v>10</v>
      </c>
      <c r="F2" s="6" t="s">
        <v>11</v>
      </c>
      <c r="G2" s="7"/>
      <c r="H2" s="8"/>
      <c r="I2" s="9"/>
      <c r="J2" s="16" t="s">
        <v>12</v>
      </c>
      <c r="K2" s="17">
        <f>COUNTIF(J7:J1000, "PASS")</f>
        <v>15</v>
      </c>
      <c r="L2" s="18" t="s">
        <v>13</v>
      </c>
      <c r="M2" s="17">
        <f>COUNTIF(L7:L1000, "Critical")</f>
        <v>0</v>
      </c>
      <c r="N2" s="19" t="s">
        <v>14</v>
      </c>
      <c r="O2" s="17">
        <f>COUNTIF(M6:M999, "High")</f>
        <v>0</v>
      </c>
      <c r="P2" s="13"/>
      <c r="Q2" s="2"/>
      <c r="R2" s="9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>
      <c r="A3" s="1" t="s">
        <v>15</v>
      </c>
      <c r="B3" s="2"/>
      <c r="C3" s="20" t="s">
        <v>16</v>
      </c>
      <c r="D3" s="4" t="s">
        <v>17</v>
      </c>
      <c r="E3" s="21" t="s">
        <v>18</v>
      </c>
      <c r="F3" s="22"/>
      <c r="G3" s="9"/>
      <c r="H3" s="22"/>
      <c r="I3" s="9"/>
      <c r="J3" s="18" t="s">
        <v>19</v>
      </c>
      <c r="K3" s="17">
        <f>COUNTIF(J7:J1000, "FAIL")</f>
        <v>0</v>
      </c>
      <c r="L3" s="23" t="s">
        <v>14</v>
      </c>
      <c r="M3" s="17">
        <f>COUNTIF(L7:L1000, "High")</f>
        <v>0</v>
      </c>
      <c r="N3" s="24" t="s">
        <v>20</v>
      </c>
      <c r="O3" s="17">
        <f>COUNTIF(M6:M999, "Medium")</f>
        <v>0</v>
      </c>
      <c r="P3" s="13"/>
      <c r="Q3" s="2"/>
      <c r="R3" s="9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>
      <c r="A4" s="1" t="s">
        <v>21</v>
      </c>
      <c r="B4" s="2"/>
      <c r="C4" s="20"/>
      <c r="D4" s="4" t="s">
        <v>22</v>
      </c>
      <c r="E4" s="25"/>
      <c r="F4" s="26"/>
      <c r="G4" s="9"/>
      <c r="H4" s="22"/>
      <c r="I4" s="9"/>
      <c r="J4" s="27" t="s">
        <v>23</v>
      </c>
      <c r="K4" s="17">
        <f>COUNTIF(J7:J1000, "NT")</f>
        <v>0</v>
      </c>
      <c r="L4" s="28" t="s">
        <v>20</v>
      </c>
      <c r="M4" s="17">
        <f>COUNTIF(L7:L1000, "Medium")</f>
        <v>0</v>
      </c>
      <c r="N4" s="29" t="s">
        <v>24</v>
      </c>
      <c r="O4" s="17">
        <f>COUNTIF(M6:M1000, "Low")</f>
        <v>0</v>
      </c>
      <c r="P4" s="13"/>
      <c r="Q4" s="2"/>
      <c r="R4" s="9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>
      <c r="A5" s="1" t="s">
        <v>25</v>
      </c>
      <c r="B5" s="2"/>
      <c r="C5" s="20"/>
      <c r="D5" s="4" t="s">
        <v>26</v>
      </c>
      <c r="E5" s="30">
        <v>18634.0</v>
      </c>
      <c r="F5" s="22"/>
      <c r="G5" s="9"/>
      <c r="H5" s="22"/>
      <c r="I5" s="9"/>
      <c r="J5" s="31" t="s">
        <v>27</v>
      </c>
      <c r="K5" s="17">
        <f>SUM(K2,K3,K4)</f>
        <v>15</v>
      </c>
      <c r="L5" s="32" t="s">
        <v>24</v>
      </c>
      <c r="M5" s="17">
        <f>COUNTIF(L7:L1001, "Low")</f>
        <v>0</v>
      </c>
      <c r="N5" s="33" t="s">
        <v>28</v>
      </c>
      <c r="O5" s="17">
        <f>COUNTIF(O7:O1000, "Accepted")</f>
        <v>0</v>
      </c>
      <c r="P5" s="13"/>
      <c r="Q5" s="2"/>
      <c r="R5" s="9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>
      <c r="A6" s="34" t="s">
        <v>29</v>
      </c>
      <c r="B6" s="34" t="s">
        <v>30</v>
      </c>
      <c r="C6" s="34" t="s">
        <v>31</v>
      </c>
      <c r="D6" s="34" t="s">
        <v>32</v>
      </c>
      <c r="E6" s="34" t="s">
        <v>33</v>
      </c>
      <c r="F6" s="34" t="s">
        <v>34</v>
      </c>
      <c r="G6" s="34" t="s">
        <v>35</v>
      </c>
      <c r="H6" s="34" t="s">
        <v>36</v>
      </c>
      <c r="I6" s="34" t="s">
        <v>37</v>
      </c>
      <c r="J6" s="35" t="s">
        <v>38</v>
      </c>
      <c r="K6" s="35" t="s">
        <v>39</v>
      </c>
      <c r="L6" s="34" t="s">
        <v>6</v>
      </c>
      <c r="M6" s="34" t="s">
        <v>7</v>
      </c>
      <c r="N6" s="36" t="s">
        <v>40</v>
      </c>
      <c r="O6" s="35" t="s">
        <v>41</v>
      </c>
      <c r="P6" s="35" t="s">
        <v>42</v>
      </c>
      <c r="Q6" s="35" t="s">
        <v>43</v>
      </c>
      <c r="R6" s="35" t="s">
        <v>44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>
      <c r="A7" s="9"/>
      <c r="B7" s="9"/>
      <c r="C7" s="3">
        <v>1.0</v>
      </c>
      <c r="D7" s="9" t="s">
        <v>45</v>
      </c>
      <c r="E7" s="9" t="s">
        <v>46</v>
      </c>
      <c r="F7" s="9" t="s">
        <v>47</v>
      </c>
      <c r="G7" s="9" t="s">
        <v>48</v>
      </c>
      <c r="H7" s="9" t="s">
        <v>49</v>
      </c>
      <c r="I7" s="14" t="s">
        <v>50</v>
      </c>
      <c r="J7" s="16" t="s">
        <v>12</v>
      </c>
      <c r="K7" s="9"/>
      <c r="L7" s="9"/>
      <c r="M7" s="9"/>
      <c r="N7" s="37" t="s">
        <v>51</v>
      </c>
      <c r="O7" s="9"/>
      <c r="P7" s="9"/>
      <c r="Q7" s="9"/>
      <c r="R7" s="9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>
      <c r="A8" s="9"/>
      <c r="B8" s="9"/>
      <c r="C8" s="3">
        <v>2.0</v>
      </c>
      <c r="D8" s="9" t="s">
        <v>52</v>
      </c>
      <c r="E8" s="9" t="s">
        <v>46</v>
      </c>
      <c r="F8" s="9" t="s">
        <v>53</v>
      </c>
      <c r="G8" s="9" t="s">
        <v>54</v>
      </c>
      <c r="H8" s="9" t="s">
        <v>55</v>
      </c>
      <c r="I8" s="9" t="s">
        <v>56</v>
      </c>
      <c r="J8" s="16" t="s">
        <v>12</v>
      </c>
      <c r="K8" s="9"/>
      <c r="L8" s="9"/>
      <c r="M8" s="9"/>
      <c r="N8" s="38" t="s">
        <v>57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4"/>
    </row>
    <row r="9">
      <c r="A9" s="9"/>
      <c r="B9" s="9"/>
      <c r="C9" s="3">
        <v>3.0</v>
      </c>
      <c r="D9" s="9" t="s">
        <v>58</v>
      </c>
      <c r="E9" s="9" t="s">
        <v>46</v>
      </c>
      <c r="F9" s="9" t="s">
        <v>59</v>
      </c>
      <c r="G9" s="9" t="s">
        <v>54</v>
      </c>
      <c r="H9" s="9" t="s">
        <v>60</v>
      </c>
      <c r="I9" s="9" t="s">
        <v>61</v>
      </c>
      <c r="J9" s="16" t="s">
        <v>12</v>
      </c>
      <c r="K9" s="9"/>
      <c r="L9" s="9"/>
      <c r="M9" s="9"/>
      <c r="N9" s="37" t="s">
        <v>62</v>
      </c>
      <c r="O9" s="9"/>
      <c r="P9" s="9"/>
      <c r="Q9" s="9"/>
      <c r="R9" s="9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>
      <c r="A10" s="9"/>
      <c r="B10" s="9"/>
      <c r="C10" s="3">
        <v>4.0</v>
      </c>
      <c r="D10" s="9" t="s">
        <v>63</v>
      </c>
      <c r="E10" s="9" t="s">
        <v>46</v>
      </c>
      <c r="F10" s="9" t="s">
        <v>64</v>
      </c>
      <c r="G10" s="9" t="s">
        <v>65</v>
      </c>
      <c r="H10" s="9" t="s">
        <v>66</v>
      </c>
      <c r="I10" s="9" t="s">
        <v>67</v>
      </c>
      <c r="J10" s="16" t="s">
        <v>12</v>
      </c>
      <c r="K10" s="9"/>
      <c r="L10" s="9"/>
      <c r="M10" s="9"/>
      <c r="N10" s="37" t="s">
        <v>68</v>
      </c>
      <c r="O10" s="9"/>
      <c r="P10" s="9"/>
      <c r="Q10" s="9"/>
      <c r="R10" s="9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>
      <c r="A11" s="9"/>
      <c r="B11" s="9"/>
      <c r="C11" s="3">
        <v>5.0</v>
      </c>
      <c r="D11" s="9" t="s">
        <v>69</v>
      </c>
      <c r="E11" s="9" t="s">
        <v>46</v>
      </c>
      <c r="F11" s="9" t="s">
        <v>70</v>
      </c>
      <c r="G11" s="9" t="s">
        <v>71</v>
      </c>
      <c r="H11" s="9" t="s">
        <v>72</v>
      </c>
      <c r="I11" s="9" t="s">
        <v>73</v>
      </c>
      <c r="J11" s="16" t="s">
        <v>12</v>
      </c>
      <c r="K11" s="9"/>
      <c r="L11" s="9"/>
      <c r="M11" s="9"/>
      <c r="N11" s="9"/>
      <c r="O11" s="9"/>
      <c r="P11" s="9"/>
      <c r="Q11" s="9"/>
      <c r="R11" s="9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>
      <c r="A12" s="9"/>
      <c r="B12" s="9"/>
      <c r="C12" s="21">
        <v>6.0</v>
      </c>
      <c r="D12" s="9" t="s">
        <v>74</v>
      </c>
      <c r="E12" s="9" t="s">
        <v>46</v>
      </c>
      <c r="F12" s="9" t="s">
        <v>75</v>
      </c>
      <c r="G12" s="9" t="s">
        <v>76</v>
      </c>
      <c r="H12" s="9" t="s">
        <v>77</v>
      </c>
      <c r="I12" s="9" t="s">
        <v>78</v>
      </c>
      <c r="J12" s="16" t="s">
        <v>12</v>
      </c>
      <c r="K12" s="9"/>
      <c r="L12" s="9"/>
      <c r="M12" s="9"/>
      <c r="N12" s="37" t="s">
        <v>79</v>
      </c>
      <c r="O12" s="9"/>
      <c r="P12" s="9"/>
      <c r="Q12" s="9"/>
      <c r="R12" s="9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>
      <c r="A13" s="9"/>
      <c r="B13" s="9"/>
      <c r="C13" s="21">
        <v>7.0</v>
      </c>
      <c r="D13" s="9" t="s">
        <v>80</v>
      </c>
      <c r="E13" s="9" t="s">
        <v>46</v>
      </c>
      <c r="F13" s="9" t="s">
        <v>81</v>
      </c>
      <c r="G13" s="9"/>
      <c r="H13" s="9" t="s">
        <v>82</v>
      </c>
      <c r="I13" s="14" t="s">
        <v>83</v>
      </c>
      <c r="J13" s="16" t="s">
        <v>12</v>
      </c>
      <c r="K13" s="9"/>
      <c r="L13" s="9"/>
      <c r="M13" s="9"/>
      <c r="N13" s="37" t="s">
        <v>84</v>
      </c>
      <c r="O13" s="9"/>
      <c r="P13" s="9"/>
      <c r="Q13" s="9"/>
      <c r="R13" s="9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>
      <c r="A14" s="9"/>
      <c r="B14" s="9"/>
      <c r="C14" s="21">
        <v>8.0</v>
      </c>
      <c r="D14" s="9" t="s">
        <v>85</v>
      </c>
      <c r="E14" s="9" t="s">
        <v>46</v>
      </c>
      <c r="F14" s="9" t="s">
        <v>86</v>
      </c>
      <c r="G14" s="9"/>
      <c r="H14" s="9" t="s">
        <v>87</v>
      </c>
      <c r="I14" s="14" t="s">
        <v>88</v>
      </c>
      <c r="J14" s="16" t="s">
        <v>12</v>
      </c>
      <c r="K14" s="9"/>
      <c r="L14" s="9"/>
      <c r="M14" s="9"/>
      <c r="N14" s="38" t="s">
        <v>89</v>
      </c>
      <c r="O14" s="9"/>
      <c r="P14" s="9"/>
      <c r="Q14" s="9"/>
      <c r="R14" s="9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>
      <c r="A15" s="9"/>
      <c r="B15" s="9"/>
      <c r="C15" s="21">
        <v>9.0</v>
      </c>
      <c r="D15" s="9" t="s">
        <v>90</v>
      </c>
      <c r="E15" s="9" t="s">
        <v>46</v>
      </c>
      <c r="F15" s="9" t="s">
        <v>91</v>
      </c>
      <c r="G15" s="9" t="s">
        <v>92</v>
      </c>
      <c r="H15" s="9" t="s">
        <v>93</v>
      </c>
      <c r="I15" s="9" t="s">
        <v>94</v>
      </c>
      <c r="J15" s="16" t="s">
        <v>12</v>
      </c>
      <c r="K15" s="9"/>
      <c r="L15" s="9"/>
      <c r="M15" s="9"/>
      <c r="N15" s="37" t="s">
        <v>95</v>
      </c>
      <c r="O15" s="9"/>
      <c r="P15" s="9"/>
      <c r="Q15" s="9"/>
      <c r="R15" s="9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>
      <c r="A16" s="9"/>
      <c r="B16" s="9"/>
      <c r="C16" s="21">
        <v>10.0</v>
      </c>
      <c r="D16" s="9" t="s">
        <v>96</v>
      </c>
      <c r="E16" s="9" t="s">
        <v>46</v>
      </c>
      <c r="F16" s="9" t="s">
        <v>97</v>
      </c>
      <c r="G16" s="9" t="s">
        <v>98</v>
      </c>
      <c r="H16" s="9" t="s">
        <v>99</v>
      </c>
      <c r="I16" s="9" t="s">
        <v>100</v>
      </c>
      <c r="J16" s="16" t="s">
        <v>12</v>
      </c>
      <c r="K16" s="9"/>
      <c r="L16" s="9"/>
      <c r="M16" s="9"/>
      <c r="N16" s="37" t="s">
        <v>101</v>
      </c>
      <c r="O16" s="9"/>
      <c r="P16" s="9"/>
      <c r="Q16" s="9"/>
      <c r="R16" s="9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>
      <c r="A17" s="9"/>
      <c r="B17" s="9"/>
      <c r="C17" s="21">
        <v>11.0</v>
      </c>
      <c r="D17" s="14" t="s">
        <v>102</v>
      </c>
      <c r="E17" s="9" t="s">
        <v>46</v>
      </c>
      <c r="F17" s="9" t="s">
        <v>103</v>
      </c>
      <c r="G17" s="9" t="s">
        <v>104</v>
      </c>
      <c r="H17" s="9" t="s">
        <v>105</v>
      </c>
      <c r="I17" s="9" t="s">
        <v>106</v>
      </c>
      <c r="J17" s="16" t="s">
        <v>12</v>
      </c>
      <c r="K17" s="9"/>
      <c r="L17" s="9"/>
      <c r="M17" s="9"/>
      <c r="N17" s="37" t="s">
        <v>107</v>
      </c>
      <c r="O17" s="9"/>
      <c r="P17" s="9"/>
      <c r="Q17" s="9"/>
      <c r="R17" s="9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>
      <c r="A18" s="9"/>
      <c r="B18" s="9"/>
      <c r="C18" s="21">
        <v>12.0</v>
      </c>
      <c r="D18" s="9" t="s">
        <v>108</v>
      </c>
      <c r="E18" s="9" t="s">
        <v>46</v>
      </c>
      <c r="F18" s="9" t="s">
        <v>109</v>
      </c>
      <c r="G18" s="9" t="s">
        <v>110</v>
      </c>
      <c r="H18" s="9" t="s">
        <v>99</v>
      </c>
      <c r="I18" s="9" t="s">
        <v>111</v>
      </c>
      <c r="J18" s="16" t="s">
        <v>12</v>
      </c>
      <c r="K18" s="9"/>
      <c r="L18" s="9"/>
      <c r="M18" s="9"/>
      <c r="N18" s="37" t="s">
        <v>112</v>
      </c>
      <c r="O18" s="9"/>
      <c r="P18" s="9"/>
      <c r="Q18" s="9"/>
      <c r="R18" s="9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>
      <c r="A19" s="9"/>
      <c r="B19" s="9"/>
      <c r="C19" s="21">
        <v>13.0</v>
      </c>
      <c r="D19" s="9" t="s">
        <v>113</v>
      </c>
      <c r="E19" s="9" t="s">
        <v>46</v>
      </c>
      <c r="F19" s="9" t="s">
        <v>114</v>
      </c>
      <c r="G19" s="9" t="s">
        <v>115</v>
      </c>
      <c r="H19" s="9" t="s">
        <v>116</v>
      </c>
      <c r="I19" s="9" t="s">
        <v>117</v>
      </c>
      <c r="J19" s="16" t="s">
        <v>12</v>
      </c>
      <c r="K19" s="9"/>
      <c r="L19" s="9"/>
      <c r="M19" s="9"/>
      <c r="N19" s="37" t="s">
        <v>118</v>
      </c>
      <c r="O19" s="9"/>
      <c r="P19" s="9"/>
      <c r="Q19" s="9"/>
      <c r="R19" s="9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>
      <c r="A20" s="9"/>
      <c r="B20" s="9"/>
      <c r="C20" s="21">
        <v>14.0</v>
      </c>
      <c r="D20" s="9" t="s">
        <v>119</v>
      </c>
      <c r="E20" s="9" t="s">
        <v>46</v>
      </c>
      <c r="F20" s="9" t="s">
        <v>120</v>
      </c>
      <c r="G20" s="9" t="s">
        <v>121</v>
      </c>
      <c r="H20" s="9" t="s">
        <v>122</v>
      </c>
      <c r="I20" s="9" t="s">
        <v>106</v>
      </c>
      <c r="J20" s="16" t="s">
        <v>12</v>
      </c>
      <c r="K20" s="9"/>
      <c r="L20" s="9"/>
      <c r="M20" s="9"/>
      <c r="N20" s="37" t="s">
        <v>123</v>
      </c>
      <c r="O20" s="9"/>
      <c r="P20" s="9"/>
      <c r="Q20" s="9"/>
      <c r="R20" s="9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>
      <c r="A21" s="9"/>
      <c r="B21" s="9"/>
      <c r="C21" s="21">
        <v>15.0</v>
      </c>
      <c r="D21" s="9" t="s">
        <v>124</v>
      </c>
      <c r="E21" s="9" t="s">
        <v>46</v>
      </c>
      <c r="F21" s="9" t="s">
        <v>125</v>
      </c>
      <c r="G21" s="9" t="s">
        <v>126</v>
      </c>
      <c r="H21" s="9" t="s">
        <v>127</v>
      </c>
      <c r="I21" s="9" t="s">
        <v>106</v>
      </c>
      <c r="J21" s="16" t="s">
        <v>12</v>
      </c>
      <c r="K21" s="9"/>
      <c r="L21" s="9"/>
      <c r="M21" s="9"/>
      <c r="N21" s="37" t="s">
        <v>128</v>
      </c>
      <c r="O21" s="9"/>
      <c r="P21" s="9"/>
      <c r="Q21" s="9"/>
      <c r="R21" s="9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</row>
  </sheetData>
  <mergeCells count="13">
    <mergeCell ref="P2:Q2"/>
    <mergeCell ref="P3:Q3"/>
    <mergeCell ref="P1:Q1"/>
    <mergeCell ref="P4:Q4"/>
    <mergeCell ref="P5:Q5"/>
    <mergeCell ref="A1:B1"/>
    <mergeCell ref="J1:K1"/>
    <mergeCell ref="L1:M1"/>
    <mergeCell ref="N1:O1"/>
    <mergeCell ref="A2:B2"/>
    <mergeCell ref="A3:B3"/>
    <mergeCell ref="A4:B4"/>
    <mergeCell ref="A5:B5"/>
  </mergeCells>
  <dataValidations>
    <dataValidation type="list" allowBlank="1" sqref="L7:L1004">
      <formula1>"Critical,High,Medium,Low"</formula1>
    </dataValidation>
    <dataValidation type="list" allowBlank="1" showErrorMessage="1" sqref="E7:E1008">
      <formula1>"UI,API,PL/SQL,DB"</formula1>
    </dataValidation>
    <dataValidation type="list" allowBlank="1" showErrorMessage="1" sqref="M7:N1002 M1003:M1004">
      <formula1>"High,Medium,Low"</formula1>
    </dataValidation>
    <dataValidation type="list" allowBlank="1" showErrorMessage="1" sqref="O7:P1008">
      <formula1>"Accepted,Rejected"</formula1>
    </dataValidation>
    <dataValidation type="list" allowBlank="1" sqref="J7:K7 K8:K17 J18:K18 K19:K21 J22:K1002 R7:S1002 J1003:J1004 R1003:R1004">
      <formula1>"PASS,FAIL,NT"</formula1>
    </dataValidation>
  </dataValidations>
  <hyperlinks>
    <hyperlink display="18634" location="null!A1" ref="E5"/>
    <hyperlink r:id="rId1" ref="N7"/>
    <hyperlink r:id="rId2" ref="N8"/>
    <hyperlink r:id="rId3" ref="N9"/>
    <hyperlink r:id="rId4" ref="N10"/>
    <hyperlink r:id="rId5" ref="N12"/>
    <hyperlink r:id="rId6" ref="N13"/>
    <hyperlink r:id="rId7" ref="N14"/>
    <hyperlink r:id="rId8" ref="N15"/>
    <hyperlink r:id="rId9" ref="N16"/>
    <hyperlink r:id="rId10" ref="N17"/>
    <hyperlink r:id="rId11" ref="N18"/>
    <hyperlink r:id="rId12" ref="N19"/>
    <hyperlink r:id="rId13" ref="N20"/>
    <hyperlink r:id="rId14" ref="N21"/>
  </hyperlinks>
  <drawing r:id="rId15"/>
</worksheet>
</file>