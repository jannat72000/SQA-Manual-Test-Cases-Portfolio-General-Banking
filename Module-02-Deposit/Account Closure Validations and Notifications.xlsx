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<sst xmlns="http://schemas.openxmlformats.org/spreadsheetml/2006/main" count="298" uniqueCount="199">
  <si>
    <t>Product Name</t>
  </si>
  <si>
    <t>ABABIL NG</t>
  </si>
  <si>
    <t>TC Start Date</t>
  </si>
  <si>
    <t>23-10-2025</t>
  </si>
  <si>
    <t>TC Execution Start Date</t>
  </si>
  <si>
    <t>TEST CASE STATUS</t>
  </si>
  <si>
    <t>Severity</t>
  </si>
  <si>
    <t>Priority</t>
  </si>
  <si>
    <t>Event Name</t>
  </si>
  <si>
    <t>TC End Date</t>
  </si>
  <si>
    <t>26-10-2025</t>
  </si>
  <si>
    <t>TC Execution End Date</t>
  </si>
  <si>
    <t>PASS</t>
  </si>
  <si>
    <t>Critical</t>
  </si>
  <si>
    <t>High</t>
  </si>
  <si>
    <t>Para Form Name</t>
  </si>
  <si>
    <t>Enhanced MTDR and SSP Account Closure Validations and Notifications</t>
  </si>
  <si>
    <t>Test Case Developed By</t>
  </si>
  <si>
    <t>Jannat</t>
  </si>
  <si>
    <t>FAIL</t>
  </si>
  <si>
    <t>Medium</t>
  </si>
  <si>
    <t>Developer Name (TL)</t>
  </si>
  <si>
    <t>Test Case Reviewed By</t>
  </si>
  <si>
    <t>Mahbub Hossain</t>
  </si>
  <si>
    <t>NT</t>
  </si>
  <si>
    <t>Low</t>
  </si>
  <si>
    <t>Test Executed by</t>
  </si>
  <si>
    <t>MITS ID</t>
  </si>
  <si>
    <t>TOTAL</t>
  </si>
  <si>
    <t>Issue Accepted</t>
  </si>
  <si>
    <t>Req ID</t>
  </si>
  <si>
    <t>Requirement Description</t>
  </si>
  <si>
    <t>TC ID</t>
  </si>
  <si>
    <t>Test Case Description</t>
  </si>
  <si>
    <t>Category</t>
  </si>
  <si>
    <t>Test Steps</t>
  </si>
  <si>
    <t>Test Data</t>
  </si>
  <si>
    <t>Expected Result</t>
  </si>
  <si>
    <t>Actual Result</t>
  </si>
  <si>
    <t>QA Status</t>
  </si>
  <si>
    <t>Tested By</t>
  </si>
  <si>
    <t>QA Remarks</t>
  </si>
  <si>
    <t>Dev Status</t>
  </si>
  <si>
    <t>Developed By</t>
  </si>
  <si>
    <t>Dev Remarks</t>
  </si>
  <si>
    <t>Updated QA Status</t>
  </si>
  <si>
    <t>Update QA Remarks</t>
  </si>
  <si>
    <t>Req_Id_001</t>
  </si>
  <si>
    <t>Enhanced MTDR and SSP Closure Validations and Notifications</t>
  </si>
  <si>
    <t>TC_01</t>
  </si>
  <si>
    <r>
      <rPr>
        <rFont val="Source Sans Pro"/>
        <color theme="1"/>
      </rPr>
      <t xml:space="preserve">Verify if new </t>
    </r>
    <r>
      <rPr>
        <rFont val="Source Sans Pro"/>
        <b/>
        <color rgb="FF9900FF"/>
      </rPr>
      <t xml:space="preserve">MTDR </t>
    </r>
    <r>
      <rPr>
        <rFont val="Source Sans Pro"/>
        <color theme="1"/>
      </rPr>
      <t>account with 0 transactions can be closed</t>
    </r>
  </si>
  <si>
    <t>UI</t>
  </si>
  <si>
    <t>1. Open new MTDR account
2. Attempt closure</t>
  </si>
  <si>
    <t>1. Account Number: 0021110000029           2. Account Balance = 0</t>
  </si>
  <si>
    <t>Closure eligible; eligibleForClose = TRUE</t>
  </si>
  <si>
    <t>Error!
Fixed deposit account not found.This account cannot be closed</t>
  </si>
  <si>
    <t>https://prnt.sc/c3X5ZOjRskJ7</t>
  </si>
  <si>
    <r>
      <rPr>
        <rFont val="Source Sans Pro"/>
        <color rgb="FF1155CC"/>
        <u/>
      </rPr>
      <t>https://prnt.sc/fURNLc6ffmEO</t>
    </r>
    <r>
      <rPr>
        <rFont val="Source Sans Pro"/>
      </rPr>
      <t xml:space="preserve">             </t>
    </r>
    <r>
      <rPr>
        <rFont val="Source Sans Pro"/>
        <color rgb="FF1155CC"/>
        <u/>
      </rPr>
      <t>https://prnt.sc/_E3qc_gjSIo-</t>
    </r>
    <r>
      <rPr>
        <rFont val="Source Sans Pro"/>
      </rPr>
      <t xml:space="preserve">      After charge is settled to 0, the account is closed successfully   </t>
    </r>
    <r>
      <rPr>
        <rFont val="Source Sans Pro"/>
        <color rgb="FF1155CC"/>
        <u/>
      </rPr>
      <t>https://prnt.sc/cybLemUU41mG</t>
    </r>
    <r>
      <rPr>
        <rFont val="Source Sans Pro"/>
      </rPr>
      <t xml:space="preserve">       </t>
    </r>
    <r>
      <rPr>
        <rFont val="Source Sans Pro"/>
        <color rgb="FF1155CC"/>
        <u/>
      </rPr>
      <t>https://prnt.sc/jgTHXqtUGuAq</t>
    </r>
  </si>
  <si>
    <t>TC_02</t>
  </si>
  <si>
    <t>Verify closure after first transaction</t>
  </si>
  <si>
    <t>1. Open new MTDR account  
2. Perform first transaction
3. Attempt closure</t>
  </si>
  <si>
    <t>1. Account Number: 0021110000037       2. Account Balance  = 10000</t>
  </si>
  <si>
    <t>Closure eligible if all validations pass; eligibleForClose = TRUE</t>
  </si>
  <si>
    <t>This account is eligible for closure; Fixed deposit account closed successfully. Voucher no: 240403140361</t>
  </si>
  <si>
    <t>https://prnt.sc/LYB8s-p2A2_t</t>
  </si>
  <si>
    <t>https://prnt.sc/Vc10tKvEQAFN</t>
  </si>
  <si>
    <t>TC_03</t>
  </si>
  <si>
    <t>Verify closure rejected for CLOSED account</t>
  </si>
  <si>
    <t>1. Select MTDR account  with status CLOSED
2. Attempt account closure</t>
  </si>
  <si>
    <t xml:space="preserve">CLOSED Account number: 0021110000037       </t>
  </si>
  <si>
    <t>Closure rejected; shows: “Account is already close</t>
  </si>
  <si>
    <t>Account Status: Closed; Close button not visible; Reactivate button shown</t>
  </si>
  <si>
    <t>https://prnt.sc/Aiv0xOr6go3j</t>
  </si>
  <si>
    <t>https://prnt.sc/AaiAe_zCtepb</t>
  </si>
  <si>
    <t>TC_04</t>
  </si>
  <si>
    <t>Verify that a CLOSED account can be reactivated successfully</t>
  </si>
  <si>
    <t>1. Select MTDR account with status CLOSED
2. Click Reactivate button
3. Confirm reactivation</t>
  </si>
  <si>
    <t xml:space="preserve">CLOSED Account number: 0021110000037   </t>
  </si>
  <si>
    <t>Account status changes to ACTIVATED; account is now eligible for closure</t>
  </si>
  <si>
    <t>Fixed deposit account reactivated successfully</t>
  </si>
  <si>
    <t>https://prnt.sc/_aNr-ARIfjjq</t>
  </si>
  <si>
    <t>https://prnt.sc/oCS9nkHG8TbW</t>
  </si>
  <si>
    <t>TC_05</t>
  </si>
  <si>
    <t>Verify closure rejected for non-activated account</t>
  </si>
  <si>
    <t>1. Select MTDR account not in ACTIVATED status
2. Attempt closure</t>
  </si>
  <si>
    <t>INACTIVE Account number: 0021110000045</t>
  </si>
  <si>
    <t>Closure rejected; shows: “Account status is not activated.”</t>
  </si>
  <si>
    <t>Account closing exception details show: “Account status is not activated</t>
  </si>
  <si>
    <t>https://prnt.sc/_lay9DnqzvcP</t>
  </si>
  <si>
    <t>https://prnt.sc/QS1i-1iHw_tr</t>
  </si>
  <si>
    <t>TC_06</t>
  </si>
  <si>
    <t>Verify closure blocked if account is frozen</t>
  </si>
  <si>
    <t>1. Select frozen MTDR account
2. Attempt closure</t>
  </si>
  <si>
    <t>Freeze flag = TRUE</t>
  </si>
  <si>
    <t>Closure rejected; shows: “Account is frozen.”</t>
  </si>
  <si>
    <t>Account closing exception details display:
“Freeze status validation: Account is frozen</t>
  </si>
  <si>
    <t>https://prnt.sc/8JNNxKQlO2qF</t>
  </si>
  <si>
    <r>
      <rPr>
        <rFont val="Source Sans Pro"/>
        <color rgb="FF1155CC"/>
        <u/>
      </rPr>
      <t>https://prnt.sc/R0t_sQr76KkK</t>
    </r>
    <r>
      <rPr>
        <rFont val="Source Sans Pro"/>
      </rPr>
      <t xml:space="preserve">         </t>
    </r>
    <r>
      <rPr>
        <rFont val="Source Sans Pro"/>
        <color rgb="FF1155CC"/>
        <u/>
      </rPr>
      <t>https://prnt.sc/cSPhhctkD_0O</t>
    </r>
    <r>
      <rPr>
        <rFont val="Source Sans Pro"/>
      </rPr>
      <t xml:space="preserve">    </t>
    </r>
    <r>
      <rPr>
        <rFont val="Source Sans Pro"/>
        <color rgb="FF1155CC"/>
        <u/>
      </rPr>
      <t>https://prnt.sc/SZtjFL9o28bh</t>
    </r>
  </si>
  <si>
    <t>TC_07</t>
  </si>
  <si>
    <t>Verify closure blocked if lien amount &gt; 0</t>
  </si>
  <si>
    <t>1. Select MTDR account with lien amount &gt; 0
2. Attempt closure</t>
  </si>
  <si>
    <t>1. Account no: 0021110000045              2. Lien percentage = 100</t>
  </si>
  <si>
    <t>Closure rejected; shows: “Lien amount found in this account.</t>
  </si>
  <si>
    <t>System displays in exception details: “Invalid",  lien amount found in this account.</t>
  </si>
  <si>
    <r>
      <rPr>
        <rFont val="Source Sans Pro"/>
        <color rgb="FF1155CC"/>
        <u/>
      </rPr>
      <t>https://prnt.sc/kmyWmKXXwMXW</t>
    </r>
    <r>
      <rPr>
        <rFont val="Source Sans Pro"/>
      </rPr>
      <t xml:space="preserve">          </t>
    </r>
    <r>
      <rPr>
        <rFont val="Source Sans Pro"/>
        <color rgb="FF1155CC"/>
        <u/>
      </rPr>
      <t>https://prnt.sc/jfow68eCkR2t</t>
    </r>
  </si>
  <si>
    <t>https://prnt.sc/lx7uDBZfZsdH</t>
  </si>
  <si>
    <t>TC_08</t>
  </si>
  <si>
    <t>Verify closure blocked if quard amount &gt; 0</t>
  </si>
  <si>
    <t>1. Select MTDR account with quard amount &gt; 0
2. Attempt closure</t>
  </si>
  <si>
    <t>1. Account no: 0021110000037                       2. Quard percentage = 100</t>
  </si>
  <si>
    <t>Closure rejected; shows: “Quard amount found in this account.”</t>
  </si>
  <si>
    <t>System displays in exception details: “Invalid",  Quard amount found in this account.</t>
  </si>
  <si>
    <t>https://prnt.sc/taiyJP8HhGqu</t>
  </si>
  <si>
    <t>https://prnt.sc/c0TkddfZgec-</t>
  </si>
  <si>
    <t>TC_09</t>
  </si>
  <si>
    <t>Branch Validation: Verify closure blocked if account branch ≠ user branch ( Configuration value  = False)</t>
  </si>
  <si>
    <t>1. User from branch A selects account from branch B
2. Attempt closure</t>
  </si>
  <si>
    <t>1. Account  no: 0034020000013 (branch: 3)                                                 2. User branch: 2</t>
  </si>
  <si>
    <t>Closure rejected; shows: “Cannot close account from different branch.</t>
  </si>
  <si>
    <t>Close option not shown</t>
  </si>
  <si>
    <t>https://prnt.sc/T8WqQ8dv8qTl</t>
  </si>
  <si>
    <t>https://prnt.sc/YVgTLcEEuJa2</t>
  </si>
  <si>
    <t>TC_10</t>
  </si>
  <si>
    <t>Branch Validation: Verify closure blocked if account branch ≠ user branch ( Configuration value  = True)</t>
  </si>
  <si>
    <t>1. Account  no: 0034020000013 (branch: 3)                                             2. User branch: 2</t>
  </si>
  <si>
    <t>System displays in exception details: “Invalid",  Cannot close account from different branch.</t>
  </si>
  <si>
    <t>https://prnt.sc/9BzbFwo4zEMO</t>
  </si>
  <si>
    <t>https://prnt.sc/USRn9zwkPKSZ</t>
  </si>
  <si>
    <t>TC_11</t>
  </si>
  <si>
    <t>Verify system blocks closure when a CLOSED account ID is entered manually</t>
  </si>
  <si>
    <t>1. Attempt to open account closure screen
2. Manually input an account number that is already CLOSED (or replace an active account ID with a closed one)</t>
  </si>
  <si>
    <t>Account No (Closed): 0021110000052</t>
  </si>
  <si>
    <t>System displays error popup: “Account is closed</t>
  </si>
  <si>
    <t>Error! 	
0021110000052 Account is closed. Exception log no :2621438</t>
  </si>
  <si>
    <t>https://prnt.sc/rfhdx-FJrECb</t>
  </si>
  <si>
    <t>https://prnt.sc/VK92vjnKfcew</t>
  </si>
  <si>
    <t>TC_12</t>
  </si>
  <si>
    <r>
      <rPr>
        <rFont val="Source Sans Pro"/>
        <color theme="1"/>
      </rPr>
      <t xml:space="preserve">Verify if new </t>
    </r>
    <r>
      <rPr>
        <rFont val="Source Sans Pro"/>
        <b/>
        <color rgb="FFBF9000"/>
      </rPr>
      <t>SSP</t>
    </r>
    <r>
      <rPr>
        <rFont val="Source Sans Pro"/>
        <b/>
        <color rgb="FF46BDC6"/>
      </rPr>
      <t xml:space="preserve"> </t>
    </r>
    <r>
      <rPr>
        <rFont val="Source Sans Pro"/>
        <color theme="1"/>
      </rPr>
      <t>account with 0 transactions can be closed</t>
    </r>
  </si>
  <si>
    <t>1. Open new SSP account
2. Attempt closure</t>
  </si>
  <si>
    <t>1. Account no: 0022220000016                   2. Account Balance  = 0</t>
  </si>
  <si>
    <t>Error!
Recurring deposit account not found.This account cannot be closed</t>
  </si>
  <si>
    <t>https://prnt.sc/CXyx4VvsSBNu</t>
  </si>
  <si>
    <r>
      <rPr>
        <rFont val="Source Sans Pro"/>
        <color rgb="FF1155CC"/>
        <u/>
      </rPr>
      <t>https://prnt.sc/EV4wdCG-8BRD</t>
    </r>
    <r>
      <rPr>
        <rFont val="Source Sans Pro"/>
      </rPr>
      <t xml:space="preserve">       </t>
    </r>
    <r>
      <rPr>
        <rFont val="Source Sans Pro"/>
        <color rgb="FF1155CC"/>
        <u/>
      </rPr>
      <t>https://prnt.sc/mYpbvYMOqvRk</t>
    </r>
    <r>
      <rPr>
        <rFont val="Source Sans Pro"/>
      </rPr>
      <t xml:space="preserve">    After charge is settled to 0, the account is closed successfully        </t>
    </r>
    <r>
      <rPr>
        <rFont val="Source Sans Pro"/>
        <color rgb="FF1155CC"/>
        <u/>
      </rPr>
      <t>https://prnt.sc/cZJTHgqjUbcA</t>
    </r>
  </si>
  <si>
    <t>TC_13</t>
  </si>
  <si>
    <t>1. Open new SSP account
2. Perform first transaction
3. Attempt closure</t>
  </si>
  <si>
    <t>1. Account no: 0022220000032                  2. Account Balance = 2500</t>
  </si>
  <si>
    <t>Recuring deposit account closed successfully. Voucher no: 240403140386</t>
  </si>
  <si>
    <t>https://prnt.sc/KbbneClhx5-I</t>
  </si>
  <si>
    <t>https://prnt.sc/ch1RZqq8vllh</t>
  </si>
  <si>
    <t>TC_14</t>
  </si>
  <si>
    <t>1. Select SSP account with status CLOSED
2. Attempt account closure</t>
  </si>
  <si>
    <t xml:space="preserve">CLOSED Account number: 0022220000032   </t>
  </si>
  <si>
    <t>Closure rejected; shows: “Account is already closed.”</t>
  </si>
  <si>
    <t>https://prnt.sc/Hz3TBTV6UrmD</t>
  </si>
  <si>
    <t>https://prnt.sc/a58xyE-NsmBt</t>
  </si>
  <si>
    <t>TC_15</t>
  </si>
  <si>
    <t>1. Select SSP account with status CLOSED
2. Click Reactivate button
3. Confirm reactivation</t>
  </si>
  <si>
    <t>Recurring deposit account reactivated successfully</t>
  </si>
  <si>
    <t>https://prnt.sc/wxyqEZV0iN5B</t>
  </si>
  <si>
    <t>https://prnt.sc/CgKUAdh1BKDS</t>
  </si>
  <si>
    <t>TC_16</t>
  </si>
  <si>
    <t>1. Select SSP account not in ACTIVATED status
2. Attempt closure</t>
  </si>
  <si>
    <t>Account status = INACTIVE</t>
  </si>
  <si>
    <t>https://prnt.sc/G7PUElAw8BDN</t>
  </si>
  <si>
    <t>https://prnt.sc/NhlQKrZwGwUE</t>
  </si>
  <si>
    <t>TC_17</t>
  </si>
  <si>
    <t>1. Select frozen SSP account
2. Attempt closure</t>
  </si>
  <si>
    <t>1. Account no: 0022220000049 ; Freeze flag = TRUE</t>
  </si>
  <si>
    <t>Account closing exception details display:
“Freeze status validation: Account is frozen"</t>
  </si>
  <si>
    <t>https://prnt.sc/I0MVblWSd-E1</t>
  </si>
  <si>
    <r>
      <rPr>
        <rFont val="Source Sans Pro"/>
        <color rgb="FF1155CC"/>
        <u/>
      </rPr>
      <t>https://prnt.sc/CeNmvmDkUcKU</t>
    </r>
    <r>
      <rPr>
        <rFont val="Source Sans Pro"/>
        <color rgb="FF000000"/>
      </rPr>
      <t xml:space="preserve">        </t>
    </r>
    <r>
      <rPr>
        <rFont val="Source Sans Pro"/>
        <color rgb="FF1155CC"/>
        <u/>
      </rPr>
      <t>https://prnt.sc/pHweUCA12zaq</t>
    </r>
  </si>
  <si>
    <t>TC_18</t>
  </si>
  <si>
    <t>Verify closure blocked if branch mismatch ( Configuration value  = False)</t>
  </si>
  <si>
    <t>Account branch ≠ User branch</t>
  </si>
  <si>
    <t>Closure rejected; shows: “Cannot close account from different branch.”</t>
  </si>
  <si>
    <t>https://prnt.sc/Gpw0QWp7dSzf</t>
  </si>
  <si>
    <t>https://prnt.sc/30iysrse4AcV</t>
  </si>
  <si>
    <t>TC_19</t>
  </si>
  <si>
    <t>Verify closure blocked if branch mismatch ( Configuration value  =True)</t>
  </si>
  <si>
    <t>1. Account  no: 0022220000032 (branch: 2)                                               2. User branch: 3</t>
  </si>
  <si>
    <t>https://prnt.sc/0Q_ChcsRChub</t>
  </si>
  <si>
    <t>https://prnt.sc/kkXRRyw8lPkM</t>
  </si>
  <si>
    <t>TC_20</t>
  </si>
  <si>
    <t>1. Select SSP account with lien amount &gt; 0
2. Attempt closure</t>
  </si>
  <si>
    <t>Lien percentage = 100</t>
  </si>
  <si>
    <r>
      <rPr>
        <rFont val="Source Sans Pro"/>
        <color rgb="FF1155CC"/>
        <u/>
      </rPr>
      <t>https://prnt.sc/mseMiu__ONs_</t>
    </r>
    <r>
      <rPr>
        <rFont val="Source Sans Pro"/>
        <color rgb="FF777777"/>
      </rPr>
      <t xml:space="preserve">       </t>
    </r>
    <r>
      <rPr>
        <rFont val="Source Sans Pro"/>
        <color rgb="FF1155CC"/>
        <u/>
      </rPr>
      <t>https://prnt.sc/smgO3KxiVK8F</t>
    </r>
  </si>
  <si>
    <r>
      <rPr>
        <rFont val="Source Sans Pro"/>
        <color rgb="FF1155CC"/>
        <u/>
      </rPr>
      <t>https://prnt.sc/kHETHzPNjmkP</t>
    </r>
    <r>
      <rPr>
        <rFont val="Source Sans Pro"/>
        <color rgb="FF000000"/>
      </rPr>
      <t xml:space="preserve">    </t>
    </r>
    <r>
      <rPr>
        <rFont val="Source Sans Pro"/>
        <color rgb="FF1155CC"/>
        <u/>
      </rPr>
      <t>https://prnt.sc/SohpSUmEKtjP</t>
    </r>
  </si>
  <si>
    <t>TC_21</t>
  </si>
  <si>
    <t>Account No (Closed): 0022220000024</t>
  </si>
  <si>
    <t>Error!
0022220000024 Account is closed. Exception log no :2621440</t>
  </si>
  <si>
    <t>https://prnt.sc/JSWW43P3LNka</t>
  </si>
  <si>
    <t>https://prnt.sc/j1GHZ8hfpTJI</t>
  </si>
  <si>
    <t>TC_22</t>
  </si>
  <si>
    <t>Verify closure eligibility when Auto Standing Instruction is selected automatically</t>
  </si>
  <si>
    <t>1. Select account with Auto Standing Instruction selected automatically.
2. Attempt to close the account.
3. Observe system response</t>
  </si>
  <si>
    <t>Account No: 0027770000076</t>
  </si>
  <si>
    <t>Account closed successfully.</t>
  </si>
  <si>
    <t>As per validation, account closed successfully after checking SI configuration</t>
  </si>
  <si>
    <r>
      <rPr>
        <rFont val="Source Sans Pro"/>
        <color rgb="FF1155CC"/>
        <u/>
      </rPr>
      <t>https://prnt.sc/PLsOsjKP69Xa</t>
    </r>
    <r>
      <rPr>
        <rFont val="Source Sans Pro"/>
      </rPr>
      <t xml:space="preserve">             </t>
    </r>
    <r>
      <rPr>
        <rFont val="Source Sans Pro"/>
        <color rgb="FF1155CC"/>
        <u/>
      </rPr>
      <t>https://prnt.sc/z74M19clvNnp</t>
    </r>
    <r>
      <rPr>
        <rFont val="Source Sans Pro"/>
      </rPr>
      <t xml:space="preserve">    </t>
    </r>
    <r>
      <rPr>
        <rFont val="Source Sans Pro"/>
        <color rgb="FF1155CC"/>
        <u/>
      </rPr>
      <t>https://prnt.sc/P185YFzGSIJy</t>
    </r>
    <r>
      <rPr>
        <rFont val="Source Sans Pro"/>
      </rPr>
      <t xml:space="preserve">  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</si>
</sst>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color theme="1"/>
      <name val="Source Sans Pro"/>
    </font>
    <font/>
    <font>
      <color theme="1"/>
      <name val="Source Sans Pro"/>
    </font>
    <font>
      <color theme="1"/>
      <name val="Arial"/>
    </font>
    <font>
      <u/>
      <color rgb="FF1155CC"/>
      <name val="Source Sans Pro"/>
    </font>
    <font>
      <u/>
      <color rgb="FF0000FF"/>
      <name val="Source Sans Pro"/>
    </font>
  </fonts>
  <fills count="1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0" fontId="3" numFmtId="164" xfId="0" applyAlignment="1" applyBorder="1" applyFont="1" applyNumberFormat="1">
      <alignment horizontal="center" shrinkToFit="0" vertical="center" wrapText="1"/>
    </xf>
    <xf borderId="3" fillId="2" fontId="1" numFmtId="164" xfId="0" applyAlignment="1" applyBorder="1" applyFont="1" applyNumberFormat="1">
      <alignment horizontal="center" shrinkToFit="0" vertical="center" wrapText="1"/>
    </xf>
    <xf borderId="3" fillId="0" fontId="4" numFmtId="164" xfId="0" applyAlignment="1" applyBorder="1" applyFont="1" applyNumberFormat="1">
      <alignment shrinkToFit="0" vertical="center" wrapText="1"/>
    </xf>
    <xf borderId="3" fillId="2" fontId="4" numFmtId="164" xfId="0" applyAlignment="1" applyBorder="1" applyFont="1" applyNumberForma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4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3" fillId="5" fontId="1" numFmtId="0" xfId="0" applyAlignment="1" applyBorder="1" applyFill="1" applyFont="1">
      <alignment horizontal="center" shrinkToFit="0" vertical="center" wrapText="1"/>
    </xf>
    <xf borderId="3" fillId="6" fontId="1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ont="1">
      <alignment shrinkToFit="0" vertical="center" wrapText="1"/>
    </xf>
    <xf borderId="3" fillId="2" fontId="4" numFmtId="0" xfId="0" applyAlignment="1" applyBorder="1" applyFont="1">
      <alignment shrinkToFit="0" vertical="center" wrapText="1"/>
    </xf>
    <xf borderId="3" fillId="4" fontId="4" numFmtId="0" xfId="0" applyAlignment="1" applyBorder="1" applyFont="1">
      <alignment shrinkToFit="0" vertical="center" wrapText="1"/>
    </xf>
    <xf borderId="3" fillId="7" fontId="1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2" fontId="4" numFmtId="0" xfId="0" applyAlignment="1" applyBorder="1" applyFont="1">
      <alignment shrinkToFit="0" vertical="center" wrapText="1"/>
    </xf>
    <xf borderId="3" fillId="8" fontId="1" numFmtId="0" xfId="0" applyAlignment="1" applyBorder="1" applyFill="1" applyFont="1">
      <alignment horizontal="center" shrinkToFit="0" vertical="center" wrapText="1"/>
    </xf>
    <xf borderId="3" fillId="9" fontId="1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3" fillId="10" fontId="1" numFmtId="0" xfId="0" applyAlignment="1" applyBorder="1" applyFill="1" applyFont="1">
      <alignment horizontal="center" shrinkToFit="0" vertical="center" wrapText="1"/>
    </xf>
    <xf borderId="3" fillId="11" fontId="1" numFmtId="0" xfId="0" applyAlignment="1" applyBorder="1" applyFill="1" applyFont="1">
      <alignment horizontal="center" shrinkToFit="0" vertical="center" wrapText="1"/>
    </xf>
    <xf borderId="3" fillId="12" fontId="1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nt.sc/kHETHzPNjmkP" TargetMode="External"/><Relationship Id="rId20" Type="http://schemas.openxmlformats.org/officeDocument/2006/relationships/hyperlink" Target="https://prnt.sc/USRn9zwkPKSZ" TargetMode="External"/><Relationship Id="rId42" Type="http://schemas.openxmlformats.org/officeDocument/2006/relationships/hyperlink" Target="https://prnt.sc/j1GHZ8hfpTJI" TargetMode="External"/><Relationship Id="rId41" Type="http://schemas.openxmlformats.org/officeDocument/2006/relationships/hyperlink" Target="https://prnt.sc/JSWW43P3LNka" TargetMode="External"/><Relationship Id="rId22" Type="http://schemas.openxmlformats.org/officeDocument/2006/relationships/hyperlink" Target="https://prnt.sc/VK92vjnKfcew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prnt.sc/rfhdx-FJrECb" TargetMode="External"/><Relationship Id="rId43" Type="http://schemas.openxmlformats.org/officeDocument/2006/relationships/hyperlink" Target="https://prnt.sc/PLsOsjKP69Xa" TargetMode="External"/><Relationship Id="rId24" Type="http://schemas.openxmlformats.org/officeDocument/2006/relationships/hyperlink" Target="https://prnt.sc/EV4wdCG-8BRD" TargetMode="External"/><Relationship Id="rId23" Type="http://schemas.openxmlformats.org/officeDocument/2006/relationships/hyperlink" Target="https://prnt.sc/CXyx4VvsSBNu" TargetMode="External"/><Relationship Id="rId1" Type="http://schemas.openxmlformats.org/officeDocument/2006/relationships/hyperlink" Target="https://prnt.sc/c3X5ZOjRskJ7" TargetMode="External"/><Relationship Id="rId2" Type="http://schemas.openxmlformats.org/officeDocument/2006/relationships/hyperlink" Target="https://prnt.sc/fURNLc6ffmEO" TargetMode="External"/><Relationship Id="rId3" Type="http://schemas.openxmlformats.org/officeDocument/2006/relationships/hyperlink" Target="https://prnt.sc/LYB8s-p2A2_t" TargetMode="External"/><Relationship Id="rId4" Type="http://schemas.openxmlformats.org/officeDocument/2006/relationships/hyperlink" Target="https://prnt.sc/Vc10tKvEQAFN" TargetMode="External"/><Relationship Id="rId9" Type="http://schemas.openxmlformats.org/officeDocument/2006/relationships/hyperlink" Target="https://prnt.sc/_lay9DnqzvcP" TargetMode="External"/><Relationship Id="rId26" Type="http://schemas.openxmlformats.org/officeDocument/2006/relationships/hyperlink" Target="https://prnt.sc/ch1RZqq8vllh" TargetMode="External"/><Relationship Id="rId25" Type="http://schemas.openxmlformats.org/officeDocument/2006/relationships/hyperlink" Target="https://prnt.sc/KbbneClhx5-I" TargetMode="External"/><Relationship Id="rId28" Type="http://schemas.openxmlformats.org/officeDocument/2006/relationships/hyperlink" Target="https://prnt.sc/a58xyE-NsmBt" TargetMode="External"/><Relationship Id="rId27" Type="http://schemas.openxmlformats.org/officeDocument/2006/relationships/hyperlink" Target="https://prnt.sc/Hz3TBTV6UrmD" TargetMode="External"/><Relationship Id="rId5" Type="http://schemas.openxmlformats.org/officeDocument/2006/relationships/hyperlink" Target="https://prnt.sc/Aiv0xOr6go3j" TargetMode="External"/><Relationship Id="rId6" Type="http://schemas.openxmlformats.org/officeDocument/2006/relationships/hyperlink" Target="https://prnt.sc/AaiAe_zCtepb" TargetMode="External"/><Relationship Id="rId29" Type="http://schemas.openxmlformats.org/officeDocument/2006/relationships/hyperlink" Target="https://prnt.sc/wxyqEZV0iN5B" TargetMode="External"/><Relationship Id="rId7" Type="http://schemas.openxmlformats.org/officeDocument/2006/relationships/hyperlink" Target="https://prnt.sc/_aNr-ARIfjjq" TargetMode="External"/><Relationship Id="rId8" Type="http://schemas.openxmlformats.org/officeDocument/2006/relationships/hyperlink" Target="https://prnt.sc/oCS9nkHG8TbW" TargetMode="External"/><Relationship Id="rId31" Type="http://schemas.openxmlformats.org/officeDocument/2006/relationships/hyperlink" Target="https://prnt.sc/G7PUElAw8BDN" TargetMode="External"/><Relationship Id="rId30" Type="http://schemas.openxmlformats.org/officeDocument/2006/relationships/hyperlink" Target="https://prnt.sc/CgKUAdh1BKDS" TargetMode="External"/><Relationship Id="rId11" Type="http://schemas.openxmlformats.org/officeDocument/2006/relationships/hyperlink" Target="https://prnt.sc/8JNNxKQlO2qF" TargetMode="External"/><Relationship Id="rId33" Type="http://schemas.openxmlformats.org/officeDocument/2006/relationships/hyperlink" Target="https://prnt.sc/I0MVblWSd-E1" TargetMode="External"/><Relationship Id="rId10" Type="http://schemas.openxmlformats.org/officeDocument/2006/relationships/hyperlink" Target="https://prnt.sc/QS1i-1iHw_tr" TargetMode="External"/><Relationship Id="rId32" Type="http://schemas.openxmlformats.org/officeDocument/2006/relationships/hyperlink" Target="https://prnt.sc/NhlQKrZwGwUE" TargetMode="External"/><Relationship Id="rId13" Type="http://schemas.openxmlformats.org/officeDocument/2006/relationships/hyperlink" Target="https://prnt.sc/kmyWmKXXwMXW" TargetMode="External"/><Relationship Id="rId35" Type="http://schemas.openxmlformats.org/officeDocument/2006/relationships/hyperlink" Target="https://prnt.sc/Gpw0QWp7dSzf" TargetMode="External"/><Relationship Id="rId12" Type="http://schemas.openxmlformats.org/officeDocument/2006/relationships/hyperlink" Target="https://prnt.sc/R0t_sQr76KkK" TargetMode="External"/><Relationship Id="rId34" Type="http://schemas.openxmlformats.org/officeDocument/2006/relationships/hyperlink" Target="https://prnt.sc/CeNmvmDkUcKU" TargetMode="External"/><Relationship Id="rId15" Type="http://schemas.openxmlformats.org/officeDocument/2006/relationships/hyperlink" Target="https://prnt.sc/taiyJP8HhGqu" TargetMode="External"/><Relationship Id="rId37" Type="http://schemas.openxmlformats.org/officeDocument/2006/relationships/hyperlink" Target="https://prnt.sc/0Q_ChcsRChub" TargetMode="External"/><Relationship Id="rId14" Type="http://schemas.openxmlformats.org/officeDocument/2006/relationships/hyperlink" Target="https://prnt.sc/lx7uDBZfZsdH" TargetMode="External"/><Relationship Id="rId36" Type="http://schemas.openxmlformats.org/officeDocument/2006/relationships/hyperlink" Target="https://prnt.sc/30iysrse4AcV" TargetMode="External"/><Relationship Id="rId17" Type="http://schemas.openxmlformats.org/officeDocument/2006/relationships/hyperlink" Target="https://prnt.sc/T8WqQ8dv8qTl" TargetMode="External"/><Relationship Id="rId39" Type="http://schemas.openxmlformats.org/officeDocument/2006/relationships/hyperlink" Target="https://prnt.sc/mseMiu__ONs_" TargetMode="External"/><Relationship Id="rId16" Type="http://schemas.openxmlformats.org/officeDocument/2006/relationships/hyperlink" Target="https://prnt.sc/c0TkddfZgec-" TargetMode="External"/><Relationship Id="rId38" Type="http://schemas.openxmlformats.org/officeDocument/2006/relationships/hyperlink" Target="https://prnt.sc/kkXRRyw8lPkM" TargetMode="External"/><Relationship Id="rId19" Type="http://schemas.openxmlformats.org/officeDocument/2006/relationships/hyperlink" Target="https://prnt.sc/9BzbFwo4zEMO" TargetMode="External"/><Relationship Id="rId18" Type="http://schemas.openxmlformats.org/officeDocument/2006/relationships/hyperlink" Target="https://prnt.sc/YVgTLcEEuJ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14.13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G1" s="7"/>
      <c r="H1" s="8"/>
      <c r="I1" s="9"/>
      <c r="J1" s="1" t="s">
        <v>5</v>
      </c>
      <c r="K1" s="10"/>
      <c r="L1" s="11" t="s">
        <v>6</v>
      </c>
      <c r="M1" s="2"/>
      <c r="N1" s="1" t="s">
        <v>7</v>
      </c>
      <c r="O1" s="2"/>
      <c r="P1" s="12"/>
      <c r="Q1" s="2"/>
      <c r="R1" s="9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>
      <c r="A2" s="1" t="s">
        <v>8</v>
      </c>
      <c r="B2" s="2"/>
      <c r="C2" s="9"/>
      <c r="D2" s="4" t="s">
        <v>9</v>
      </c>
      <c r="E2" s="5" t="s">
        <v>10</v>
      </c>
      <c r="F2" s="6" t="s">
        <v>11</v>
      </c>
      <c r="G2" s="7"/>
      <c r="H2" s="8"/>
      <c r="I2" s="9"/>
      <c r="J2" s="14" t="s">
        <v>12</v>
      </c>
      <c r="K2" s="15">
        <f>COUNTIF(J7:J1004, "PASS")</f>
        <v>19</v>
      </c>
      <c r="L2" s="16" t="s">
        <v>13</v>
      </c>
      <c r="M2" s="15">
        <f>COUNTIF(L7:L1004, "Critical")</f>
        <v>2</v>
      </c>
      <c r="N2" s="17" t="s">
        <v>14</v>
      </c>
      <c r="O2" s="15">
        <f>COUNTIF(M6:M1003, "High")</f>
        <v>2</v>
      </c>
      <c r="P2" s="12"/>
      <c r="Q2" s="2"/>
      <c r="R2" s="9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>
      <c r="A3" s="1" t="s">
        <v>15</v>
      </c>
      <c r="B3" s="2"/>
      <c r="C3" s="18" t="s">
        <v>16</v>
      </c>
      <c r="D3" s="4" t="s">
        <v>17</v>
      </c>
      <c r="E3" s="3" t="s">
        <v>18</v>
      </c>
      <c r="F3" s="19"/>
      <c r="G3" s="9"/>
      <c r="H3" s="19"/>
      <c r="I3" s="9"/>
      <c r="J3" s="16" t="s">
        <v>19</v>
      </c>
      <c r="K3" s="15">
        <f>COUNTIF(J7:J1004, "FAIL")</f>
        <v>2</v>
      </c>
      <c r="L3" s="17" t="s">
        <v>14</v>
      </c>
      <c r="M3" s="20"/>
      <c r="N3" s="21" t="s">
        <v>20</v>
      </c>
      <c r="O3" s="15">
        <f>COUNTIF(M6:M1003, "Medium")</f>
        <v>0</v>
      </c>
      <c r="P3" s="12"/>
      <c r="Q3" s="2"/>
      <c r="R3" s="9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" t="s">
        <v>21</v>
      </c>
      <c r="B4" s="2"/>
      <c r="C4" s="20"/>
      <c r="D4" s="4" t="s">
        <v>22</v>
      </c>
      <c r="E4" s="22" t="s">
        <v>23</v>
      </c>
      <c r="F4" s="23"/>
      <c r="G4" s="9"/>
      <c r="H4" s="19"/>
      <c r="I4" s="9"/>
      <c r="J4" s="24" t="s">
        <v>24</v>
      </c>
      <c r="K4" s="15">
        <f>COUNTIF(J7:J1004, "NT")</f>
        <v>0</v>
      </c>
      <c r="L4" s="21" t="s">
        <v>20</v>
      </c>
      <c r="M4" s="15">
        <f>COUNTIF(L7:L1004, "Medium")</f>
        <v>0</v>
      </c>
      <c r="N4" s="25" t="s">
        <v>25</v>
      </c>
      <c r="O4" s="15">
        <f>COUNTIF(M6:M1004, "Low")</f>
        <v>0</v>
      </c>
      <c r="P4" s="12"/>
      <c r="Q4" s="2"/>
      <c r="R4" s="9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" t="s">
        <v>26</v>
      </c>
      <c r="B5" s="2"/>
      <c r="C5" s="20"/>
      <c r="D5" s="4" t="s">
        <v>27</v>
      </c>
      <c r="E5" s="26">
        <v>18218.0</v>
      </c>
      <c r="F5" s="19"/>
      <c r="G5" s="9"/>
      <c r="H5" s="19"/>
      <c r="I5" s="9"/>
      <c r="J5" s="27" t="s">
        <v>28</v>
      </c>
      <c r="K5" s="15">
        <f>SUM(K2,K3,K4)</f>
        <v>21</v>
      </c>
      <c r="L5" s="25" t="s">
        <v>25</v>
      </c>
      <c r="M5" s="15">
        <f>COUNTIF(L7:L1005, "Low")</f>
        <v>0</v>
      </c>
      <c r="N5" s="28" t="s">
        <v>29</v>
      </c>
      <c r="O5" s="15">
        <f>COUNTIF(O7:O1004, "Accepted")</f>
        <v>0</v>
      </c>
      <c r="P5" s="12"/>
      <c r="Q5" s="2"/>
      <c r="R5" s="9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29" t="s">
        <v>30</v>
      </c>
      <c r="B6" s="29" t="s">
        <v>31</v>
      </c>
      <c r="C6" s="29" t="s">
        <v>32</v>
      </c>
      <c r="D6" s="29" t="s">
        <v>33</v>
      </c>
      <c r="E6" s="29" t="s">
        <v>34</v>
      </c>
      <c r="F6" s="29" t="s">
        <v>35</v>
      </c>
      <c r="G6" s="29" t="s">
        <v>36</v>
      </c>
      <c r="H6" s="29" t="s">
        <v>37</v>
      </c>
      <c r="I6" s="29" t="s">
        <v>38</v>
      </c>
      <c r="J6" s="30" t="s">
        <v>39</v>
      </c>
      <c r="K6" s="30" t="s">
        <v>40</v>
      </c>
      <c r="L6" s="29" t="s">
        <v>6</v>
      </c>
      <c r="M6" s="29" t="s">
        <v>7</v>
      </c>
      <c r="N6" s="29" t="s">
        <v>41</v>
      </c>
      <c r="O6" s="30" t="s">
        <v>42</v>
      </c>
      <c r="P6" s="30" t="s">
        <v>43</v>
      </c>
      <c r="Q6" s="30" t="s">
        <v>44</v>
      </c>
      <c r="R6" s="30" t="s">
        <v>45</v>
      </c>
      <c r="S6" s="30" t="s">
        <v>46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31" t="s">
        <v>47</v>
      </c>
      <c r="B7" s="31" t="s">
        <v>48</v>
      </c>
      <c r="C7" s="3" t="s">
        <v>49</v>
      </c>
      <c r="D7" s="32" t="s">
        <v>50</v>
      </c>
      <c r="E7" s="3" t="s">
        <v>51</v>
      </c>
      <c r="F7" s="32" t="s">
        <v>52</v>
      </c>
      <c r="G7" s="32" t="s">
        <v>53</v>
      </c>
      <c r="H7" s="32" t="s">
        <v>54</v>
      </c>
      <c r="I7" s="32" t="s">
        <v>55</v>
      </c>
      <c r="J7" s="16" t="s">
        <v>19</v>
      </c>
      <c r="K7" s="9"/>
      <c r="L7" s="16" t="s">
        <v>13</v>
      </c>
      <c r="M7" s="17" t="s">
        <v>14</v>
      </c>
      <c r="N7" s="26" t="s">
        <v>56</v>
      </c>
      <c r="O7" s="9"/>
      <c r="P7" s="9"/>
      <c r="Q7" s="9"/>
      <c r="R7" s="14" t="s">
        <v>12</v>
      </c>
      <c r="S7" s="33" t="s">
        <v>57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34"/>
      <c r="B8" s="34"/>
      <c r="C8" s="3" t="s">
        <v>58</v>
      </c>
      <c r="D8" s="32" t="s">
        <v>59</v>
      </c>
      <c r="E8" s="3" t="s">
        <v>51</v>
      </c>
      <c r="F8" s="32" t="s">
        <v>60</v>
      </c>
      <c r="G8" s="32" t="s">
        <v>61</v>
      </c>
      <c r="H8" s="32" t="s">
        <v>62</v>
      </c>
      <c r="I8" s="32" t="s">
        <v>63</v>
      </c>
      <c r="J8" s="14" t="s">
        <v>12</v>
      </c>
      <c r="K8" s="9"/>
      <c r="L8" s="9"/>
      <c r="M8" s="9"/>
      <c r="N8" s="26" t="s">
        <v>64</v>
      </c>
      <c r="O8" s="9"/>
      <c r="P8" s="9"/>
      <c r="Q8" s="9"/>
      <c r="R8" s="14" t="s">
        <v>12</v>
      </c>
      <c r="S8" s="26" t="s">
        <v>65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34"/>
      <c r="B9" s="34"/>
      <c r="C9" s="3" t="s">
        <v>66</v>
      </c>
      <c r="D9" s="32" t="s">
        <v>67</v>
      </c>
      <c r="E9" s="3" t="s">
        <v>51</v>
      </c>
      <c r="F9" s="32" t="s">
        <v>68</v>
      </c>
      <c r="G9" s="32" t="s">
        <v>69</v>
      </c>
      <c r="H9" s="32" t="s">
        <v>70</v>
      </c>
      <c r="I9" s="32" t="s">
        <v>71</v>
      </c>
      <c r="J9" s="14" t="s">
        <v>12</v>
      </c>
      <c r="K9" s="9"/>
      <c r="L9" s="9"/>
      <c r="M9" s="9"/>
      <c r="N9" s="26" t="s">
        <v>72</v>
      </c>
      <c r="O9" s="9"/>
      <c r="P9" s="9"/>
      <c r="Q9" s="9"/>
      <c r="R9" s="14" t="s">
        <v>12</v>
      </c>
      <c r="S9" s="26" t="s">
        <v>73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34"/>
      <c r="B10" s="34"/>
      <c r="C10" s="3" t="s">
        <v>74</v>
      </c>
      <c r="D10" s="32" t="s">
        <v>75</v>
      </c>
      <c r="E10" s="3" t="s">
        <v>51</v>
      </c>
      <c r="F10" s="32" t="s">
        <v>76</v>
      </c>
      <c r="G10" s="32" t="s">
        <v>77</v>
      </c>
      <c r="H10" s="32" t="s">
        <v>78</v>
      </c>
      <c r="I10" s="32" t="s">
        <v>79</v>
      </c>
      <c r="J10" s="14" t="s">
        <v>12</v>
      </c>
      <c r="K10" s="9"/>
      <c r="L10" s="9"/>
      <c r="M10" s="9"/>
      <c r="N10" s="26" t="s">
        <v>80</v>
      </c>
      <c r="O10" s="9"/>
      <c r="P10" s="9"/>
      <c r="Q10" s="9"/>
      <c r="R10" s="14" t="s">
        <v>12</v>
      </c>
      <c r="S10" s="26" t="s">
        <v>81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34"/>
      <c r="B11" s="34"/>
      <c r="C11" s="3" t="s">
        <v>82</v>
      </c>
      <c r="D11" s="32" t="s">
        <v>83</v>
      </c>
      <c r="E11" s="3" t="s">
        <v>51</v>
      </c>
      <c r="F11" s="32" t="s">
        <v>84</v>
      </c>
      <c r="G11" s="32" t="s">
        <v>85</v>
      </c>
      <c r="H11" s="32" t="s">
        <v>86</v>
      </c>
      <c r="I11" s="32" t="s">
        <v>87</v>
      </c>
      <c r="J11" s="14" t="s">
        <v>12</v>
      </c>
      <c r="K11" s="9"/>
      <c r="L11" s="9"/>
      <c r="M11" s="9"/>
      <c r="N11" s="26" t="s">
        <v>88</v>
      </c>
      <c r="O11" s="9"/>
      <c r="P11" s="9"/>
      <c r="Q11" s="9"/>
      <c r="R11" s="14" t="s">
        <v>12</v>
      </c>
      <c r="S11" s="26" t="s">
        <v>89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34"/>
      <c r="B12" s="34"/>
      <c r="C12" s="3" t="s">
        <v>90</v>
      </c>
      <c r="D12" s="32" t="s">
        <v>91</v>
      </c>
      <c r="E12" s="3" t="s">
        <v>51</v>
      </c>
      <c r="F12" s="32" t="s">
        <v>92</v>
      </c>
      <c r="G12" s="32" t="s">
        <v>93</v>
      </c>
      <c r="H12" s="32" t="s">
        <v>94</v>
      </c>
      <c r="I12" s="32" t="s">
        <v>95</v>
      </c>
      <c r="J12" s="14" t="s">
        <v>12</v>
      </c>
      <c r="K12" s="9"/>
      <c r="L12" s="9"/>
      <c r="M12" s="9"/>
      <c r="N12" s="26" t="s">
        <v>96</v>
      </c>
      <c r="O12" s="9"/>
      <c r="P12" s="9"/>
      <c r="Q12" s="9"/>
      <c r="R12" s="14" t="s">
        <v>12</v>
      </c>
      <c r="S12" s="33" t="s">
        <v>97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34"/>
      <c r="B13" s="34"/>
      <c r="C13" s="3" t="s">
        <v>98</v>
      </c>
      <c r="D13" s="32" t="s">
        <v>99</v>
      </c>
      <c r="E13" s="3" t="s">
        <v>51</v>
      </c>
      <c r="F13" s="32" t="s">
        <v>100</v>
      </c>
      <c r="G13" s="32" t="s">
        <v>101</v>
      </c>
      <c r="H13" s="32" t="s">
        <v>102</v>
      </c>
      <c r="I13" s="32" t="s">
        <v>103</v>
      </c>
      <c r="J13" s="14" t="s">
        <v>12</v>
      </c>
      <c r="K13" s="9"/>
      <c r="L13" s="9"/>
      <c r="M13" s="9"/>
      <c r="N13" s="33" t="s">
        <v>104</v>
      </c>
      <c r="O13" s="9"/>
      <c r="P13" s="9"/>
      <c r="Q13" s="9"/>
      <c r="R13" s="14" t="s">
        <v>12</v>
      </c>
      <c r="S13" s="26" t="s">
        <v>105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34"/>
      <c r="B14" s="34"/>
      <c r="C14" s="3" t="s">
        <v>106</v>
      </c>
      <c r="D14" s="32" t="s">
        <v>107</v>
      </c>
      <c r="E14" s="3" t="s">
        <v>51</v>
      </c>
      <c r="F14" s="32" t="s">
        <v>108</v>
      </c>
      <c r="G14" s="32" t="s">
        <v>109</v>
      </c>
      <c r="H14" s="32" t="s">
        <v>110</v>
      </c>
      <c r="I14" s="32" t="s">
        <v>111</v>
      </c>
      <c r="J14" s="14" t="s">
        <v>12</v>
      </c>
      <c r="K14" s="9"/>
      <c r="L14" s="9"/>
      <c r="M14" s="9"/>
      <c r="N14" s="26" t="s">
        <v>112</v>
      </c>
      <c r="O14" s="9"/>
      <c r="P14" s="9"/>
      <c r="Q14" s="9"/>
      <c r="R14" s="14" t="s">
        <v>12</v>
      </c>
      <c r="S14" s="26" t="s">
        <v>113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34"/>
      <c r="B15" s="34"/>
      <c r="C15" s="3" t="s">
        <v>114</v>
      </c>
      <c r="D15" s="32" t="s">
        <v>115</v>
      </c>
      <c r="E15" s="3" t="s">
        <v>51</v>
      </c>
      <c r="F15" s="32" t="s">
        <v>116</v>
      </c>
      <c r="G15" s="32" t="s">
        <v>117</v>
      </c>
      <c r="H15" s="32" t="s">
        <v>118</v>
      </c>
      <c r="I15" s="32" t="s">
        <v>119</v>
      </c>
      <c r="J15" s="14" t="s">
        <v>12</v>
      </c>
      <c r="K15" s="9"/>
      <c r="L15" s="9"/>
      <c r="M15" s="9"/>
      <c r="N15" s="26" t="s">
        <v>120</v>
      </c>
      <c r="O15" s="9"/>
      <c r="P15" s="9"/>
      <c r="Q15" s="9"/>
      <c r="R15" s="14" t="s">
        <v>12</v>
      </c>
      <c r="S15" s="26" t="s">
        <v>121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34"/>
      <c r="B16" s="34"/>
      <c r="C16" s="3" t="s">
        <v>122</v>
      </c>
      <c r="D16" s="32" t="s">
        <v>123</v>
      </c>
      <c r="E16" s="3" t="s">
        <v>51</v>
      </c>
      <c r="F16" s="32" t="s">
        <v>116</v>
      </c>
      <c r="G16" s="32" t="s">
        <v>124</v>
      </c>
      <c r="H16" s="32" t="s">
        <v>118</v>
      </c>
      <c r="I16" s="32" t="s">
        <v>125</v>
      </c>
      <c r="J16" s="14" t="s">
        <v>12</v>
      </c>
      <c r="K16" s="9"/>
      <c r="L16" s="9"/>
      <c r="M16" s="9"/>
      <c r="N16" s="26" t="s">
        <v>126</v>
      </c>
      <c r="O16" s="9"/>
      <c r="P16" s="9"/>
      <c r="Q16" s="9"/>
      <c r="R16" s="14" t="s">
        <v>12</v>
      </c>
      <c r="S16" s="26" t="s">
        <v>127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34"/>
      <c r="B17" s="34"/>
      <c r="C17" s="3" t="s">
        <v>128</v>
      </c>
      <c r="D17" s="32" t="s">
        <v>129</v>
      </c>
      <c r="E17" s="3" t="s">
        <v>51</v>
      </c>
      <c r="F17" s="32" t="s">
        <v>130</v>
      </c>
      <c r="G17" s="32" t="s">
        <v>131</v>
      </c>
      <c r="H17" s="32" t="s">
        <v>132</v>
      </c>
      <c r="I17" s="32" t="s">
        <v>133</v>
      </c>
      <c r="J17" s="14" t="s">
        <v>12</v>
      </c>
      <c r="K17" s="9"/>
      <c r="L17" s="9"/>
      <c r="M17" s="9"/>
      <c r="N17" s="26" t="s">
        <v>134</v>
      </c>
      <c r="O17" s="9"/>
      <c r="P17" s="9"/>
      <c r="Q17" s="9"/>
      <c r="R17" s="14" t="s">
        <v>12</v>
      </c>
      <c r="S17" s="26" t="s">
        <v>135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34"/>
      <c r="B18" s="34"/>
      <c r="C18" s="3" t="s">
        <v>136</v>
      </c>
      <c r="D18" s="32" t="s">
        <v>137</v>
      </c>
      <c r="E18" s="3" t="s">
        <v>51</v>
      </c>
      <c r="F18" s="32" t="s">
        <v>138</v>
      </c>
      <c r="G18" s="32" t="s">
        <v>139</v>
      </c>
      <c r="H18" s="32" t="s">
        <v>54</v>
      </c>
      <c r="I18" s="32" t="s">
        <v>140</v>
      </c>
      <c r="J18" s="16" t="s">
        <v>19</v>
      </c>
      <c r="K18" s="9"/>
      <c r="L18" s="16" t="s">
        <v>13</v>
      </c>
      <c r="M18" s="17" t="s">
        <v>14</v>
      </c>
      <c r="N18" s="26" t="s">
        <v>141</v>
      </c>
      <c r="O18" s="9"/>
      <c r="P18" s="9"/>
      <c r="Q18" s="9"/>
      <c r="R18" s="14" t="s">
        <v>12</v>
      </c>
      <c r="S18" s="33" t="s">
        <v>142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34"/>
      <c r="B19" s="34"/>
      <c r="C19" s="3" t="s">
        <v>143</v>
      </c>
      <c r="D19" s="32" t="s">
        <v>59</v>
      </c>
      <c r="E19" s="3" t="s">
        <v>51</v>
      </c>
      <c r="F19" s="32" t="s">
        <v>144</v>
      </c>
      <c r="G19" s="32" t="s">
        <v>145</v>
      </c>
      <c r="H19" s="32" t="s">
        <v>62</v>
      </c>
      <c r="I19" s="32" t="s">
        <v>146</v>
      </c>
      <c r="J19" s="14" t="s">
        <v>12</v>
      </c>
      <c r="K19" s="9"/>
      <c r="L19" s="9"/>
      <c r="M19" s="9"/>
      <c r="N19" s="26" t="s">
        <v>147</v>
      </c>
      <c r="O19" s="9"/>
      <c r="P19" s="9"/>
      <c r="Q19" s="9"/>
      <c r="R19" s="14" t="s">
        <v>12</v>
      </c>
      <c r="S19" s="26" t="s">
        <v>148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34"/>
      <c r="B20" s="34"/>
      <c r="C20" s="3" t="s">
        <v>149</v>
      </c>
      <c r="D20" s="32" t="s">
        <v>67</v>
      </c>
      <c r="E20" s="3" t="s">
        <v>51</v>
      </c>
      <c r="F20" s="32" t="s">
        <v>150</v>
      </c>
      <c r="G20" s="32" t="s">
        <v>151</v>
      </c>
      <c r="H20" s="32" t="s">
        <v>152</v>
      </c>
      <c r="I20" s="32" t="s">
        <v>71</v>
      </c>
      <c r="J20" s="14" t="s">
        <v>12</v>
      </c>
      <c r="K20" s="9"/>
      <c r="L20" s="9"/>
      <c r="M20" s="9"/>
      <c r="N20" s="26" t="s">
        <v>153</v>
      </c>
      <c r="O20" s="9"/>
      <c r="P20" s="9"/>
      <c r="Q20" s="9"/>
      <c r="R20" s="14" t="s">
        <v>12</v>
      </c>
      <c r="S20" s="26" t="s">
        <v>154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34"/>
      <c r="B21" s="34"/>
      <c r="C21" s="3" t="s">
        <v>155</v>
      </c>
      <c r="D21" s="32" t="s">
        <v>75</v>
      </c>
      <c r="E21" s="3" t="s">
        <v>51</v>
      </c>
      <c r="F21" s="32" t="s">
        <v>156</v>
      </c>
      <c r="G21" s="32" t="s">
        <v>151</v>
      </c>
      <c r="H21" s="32" t="s">
        <v>78</v>
      </c>
      <c r="I21" s="32" t="s">
        <v>157</v>
      </c>
      <c r="J21" s="14" t="s">
        <v>12</v>
      </c>
      <c r="K21" s="9"/>
      <c r="L21" s="9"/>
      <c r="M21" s="9"/>
      <c r="N21" s="26" t="s">
        <v>158</v>
      </c>
      <c r="O21" s="9"/>
      <c r="P21" s="9"/>
      <c r="Q21" s="9"/>
      <c r="R21" s="14" t="s">
        <v>12</v>
      </c>
      <c r="S21" s="26" t="s">
        <v>159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34"/>
      <c r="B22" s="34"/>
      <c r="C22" s="3" t="s">
        <v>160</v>
      </c>
      <c r="D22" s="32" t="s">
        <v>83</v>
      </c>
      <c r="E22" s="3" t="s">
        <v>51</v>
      </c>
      <c r="F22" s="32" t="s">
        <v>161</v>
      </c>
      <c r="G22" s="32" t="s">
        <v>162</v>
      </c>
      <c r="H22" s="32" t="s">
        <v>86</v>
      </c>
      <c r="I22" s="32" t="s">
        <v>87</v>
      </c>
      <c r="J22" s="14" t="s">
        <v>12</v>
      </c>
      <c r="K22" s="9"/>
      <c r="L22" s="9"/>
      <c r="M22" s="9"/>
      <c r="N22" s="26" t="s">
        <v>163</v>
      </c>
      <c r="O22" s="9"/>
      <c r="P22" s="9"/>
      <c r="Q22" s="9"/>
      <c r="R22" s="14" t="s">
        <v>12</v>
      </c>
      <c r="S22" s="26" t="s">
        <v>164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34"/>
      <c r="B23" s="34"/>
      <c r="C23" s="3" t="s">
        <v>165</v>
      </c>
      <c r="D23" s="32" t="s">
        <v>91</v>
      </c>
      <c r="E23" s="3" t="s">
        <v>51</v>
      </c>
      <c r="F23" s="32" t="s">
        <v>166</v>
      </c>
      <c r="G23" s="32" t="s">
        <v>167</v>
      </c>
      <c r="H23" s="32" t="s">
        <v>94</v>
      </c>
      <c r="I23" s="32" t="s">
        <v>168</v>
      </c>
      <c r="J23" s="14" t="s">
        <v>12</v>
      </c>
      <c r="K23" s="9"/>
      <c r="L23" s="9"/>
      <c r="M23" s="9"/>
      <c r="N23" s="26" t="s">
        <v>169</v>
      </c>
      <c r="O23" s="9"/>
      <c r="P23" s="9"/>
      <c r="Q23" s="9"/>
      <c r="R23" s="14" t="s">
        <v>12</v>
      </c>
      <c r="S23" s="33" t="s">
        <v>170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34"/>
      <c r="B24" s="34"/>
      <c r="C24" s="3" t="s">
        <v>171</v>
      </c>
      <c r="D24" s="32" t="s">
        <v>172</v>
      </c>
      <c r="E24" s="3" t="s">
        <v>51</v>
      </c>
      <c r="F24" s="32" t="s">
        <v>116</v>
      </c>
      <c r="G24" s="32" t="s">
        <v>173</v>
      </c>
      <c r="H24" s="32" t="s">
        <v>174</v>
      </c>
      <c r="I24" s="32" t="s">
        <v>119</v>
      </c>
      <c r="J24" s="14" t="s">
        <v>12</v>
      </c>
      <c r="K24" s="9"/>
      <c r="L24" s="9"/>
      <c r="M24" s="9"/>
      <c r="N24" s="26" t="s">
        <v>175</v>
      </c>
      <c r="O24" s="9"/>
      <c r="P24" s="9"/>
      <c r="Q24" s="9"/>
      <c r="R24" s="14" t="s">
        <v>12</v>
      </c>
      <c r="S24" s="26" t="s">
        <v>176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34"/>
      <c r="B25" s="34"/>
      <c r="C25" s="3" t="s">
        <v>177</v>
      </c>
      <c r="D25" s="32" t="s">
        <v>178</v>
      </c>
      <c r="E25" s="3" t="s">
        <v>51</v>
      </c>
      <c r="F25" s="32" t="s">
        <v>116</v>
      </c>
      <c r="G25" s="32" t="s">
        <v>179</v>
      </c>
      <c r="H25" s="32" t="s">
        <v>118</v>
      </c>
      <c r="I25" s="32" t="s">
        <v>125</v>
      </c>
      <c r="J25" s="14" t="s">
        <v>12</v>
      </c>
      <c r="K25" s="9"/>
      <c r="L25" s="9"/>
      <c r="M25" s="9"/>
      <c r="N25" s="26" t="s">
        <v>180</v>
      </c>
      <c r="O25" s="9"/>
      <c r="P25" s="9"/>
      <c r="Q25" s="9"/>
      <c r="R25" s="14" t="s">
        <v>12</v>
      </c>
      <c r="S25" s="26" t="s">
        <v>181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34"/>
      <c r="B26" s="34"/>
      <c r="C26" s="3" t="s">
        <v>182</v>
      </c>
      <c r="D26" s="32" t="s">
        <v>99</v>
      </c>
      <c r="E26" s="3" t="s">
        <v>51</v>
      </c>
      <c r="F26" s="32" t="s">
        <v>183</v>
      </c>
      <c r="G26" s="32" t="s">
        <v>184</v>
      </c>
      <c r="H26" s="32" t="s">
        <v>102</v>
      </c>
      <c r="I26" s="32" t="s">
        <v>103</v>
      </c>
      <c r="J26" s="14" t="s">
        <v>12</v>
      </c>
      <c r="K26" s="9"/>
      <c r="L26" s="9"/>
      <c r="M26" s="9"/>
      <c r="N26" s="33" t="s">
        <v>185</v>
      </c>
      <c r="O26" s="9"/>
      <c r="P26" s="9"/>
      <c r="Q26" s="9"/>
      <c r="R26" s="14" t="s">
        <v>12</v>
      </c>
      <c r="S26" s="33" t="s">
        <v>186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34"/>
      <c r="B27" s="34"/>
      <c r="C27" s="3" t="s">
        <v>187</v>
      </c>
      <c r="D27" s="32" t="s">
        <v>129</v>
      </c>
      <c r="E27" s="3" t="s">
        <v>51</v>
      </c>
      <c r="F27" s="32" t="s">
        <v>130</v>
      </c>
      <c r="G27" s="32" t="s">
        <v>188</v>
      </c>
      <c r="H27" s="32" t="s">
        <v>132</v>
      </c>
      <c r="I27" s="32" t="s">
        <v>189</v>
      </c>
      <c r="J27" s="14" t="s">
        <v>12</v>
      </c>
      <c r="K27" s="9"/>
      <c r="L27" s="9"/>
      <c r="M27" s="9"/>
      <c r="N27" s="26" t="s">
        <v>190</v>
      </c>
      <c r="O27" s="9"/>
      <c r="P27" s="9"/>
      <c r="Q27" s="9"/>
      <c r="R27" s="14" t="s">
        <v>12</v>
      </c>
      <c r="S27" s="26" t="s">
        <v>191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35"/>
      <c r="B28" s="35"/>
      <c r="C28" s="3" t="s">
        <v>192</v>
      </c>
      <c r="D28" s="32" t="s">
        <v>193</v>
      </c>
      <c r="E28" s="3" t="s">
        <v>51</v>
      </c>
      <c r="F28" s="32" t="s">
        <v>194</v>
      </c>
      <c r="G28" s="32" t="s">
        <v>195</v>
      </c>
      <c r="H28" s="32" t="s">
        <v>196</v>
      </c>
      <c r="I28" s="32" t="s">
        <v>197</v>
      </c>
      <c r="J28" s="9"/>
      <c r="K28" s="9"/>
      <c r="L28" s="9"/>
      <c r="M28" s="9"/>
      <c r="N28" s="9"/>
      <c r="O28" s="9"/>
      <c r="P28" s="9"/>
      <c r="Q28" s="9"/>
      <c r="R28" s="14" t="s">
        <v>12</v>
      </c>
      <c r="S28" s="33" t="s">
        <v>198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</sheetData>
  <mergeCells count="15">
    <mergeCell ref="P2:Q2"/>
    <mergeCell ref="P3:Q3"/>
    <mergeCell ref="P1:Q1"/>
    <mergeCell ref="P4:Q4"/>
    <mergeCell ref="P5:Q5"/>
    <mergeCell ref="A5:B5"/>
    <mergeCell ref="A7:A28"/>
    <mergeCell ref="B7:B28"/>
    <mergeCell ref="A1:B1"/>
    <mergeCell ref="J1:K1"/>
    <mergeCell ref="L1:M1"/>
    <mergeCell ref="N1:O1"/>
    <mergeCell ref="A2:B2"/>
    <mergeCell ref="A3:B3"/>
    <mergeCell ref="A4:B4"/>
  </mergeCells>
  <dataValidations>
    <dataValidation type="list" allowBlank="1" sqref="M7 L8:L17 M18 L19:L1004">
      <formula1>"Critical,High,Medium,Low"</formula1>
    </dataValidation>
    <dataValidation type="list" allowBlank="1" showErrorMessage="1" sqref="E7:E1008">
      <formula1>"UI,API,PL/SQL,DB"</formula1>
    </dataValidation>
    <dataValidation type="list" allowBlank="1" showErrorMessage="1" sqref="N7 M8:N17 N18 M19:N1002 M1003:M1004">
      <formula1>"High,Medium,Low"</formula1>
    </dataValidation>
    <dataValidation type="list" allowBlank="1" showErrorMessage="1" sqref="O7:P1008">
      <formula1>"Accepted,Rejected"</formula1>
    </dataValidation>
    <dataValidation type="list" allowBlank="1" sqref="J7:K7 K8:K17 J18:K18 K19:K28 S7:S28 J29:K1002 R29:S1002 J1003:J1004 R1003:R1004">
      <formula1>"PASS,FAIL,NT"</formula1>
    </dataValidation>
  </dataValidations>
  <hyperlinks>
    <hyperlink display="18218" location="null!A1" ref="E5"/>
    <hyperlink r:id="rId1" ref="N7"/>
    <hyperlink r:id="rId2" ref="S7"/>
    <hyperlink r:id="rId3" ref="N8"/>
    <hyperlink r:id="rId4" ref="S8"/>
    <hyperlink r:id="rId5" ref="N9"/>
    <hyperlink r:id="rId6" ref="S9"/>
    <hyperlink r:id="rId7" ref="N10"/>
    <hyperlink r:id="rId8" ref="S10"/>
    <hyperlink r:id="rId9" ref="N11"/>
    <hyperlink r:id="rId10" ref="S11"/>
    <hyperlink r:id="rId11" ref="N12"/>
    <hyperlink r:id="rId12" ref="S12"/>
    <hyperlink r:id="rId13" ref="N13"/>
    <hyperlink r:id="rId14" ref="S13"/>
    <hyperlink r:id="rId15" ref="N14"/>
    <hyperlink r:id="rId16" ref="S14"/>
    <hyperlink r:id="rId17" ref="N15"/>
    <hyperlink r:id="rId18" ref="S15"/>
    <hyperlink r:id="rId19" ref="N16"/>
    <hyperlink r:id="rId20" ref="S16"/>
    <hyperlink r:id="rId21" ref="N17"/>
    <hyperlink r:id="rId22" ref="S17"/>
    <hyperlink r:id="rId23" ref="N18"/>
    <hyperlink r:id="rId24" ref="S18"/>
    <hyperlink r:id="rId25" ref="N19"/>
    <hyperlink r:id="rId26" ref="S19"/>
    <hyperlink r:id="rId27" ref="N20"/>
    <hyperlink r:id="rId28" ref="S20"/>
    <hyperlink r:id="rId29" ref="N21"/>
    <hyperlink r:id="rId30" ref="S21"/>
    <hyperlink r:id="rId31" ref="N22"/>
    <hyperlink r:id="rId32" ref="S22"/>
    <hyperlink r:id="rId33" ref="N23"/>
    <hyperlink r:id="rId34" ref="S23"/>
    <hyperlink r:id="rId35" ref="N24"/>
    <hyperlink r:id="rId36" ref="S24"/>
    <hyperlink r:id="rId37" ref="N25"/>
    <hyperlink r:id="rId38" ref="S25"/>
    <hyperlink r:id="rId39" ref="N26"/>
    <hyperlink r:id="rId40" ref="S26"/>
    <hyperlink r:id="rId41" ref="N27"/>
    <hyperlink r:id="rId42" ref="S27"/>
    <hyperlink r:id="rId43" ref="S28"/>
  </hyperlinks>
  <drawing r:id="rId44"/>
</worksheet>
</file>