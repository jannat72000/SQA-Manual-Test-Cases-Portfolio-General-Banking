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sl\Downloads\"/>
    </mc:Choice>
  </mc:AlternateContent>
  <bookViews>
    <workbookView xWindow="0" yWindow="0" windowWidth="20490" windowHeight="72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65" i="1" l="1"/>
  <c r="F166" i="1" s="1"/>
  <c r="D165" i="1"/>
  <c r="E151" i="1"/>
  <c r="D151" i="1"/>
  <c r="F152" i="1" s="1"/>
  <c r="E128" i="1" l="1"/>
  <c r="D128" i="1"/>
  <c r="F129" i="1" s="1"/>
  <c r="E106" i="1"/>
  <c r="D106" i="1"/>
  <c r="F107" i="1" s="1"/>
  <c r="E75" i="1"/>
  <c r="D75" i="1"/>
  <c r="F76" i="1" s="1"/>
  <c r="E56" i="1"/>
  <c r="D56" i="1"/>
  <c r="F57" i="1" s="1"/>
  <c r="E40" i="1"/>
  <c r="D40" i="1"/>
  <c r="F41" i="1" s="1"/>
  <c r="D7" i="1"/>
  <c r="E7" i="1"/>
  <c r="F8" i="1" s="1"/>
</calcChain>
</file>

<file path=xl/sharedStrings.xml><?xml version="1.0" encoding="utf-8"?>
<sst xmlns="http://schemas.openxmlformats.org/spreadsheetml/2006/main" count="120" uniqueCount="36">
  <si>
    <t>EDL_ACCNO</t>
  </si>
  <si>
    <t>EDL_AMOUNT</t>
  </si>
  <si>
    <t>EDL_RECOVERY_AMOUNT</t>
  </si>
  <si>
    <t>EDL_DEDUCTION_YEAR</t>
  </si>
  <si>
    <t>SL No.</t>
  </si>
  <si>
    <t>Total sum</t>
  </si>
  <si>
    <t>total  subtract</t>
  </si>
  <si>
    <t>Excise Duty Inquiry</t>
  </si>
  <si>
    <t>Account closing </t>
  </si>
  <si>
    <t xml:space="preserve">Miscellaneous Transaction Type= 
Excise Duty Charge </t>
  </si>
  <si>
    <t>https://prnt.sc/ddi7WWw7Up1c</t>
  </si>
  <si>
    <t>https://prnt.sc/bGyXe2IlAtD3</t>
  </si>
  <si>
    <t>https://prnt.sc/PMg29vqyDLfz</t>
  </si>
  <si>
    <t xml:space="preserve">QA Status </t>
  </si>
  <si>
    <t>Pass</t>
  </si>
  <si>
    <t>https://prnt.sc/boczrNT-RBbT</t>
  </si>
  <si>
    <t xml:space="preserve">https://prnt.sc/qVyEp_kRP-_J </t>
  </si>
  <si>
    <t>https://prnt.sc/JGP5dwQSxuNY</t>
  </si>
  <si>
    <t xml:space="preserve">https://prnt.sc/BUg9xX0KiefP </t>
  </si>
  <si>
    <t>https://prnt.sc/hamPgvtGjncT</t>
  </si>
  <si>
    <t xml:space="preserve">https://prnt.sc/g4qxppf2SrXS </t>
  </si>
  <si>
    <t xml:space="preserve">https://prnt.sc/f5bzMDiGNlD9 </t>
  </si>
  <si>
    <t xml:space="preserve">https://prnt.sc/iaQPuGRGlkZP </t>
  </si>
  <si>
    <t xml:space="preserve">https://prnt.sc/tmKVE_Cvq-ll </t>
  </si>
  <si>
    <t xml:space="preserve">https://prnt.sc/kFCrcoF6jAoG </t>
  </si>
  <si>
    <t>https://prnt.sc/PFL821sVqwe3</t>
  </si>
  <si>
    <t>https://prnt.sc/1eF85k52y661</t>
  </si>
  <si>
    <t>https://prnt.sc/kNtPoo1qFNoA</t>
  </si>
  <si>
    <t>https://prnt.sc/gb8hnYgUUaJ-</t>
  </si>
  <si>
    <t>https://prnt.sc/jf7wgLpRetmw</t>
  </si>
  <si>
    <t>https://prnt.sc/c2elfFoF5m5s</t>
  </si>
  <si>
    <t xml:space="preserve">https://prnt.sc/w2D-1KzfOWsg </t>
  </si>
  <si>
    <t xml:space="preserve">https://prnt.sc/sWkbMTw8l957 </t>
  </si>
  <si>
    <t xml:space="preserve">https://prnt.sc/Ry2XNGqtD7SV </t>
  </si>
  <si>
    <t xml:space="preserve">https://prnt.sc/hsr6vq4GBMns </t>
  </si>
  <si>
    <t xml:space="preserve">https://prnt.sc/g-oYKTaTaTp2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</si>
</sst>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rgb="FF000000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Fill="1" applyAlignment="1">
      <alignment horizontal="center"/>
    </xf>
    <xf numFmtId="0" fontId="1" fillId="0" borderId="0" xfId="0" applyFont="1" applyAlignment="1">
      <alignment horizontal="center" wrapText="1"/>
    </xf>
    <xf numFmtId="0" fontId="2" fillId="0" borderId="0" xfId="1"/>
    <xf numFmtId="0" fontId="0" fillId="4" borderId="0" xfId="0" applyFill="1"/>
    <xf numFmtId="0" fontId="0" fillId="5" borderId="0" xfId="0" applyFill="1" applyAlignment="1">
      <alignment horizontal="center"/>
    </xf>
    <xf numFmtId="0" fontId="0" fillId="0" borderId="0" xfId="0" applyAlignment="1">
      <alignment horizontal="right"/>
    </xf>
    <xf numFmtId="0" fontId="2" fillId="0" borderId="0" xfId="1" applyAlignment="1">
      <alignment horizontal="left"/>
    </xf>
    <xf numFmtId="0" fontId="0" fillId="6" borderId="0" xfId="0" applyFill="1"/>
    <xf numFmtId="0" fontId="3" fillId="7" borderId="0" xfId="0" applyFont="1" applyFill="1"/>
    <xf numFmtId="0" fontId="4" fillId="0" borderId="0" xfId="0" applyFont="1"/>
    <xf numFmtId="0" fontId="2" fillId="8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rnt.sc/hamPgvtGjncT" TargetMode="External"/><Relationship Id="rId13" Type="http://schemas.openxmlformats.org/officeDocument/2006/relationships/hyperlink" Target="https://prnt.sc/kFCrcoF6jAoG" TargetMode="External"/><Relationship Id="rId18" Type="http://schemas.openxmlformats.org/officeDocument/2006/relationships/hyperlink" Target="https://prnt.sc/Ry2XNGqtD7SV" TargetMode="External"/><Relationship Id="rId3" Type="http://schemas.openxmlformats.org/officeDocument/2006/relationships/hyperlink" Target="https://prnt.sc/PMg29vqyDLfz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https://prnt.sc/BUg9xX0KiefP" TargetMode="External"/><Relationship Id="rId12" Type="http://schemas.openxmlformats.org/officeDocument/2006/relationships/hyperlink" Target="https://prnt.sc/tmKVE_Cvq-ll" TargetMode="External"/><Relationship Id="rId17" Type="http://schemas.openxmlformats.org/officeDocument/2006/relationships/hyperlink" Target="https://prnt.sc/sWkbMTw8l957" TargetMode="External"/><Relationship Id="rId2" Type="http://schemas.openxmlformats.org/officeDocument/2006/relationships/hyperlink" Target="https://prnt.sc/bGyXe2IlAtD3" TargetMode="External"/><Relationship Id="rId16" Type="http://schemas.openxmlformats.org/officeDocument/2006/relationships/hyperlink" Target="https://prnt.sc/w2D-1KzfOWsg" TargetMode="External"/><Relationship Id="rId20" Type="http://schemas.openxmlformats.org/officeDocument/2006/relationships/hyperlink" Target="https://prnt.sc/g-oYKTaTaTp2" TargetMode="External"/><Relationship Id="rId1" Type="http://schemas.openxmlformats.org/officeDocument/2006/relationships/hyperlink" Target="https://prnt.sc/ddi7WWw7Up1c" TargetMode="External"/><Relationship Id="rId6" Type="http://schemas.openxmlformats.org/officeDocument/2006/relationships/hyperlink" Target="https://prnt.sc/JGP5dwQSxuNY" TargetMode="External"/><Relationship Id="rId11" Type="http://schemas.openxmlformats.org/officeDocument/2006/relationships/hyperlink" Target="https://prnt.sc/iaQPuGRGlkZP" TargetMode="External"/><Relationship Id="rId5" Type="http://schemas.openxmlformats.org/officeDocument/2006/relationships/hyperlink" Target="https://prnt.sc/qVyEp_kRP-_J" TargetMode="External"/><Relationship Id="rId15" Type="http://schemas.openxmlformats.org/officeDocument/2006/relationships/hyperlink" Target="https://prnt.sc/c2elfFoF5m5s" TargetMode="External"/><Relationship Id="rId10" Type="http://schemas.openxmlformats.org/officeDocument/2006/relationships/hyperlink" Target="https://prnt.sc/f5bzMDiGNlD9" TargetMode="External"/><Relationship Id="rId19" Type="http://schemas.openxmlformats.org/officeDocument/2006/relationships/hyperlink" Target="https://prnt.sc/hsr6vq4GBMns" TargetMode="External"/><Relationship Id="rId4" Type="http://schemas.openxmlformats.org/officeDocument/2006/relationships/hyperlink" Target="https://prnt.sc/boczrNT-RBbT" TargetMode="External"/><Relationship Id="rId9" Type="http://schemas.openxmlformats.org/officeDocument/2006/relationships/hyperlink" Target="https://prnt.sc/g4qxppf2SrXS" TargetMode="External"/><Relationship Id="rId14" Type="http://schemas.openxmlformats.org/officeDocument/2006/relationships/hyperlink" Target="https://prnt.sc/kNtPoo1qFNo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6"/>
  <sheetViews>
    <sheetView tabSelected="1" topLeftCell="A143" zoomScale="85" zoomScaleNormal="85" workbookViewId="0">
      <selection activeCell="I150" sqref="I150"/>
    </sheetView>
  </sheetViews>
  <sheetFormatPr defaultRowHeight="15" x14ac:dyDescent="0.25"/>
  <cols>
    <col min="1" max="1" width="13.5703125" customWidth="1"/>
    <col min="2" max="2" width="17.5703125" customWidth="1"/>
    <col min="3" max="3" width="22.140625" customWidth="1"/>
    <col min="4" max="4" width="14.42578125" customWidth="1"/>
    <col min="5" max="5" width="23.5703125" customWidth="1"/>
    <col min="6" max="6" width="11.140625" customWidth="1"/>
    <col min="7" max="7" width="30.85546875" customWidth="1"/>
    <col min="8" max="8" width="29.5703125" customWidth="1"/>
    <col min="9" max="9" width="35.28515625" customWidth="1"/>
    <col min="10" max="10" width="14.42578125" customWidth="1"/>
  </cols>
  <sheetData>
    <row r="1" spans="1:10" s="4" customFormat="1" ht="31.5" x14ac:dyDescent="0.25">
      <c r="A1" s="4" t="s">
        <v>4</v>
      </c>
      <c r="B1" s="4" t="s">
        <v>0</v>
      </c>
      <c r="C1" s="4" t="s">
        <v>3</v>
      </c>
      <c r="D1" s="4" t="s">
        <v>1</v>
      </c>
      <c r="E1" s="4" t="s">
        <v>2</v>
      </c>
      <c r="G1" s="5" t="s">
        <v>7</v>
      </c>
      <c r="H1" s="6" t="s">
        <v>8</v>
      </c>
      <c r="I1" s="7" t="s">
        <v>9</v>
      </c>
      <c r="J1" s="4" t="s">
        <v>13</v>
      </c>
    </row>
    <row r="2" spans="1:10" x14ac:dyDescent="0.25">
      <c r="A2" s="1">
        <v>1</v>
      </c>
      <c r="B2">
        <v>9901430134039</v>
      </c>
      <c r="C2">
        <v>2025</v>
      </c>
      <c r="D2">
        <v>150</v>
      </c>
      <c r="E2">
        <v>150</v>
      </c>
      <c r="G2" s="8" t="s">
        <v>10</v>
      </c>
      <c r="H2" s="8" t="s">
        <v>11</v>
      </c>
      <c r="I2" s="8" t="s">
        <v>12</v>
      </c>
      <c r="J2" s="10" t="s">
        <v>14</v>
      </c>
    </row>
    <row r="3" spans="1:10" x14ac:dyDescent="0.25">
      <c r="C3">
        <v>2024</v>
      </c>
      <c r="D3">
        <v>150</v>
      </c>
      <c r="E3">
        <v>0</v>
      </c>
    </row>
    <row r="4" spans="1:10" x14ac:dyDescent="0.25">
      <c r="C4">
        <v>2023</v>
      </c>
      <c r="D4">
        <v>0</v>
      </c>
      <c r="E4">
        <v>0</v>
      </c>
    </row>
    <row r="5" spans="1:10" x14ac:dyDescent="0.25">
      <c r="C5">
        <v>2022</v>
      </c>
      <c r="D5">
        <v>0</v>
      </c>
      <c r="E5">
        <v>0</v>
      </c>
    </row>
    <row r="6" spans="1:10" x14ac:dyDescent="0.25">
      <c r="C6">
        <v>2021</v>
      </c>
      <c r="D6">
        <v>0</v>
      </c>
      <c r="E6">
        <v>0</v>
      </c>
    </row>
    <row r="7" spans="1:10" x14ac:dyDescent="0.25">
      <c r="A7" s="2" t="s">
        <v>5</v>
      </c>
      <c r="B7" s="2"/>
      <c r="C7" s="2"/>
      <c r="D7" s="2">
        <f>SUM(D2:D6)</f>
        <v>300</v>
      </c>
      <c r="E7" s="2">
        <f>SUM(E2:E6)</f>
        <v>150</v>
      </c>
    </row>
    <row r="8" spans="1:10" x14ac:dyDescent="0.25">
      <c r="A8" s="3" t="s">
        <v>6</v>
      </c>
      <c r="B8" s="3"/>
      <c r="C8" s="3"/>
      <c r="D8" s="3"/>
      <c r="E8" s="3"/>
      <c r="F8" s="3">
        <f xml:space="preserve"> D7-E7</f>
        <v>150</v>
      </c>
    </row>
    <row r="11" spans="1:10" s="4" customFormat="1" ht="31.5" x14ac:dyDescent="0.25">
      <c r="A11" s="4" t="s">
        <v>4</v>
      </c>
      <c r="B11" s="4" t="s">
        <v>0</v>
      </c>
      <c r="C11" s="4" t="s">
        <v>3</v>
      </c>
      <c r="D11" s="4" t="s">
        <v>1</v>
      </c>
      <c r="E11" s="4" t="s">
        <v>2</v>
      </c>
      <c r="G11" s="5" t="s">
        <v>7</v>
      </c>
      <c r="H11" s="6" t="s">
        <v>8</v>
      </c>
      <c r="I11" s="7" t="s">
        <v>9</v>
      </c>
      <c r="J11" s="4" t="s">
        <v>13</v>
      </c>
    </row>
    <row r="12" spans="1:10" x14ac:dyDescent="0.25">
      <c r="A12" s="1">
        <v>2</v>
      </c>
      <c r="B12">
        <v>21410006565</v>
      </c>
      <c r="D12">
        <v>0</v>
      </c>
      <c r="E12">
        <v>0</v>
      </c>
      <c r="G12" s="8" t="s">
        <v>17</v>
      </c>
      <c r="H12" s="8" t="s">
        <v>15</v>
      </c>
      <c r="I12" s="8" t="s">
        <v>16</v>
      </c>
      <c r="J12" s="10" t="s">
        <v>14</v>
      </c>
    </row>
    <row r="13" spans="1:10" x14ac:dyDescent="0.25">
      <c r="D13">
        <v>0</v>
      </c>
      <c r="E13">
        <v>0</v>
      </c>
    </row>
    <row r="14" spans="1:10" x14ac:dyDescent="0.25">
      <c r="D14">
        <v>0</v>
      </c>
      <c r="E14">
        <v>0</v>
      </c>
    </row>
    <row r="15" spans="1:10" x14ac:dyDescent="0.25">
      <c r="D15">
        <v>0</v>
      </c>
      <c r="E15">
        <v>0</v>
      </c>
    </row>
    <row r="16" spans="1:10" x14ac:dyDescent="0.25">
      <c r="D16">
        <v>0</v>
      </c>
      <c r="E16">
        <v>0</v>
      </c>
    </row>
    <row r="17" spans="4:5" x14ac:dyDescent="0.25">
      <c r="D17">
        <v>0</v>
      </c>
      <c r="E17">
        <v>0</v>
      </c>
    </row>
    <row r="18" spans="4:5" x14ac:dyDescent="0.25">
      <c r="D18">
        <v>0</v>
      </c>
      <c r="E18">
        <v>0</v>
      </c>
    </row>
    <row r="19" spans="4:5" x14ac:dyDescent="0.25">
      <c r="D19">
        <v>0</v>
      </c>
      <c r="E19">
        <v>0</v>
      </c>
    </row>
    <row r="20" spans="4:5" x14ac:dyDescent="0.25">
      <c r="D20">
        <v>0</v>
      </c>
      <c r="E20">
        <v>0</v>
      </c>
    </row>
    <row r="21" spans="4:5" x14ac:dyDescent="0.25">
      <c r="D21">
        <v>120</v>
      </c>
      <c r="E21">
        <v>0</v>
      </c>
    </row>
    <row r="22" spans="4:5" x14ac:dyDescent="0.25">
      <c r="D22">
        <v>150</v>
      </c>
      <c r="E22">
        <v>150</v>
      </c>
    </row>
    <row r="23" spans="4:5" x14ac:dyDescent="0.25">
      <c r="D23">
        <v>120</v>
      </c>
      <c r="E23">
        <v>120</v>
      </c>
    </row>
    <row r="24" spans="4:5" x14ac:dyDescent="0.25">
      <c r="D24">
        <v>120</v>
      </c>
      <c r="E24">
        <v>120</v>
      </c>
    </row>
    <row r="25" spans="4:5" x14ac:dyDescent="0.25">
      <c r="D25">
        <v>120</v>
      </c>
      <c r="E25">
        <v>120</v>
      </c>
    </row>
    <row r="26" spans="4:5" x14ac:dyDescent="0.25">
      <c r="D26">
        <v>120</v>
      </c>
      <c r="E26">
        <v>120</v>
      </c>
    </row>
    <row r="27" spans="4:5" x14ac:dyDescent="0.25">
      <c r="D27">
        <v>120</v>
      </c>
      <c r="E27">
        <v>120</v>
      </c>
    </row>
    <row r="28" spans="4:5" x14ac:dyDescent="0.25">
      <c r="D28">
        <v>120</v>
      </c>
      <c r="E28">
        <v>120</v>
      </c>
    </row>
    <row r="29" spans="4:5" x14ac:dyDescent="0.25">
      <c r="D29">
        <v>120</v>
      </c>
      <c r="E29">
        <v>120</v>
      </c>
    </row>
    <row r="30" spans="4:5" x14ac:dyDescent="0.25">
      <c r="D30">
        <v>120</v>
      </c>
      <c r="E30">
        <v>120</v>
      </c>
    </row>
    <row r="31" spans="4:5" x14ac:dyDescent="0.25">
      <c r="D31">
        <v>120</v>
      </c>
      <c r="E31">
        <v>120</v>
      </c>
    </row>
    <row r="32" spans="4:5" x14ac:dyDescent="0.25">
      <c r="D32">
        <v>120</v>
      </c>
      <c r="E32">
        <v>120</v>
      </c>
    </row>
    <row r="33" spans="1:10" x14ac:dyDescent="0.25">
      <c r="D33">
        <v>120</v>
      </c>
      <c r="E33">
        <v>120</v>
      </c>
    </row>
    <row r="34" spans="1:10" x14ac:dyDescent="0.25">
      <c r="D34">
        <v>0</v>
      </c>
      <c r="E34">
        <v>0</v>
      </c>
    </row>
    <row r="35" spans="1:10" x14ac:dyDescent="0.25">
      <c r="D35">
        <v>0</v>
      </c>
      <c r="E35">
        <v>0</v>
      </c>
    </row>
    <row r="36" spans="1:10" x14ac:dyDescent="0.25">
      <c r="D36">
        <v>0</v>
      </c>
      <c r="E36">
        <v>0</v>
      </c>
    </row>
    <row r="37" spans="1:10" x14ac:dyDescent="0.25">
      <c r="D37">
        <v>0</v>
      </c>
      <c r="E37">
        <v>0</v>
      </c>
    </row>
    <row r="38" spans="1:10" x14ac:dyDescent="0.25">
      <c r="D38">
        <v>120</v>
      </c>
      <c r="E38">
        <v>120</v>
      </c>
    </row>
    <row r="39" spans="1:10" x14ac:dyDescent="0.25">
      <c r="D39">
        <v>0</v>
      </c>
      <c r="E39">
        <v>0</v>
      </c>
    </row>
    <row r="40" spans="1:10" x14ac:dyDescent="0.25">
      <c r="A40" s="2" t="s">
        <v>5</v>
      </c>
      <c r="B40" s="2"/>
      <c r="C40" s="2"/>
      <c r="D40" s="2">
        <f>SUM(D12:D39)</f>
        <v>1710</v>
      </c>
      <c r="E40" s="2">
        <f>SUM(E12:E39)</f>
        <v>1590</v>
      </c>
    </row>
    <row r="41" spans="1:10" x14ac:dyDescent="0.25">
      <c r="A41" s="3" t="s">
        <v>6</v>
      </c>
      <c r="B41" s="3"/>
      <c r="C41" s="3"/>
      <c r="D41" s="3"/>
      <c r="E41" s="3"/>
      <c r="F41" s="3">
        <f>D40-E40</f>
        <v>120</v>
      </c>
    </row>
    <row r="43" spans="1:10" s="4" customFormat="1" ht="31.5" x14ac:dyDescent="0.25">
      <c r="A43" s="4" t="s">
        <v>4</v>
      </c>
      <c r="B43" s="4" t="s">
        <v>0</v>
      </c>
      <c r="C43" s="4" t="s">
        <v>3</v>
      </c>
      <c r="D43" s="4" t="s">
        <v>1</v>
      </c>
      <c r="E43" s="4" t="s">
        <v>2</v>
      </c>
      <c r="G43" s="5" t="s">
        <v>7</v>
      </c>
      <c r="H43" s="6" t="s">
        <v>8</v>
      </c>
      <c r="I43" s="7" t="s">
        <v>9</v>
      </c>
      <c r="J43" s="4" t="s">
        <v>13</v>
      </c>
    </row>
    <row r="44" spans="1:10" s="1" customFormat="1" x14ac:dyDescent="0.25">
      <c r="A44" s="1">
        <v>3</v>
      </c>
      <c r="B44" s="1">
        <v>22800004614</v>
      </c>
      <c r="D44" s="11">
        <v>150</v>
      </c>
      <c r="E44" s="11">
        <v>150</v>
      </c>
      <c r="G44" s="12" t="s">
        <v>20</v>
      </c>
      <c r="H44" s="12" t="s">
        <v>18</v>
      </c>
      <c r="I44" s="12" t="s">
        <v>19</v>
      </c>
      <c r="J44" s="10" t="s">
        <v>14</v>
      </c>
    </row>
    <row r="45" spans="1:10" x14ac:dyDescent="0.25">
      <c r="D45" s="11">
        <v>150</v>
      </c>
      <c r="E45" s="11">
        <v>150</v>
      </c>
    </row>
    <row r="46" spans="1:10" x14ac:dyDescent="0.25">
      <c r="D46" s="11">
        <v>150</v>
      </c>
      <c r="E46" s="11">
        <v>150</v>
      </c>
    </row>
    <row r="47" spans="1:10" x14ac:dyDescent="0.25">
      <c r="D47" s="11">
        <v>150</v>
      </c>
      <c r="E47" s="11">
        <v>150</v>
      </c>
    </row>
    <row r="48" spans="1:10" x14ac:dyDescent="0.25">
      <c r="D48" s="11">
        <v>150</v>
      </c>
      <c r="E48" s="11">
        <v>150</v>
      </c>
    </row>
    <row r="49" spans="1:10" x14ac:dyDescent="0.25">
      <c r="D49" s="11">
        <v>150</v>
      </c>
      <c r="E49" s="11">
        <v>150</v>
      </c>
    </row>
    <row r="50" spans="1:10" x14ac:dyDescent="0.25">
      <c r="D50" s="11">
        <v>150</v>
      </c>
      <c r="E50" s="11">
        <v>0</v>
      </c>
    </row>
    <row r="51" spans="1:10" x14ac:dyDescent="0.25">
      <c r="D51" s="11">
        <v>0</v>
      </c>
      <c r="E51" s="11">
        <v>0</v>
      </c>
    </row>
    <row r="52" spans="1:10" x14ac:dyDescent="0.25">
      <c r="D52" s="11">
        <v>150</v>
      </c>
      <c r="E52" s="11">
        <v>150</v>
      </c>
    </row>
    <row r="53" spans="1:10" x14ac:dyDescent="0.25">
      <c r="D53" s="11">
        <v>150</v>
      </c>
      <c r="E53" s="11">
        <v>150</v>
      </c>
    </row>
    <row r="54" spans="1:10" x14ac:dyDescent="0.25">
      <c r="D54" s="11">
        <v>120</v>
      </c>
      <c r="E54" s="11">
        <v>0</v>
      </c>
    </row>
    <row r="55" spans="1:10" x14ac:dyDescent="0.25">
      <c r="D55" s="11">
        <v>0</v>
      </c>
      <c r="E55" s="11">
        <v>0</v>
      </c>
    </row>
    <row r="56" spans="1:10" x14ac:dyDescent="0.25">
      <c r="A56" s="9" t="s">
        <v>5</v>
      </c>
      <c r="B56" s="9"/>
      <c r="C56" s="9"/>
      <c r="D56" s="9">
        <f>SUM(D44:D55)</f>
        <v>1470</v>
      </c>
      <c r="E56" s="9">
        <f>SUM(E44:E55)</f>
        <v>1200</v>
      </c>
    </row>
    <row r="57" spans="1:10" x14ac:dyDescent="0.25">
      <c r="A57" s="3" t="s">
        <v>6</v>
      </c>
      <c r="B57" s="3"/>
      <c r="C57" s="3"/>
      <c r="D57" s="3"/>
      <c r="E57" s="3"/>
      <c r="F57" s="3">
        <f>D56-E56</f>
        <v>270</v>
      </c>
    </row>
    <row r="59" spans="1:10" s="4" customFormat="1" ht="31.5" x14ac:dyDescent="0.25">
      <c r="A59" s="4" t="s">
        <v>4</v>
      </c>
      <c r="B59" s="4" t="s">
        <v>0</v>
      </c>
      <c r="C59" s="4" t="s">
        <v>3</v>
      </c>
      <c r="D59" s="4" t="s">
        <v>1</v>
      </c>
      <c r="E59" s="4" t="s">
        <v>2</v>
      </c>
      <c r="G59" s="5" t="s">
        <v>7</v>
      </c>
      <c r="H59" s="6" t="s">
        <v>8</v>
      </c>
      <c r="I59" s="7" t="s">
        <v>9</v>
      </c>
      <c r="J59" s="4" t="s">
        <v>13</v>
      </c>
    </row>
    <row r="60" spans="1:10" x14ac:dyDescent="0.25">
      <c r="A60" s="1">
        <v>4</v>
      </c>
      <c r="B60">
        <v>22900000473</v>
      </c>
      <c r="D60">
        <v>3000</v>
      </c>
      <c r="E60">
        <v>3000</v>
      </c>
      <c r="G60" s="8" t="s">
        <v>23</v>
      </c>
      <c r="H60" s="8" t="s">
        <v>21</v>
      </c>
      <c r="I60" s="8" t="s">
        <v>22</v>
      </c>
      <c r="J60" s="10" t="s">
        <v>14</v>
      </c>
    </row>
    <row r="61" spans="1:10" x14ac:dyDescent="0.25">
      <c r="D61">
        <v>3000</v>
      </c>
      <c r="E61">
        <v>3000</v>
      </c>
    </row>
    <row r="62" spans="1:10" x14ac:dyDescent="0.25">
      <c r="D62">
        <v>3000</v>
      </c>
      <c r="E62">
        <v>3000</v>
      </c>
    </row>
    <row r="63" spans="1:10" x14ac:dyDescent="0.25">
      <c r="D63">
        <v>3000</v>
      </c>
      <c r="E63">
        <v>3000</v>
      </c>
    </row>
    <row r="64" spans="1:10" x14ac:dyDescent="0.25">
      <c r="D64">
        <v>3000</v>
      </c>
      <c r="E64">
        <v>3000</v>
      </c>
    </row>
    <row r="65" spans="1:10" x14ac:dyDescent="0.25">
      <c r="D65">
        <v>3000</v>
      </c>
      <c r="E65">
        <v>3000</v>
      </c>
    </row>
    <row r="66" spans="1:10" x14ac:dyDescent="0.25">
      <c r="D66">
        <v>2500</v>
      </c>
      <c r="E66">
        <v>2500</v>
      </c>
    </row>
    <row r="67" spans="1:10" x14ac:dyDescent="0.25">
      <c r="D67">
        <v>2500</v>
      </c>
      <c r="E67">
        <v>2500</v>
      </c>
    </row>
    <row r="68" spans="1:10" x14ac:dyDescent="0.25">
      <c r="D68">
        <v>2500</v>
      </c>
      <c r="E68">
        <v>2500</v>
      </c>
    </row>
    <row r="69" spans="1:10" x14ac:dyDescent="0.25">
      <c r="D69">
        <v>500</v>
      </c>
      <c r="E69">
        <v>500</v>
      </c>
    </row>
    <row r="70" spans="1:10" x14ac:dyDescent="0.25">
      <c r="D70">
        <v>500</v>
      </c>
      <c r="E70">
        <v>500</v>
      </c>
    </row>
    <row r="71" spans="1:10" x14ac:dyDescent="0.25">
      <c r="D71">
        <v>350</v>
      </c>
      <c r="E71">
        <v>350</v>
      </c>
    </row>
    <row r="72" spans="1:10" x14ac:dyDescent="0.25">
      <c r="D72">
        <v>350</v>
      </c>
      <c r="E72">
        <v>350</v>
      </c>
    </row>
    <row r="73" spans="1:10" x14ac:dyDescent="0.25">
      <c r="D73">
        <v>350</v>
      </c>
      <c r="E73">
        <v>350</v>
      </c>
    </row>
    <row r="74" spans="1:10" x14ac:dyDescent="0.25">
      <c r="D74">
        <v>350</v>
      </c>
      <c r="E74">
        <v>0</v>
      </c>
    </row>
    <row r="75" spans="1:10" x14ac:dyDescent="0.25">
      <c r="A75" s="14" t="s">
        <v>5</v>
      </c>
      <c r="B75" s="9"/>
      <c r="C75" s="9"/>
      <c r="D75" s="9">
        <f>SUM(D60:D74)</f>
        <v>27900</v>
      </c>
      <c r="E75" s="9">
        <f>SUM(E60:E74)</f>
        <v>27550</v>
      </c>
    </row>
    <row r="76" spans="1:10" x14ac:dyDescent="0.25">
      <c r="A76" s="3" t="s">
        <v>6</v>
      </c>
      <c r="B76" s="3"/>
      <c r="C76" s="3"/>
      <c r="D76" s="3"/>
      <c r="E76" s="3"/>
      <c r="F76" s="3">
        <f>D75-E75</f>
        <v>350</v>
      </c>
    </row>
    <row r="78" spans="1:10" s="4" customFormat="1" ht="31.5" x14ac:dyDescent="0.25">
      <c r="A78" s="4" t="s">
        <v>4</v>
      </c>
      <c r="B78" s="4" t="s">
        <v>0</v>
      </c>
      <c r="C78" s="4" t="s">
        <v>3</v>
      </c>
      <c r="D78" s="4" t="s">
        <v>1</v>
      </c>
      <c r="E78" s="4" t="s">
        <v>2</v>
      </c>
      <c r="G78" s="5" t="s">
        <v>7</v>
      </c>
      <c r="H78" s="6" t="s">
        <v>8</v>
      </c>
      <c r="I78" s="7" t="s">
        <v>9</v>
      </c>
      <c r="J78" s="4" t="s">
        <v>13</v>
      </c>
    </row>
    <row r="79" spans="1:10" x14ac:dyDescent="0.25">
      <c r="A79" s="1">
        <v>5</v>
      </c>
      <c r="B79" s="15">
        <v>151440003667</v>
      </c>
      <c r="C79">
        <v>2025</v>
      </c>
      <c r="D79">
        <v>0</v>
      </c>
      <c r="E79">
        <v>0</v>
      </c>
      <c r="G79" s="8" t="s">
        <v>24</v>
      </c>
      <c r="H79" s="8" t="s">
        <v>25</v>
      </c>
      <c r="I79" s="8" t="s">
        <v>26</v>
      </c>
      <c r="J79" s="10" t="s">
        <v>14</v>
      </c>
    </row>
    <row r="80" spans="1:10" x14ac:dyDescent="0.25">
      <c r="C80">
        <v>2024</v>
      </c>
      <c r="D80">
        <v>0</v>
      </c>
      <c r="E80">
        <v>0</v>
      </c>
    </row>
    <row r="81" spans="3:5" x14ac:dyDescent="0.25">
      <c r="C81">
        <v>2023</v>
      </c>
      <c r="D81">
        <v>0</v>
      </c>
      <c r="E81">
        <v>0</v>
      </c>
    </row>
    <row r="82" spans="3:5" x14ac:dyDescent="0.25">
      <c r="C82">
        <v>2022</v>
      </c>
      <c r="D82">
        <v>0</v>
      </c>
      <c r="E82">
        <v>0</v>
      </c>
    </row>
    <row r="83" spans="3:5" x14ac:dyDescent="0.25">
      <c r="C83">
        <v>2021</v>
      </c>
      <c r="D83">
        <v>0</v>
      </c>
      <c r="E83">
        <v>0</v>
      </c>
    </row>
    <row r="84" spans="3:5" x14ac:dyDescent="0.25">
      <c r="C84">
        <v>2020</v>
      </c>
      <c r="D84">
        <v>0</v>
      </c>
      <c r="E84">
        <v>0</v>
      </c>
    </row>
    <row r="85" spans="3:5" x14ac:dyDescent="0.25">
      <c r="C85">
        <v>2019</v>
      </c>
      <c r="D85">
        <v>0</v>
      </c>
      <c r="E85">
        <v>0</v>
      </c>
    </row>
    <row r="86" spans="3:5" x14ac:dyDescent="0.25">
      <c r="C86">
        <v>2018</v>
      </c>
      <c r="D86">
        <v>0</v>
      </c>
      <c r="E86">
        <v>0</v>
      </c>
    </row>
    <row r="87" spans="3:5" x14ac:dyDescent="0.25">
      <c r="C87">
        <v>2017</v>
      </c>
      <c r="D87">
        <v>0</v>
      </c>
      <c r="E87">
        <v>0</v>
      </c>
    </row>
    <row r="88" spans="3:5" x14ac:dyDescent="0.25">
      <c r="C88">
        <v>2016</v>
      </c>
      <c r="D88">
        <v>120</v>
      </c>
      <c r="E88">
        <v>0</v>
      </c>
    </row>
    <row r="89" spans="3:5" x14ac:dyDescent="0.25">
      <c r="C89">
        <v>2015</v>
      </c>
      <c r="D89">
        <v>120</v>
      </c>
      <c r="E89">
        <v>0</v>
      </c>
    </row>
    <row r="90" spans="3:5" x14ac:dyDescent="0.25">
      <c r="C90">
        <v>2014</v>
      </c>
      <c r="D90">
        <v>120</v>
      </c>
      <c r="E90">
        <v>0</v>
      </c>
    </row>
    <row r="91" spans="3:5" x14ac:dyDescent="0.25">
      <c r="C91">
        <v>2013</v>
      </c>
      <c r="D91">
        <v>120</v>
      </c>
      <c r="E91">
        <v>0</v>
      </c>
    </row>
    <row r="92" spans="3:5" x14ac:dyDescent="0.25">
      <c r="C92">
        <v>2012</v>
      </c>
      <c r="D92">
        <v>120</v>
      </c>
      <c r="E92">
        <v>0</v>
      </c>
    </row>
    <row r="93" spans="3:5" x14ac:dyDescent="0.25">
      <c r="C93">
        <v>2011</v>
      </c>
      <c r="D93">
        <v>120</v>
      </c>
      <c r="E93">
        <v>120</v>
      </c>
    </row>
    <row r="94" spans="3:5" x14ac:dyDescent="0.25">
      <c r="C94">
        <v>2010</v>
      </c>
      <c r="D94">
        <v>120</v>
      </c>
      <c r="E94">
        <v>120</v>
      </c>
    </row>
    <row r="95" spans="3:5" x14ac:dyDescent="0.25">
      <c r="C95">
        <v>2009</v>
      </c>
      <c r="D95">
        <v>120</v>
      </c>
      <c r="E95">
        <v>120</v>
      </c>
    </row>
    <row r="96" spans="3:5" x14ac:dyDescent="0.25">
      <c r="C96">
        <v>2008</v>
      </c>
      <c r="D96">
        <v>120</v>
      </c>
      <c r="E96">
        <v>120</v>
      </c>
    </row>
    <row r="97" spans="1:10" x14ac:dyDescent="0.25">
      <c r="C97">
        <v>2007</v>
      </c>
      <c r="D97">
        <v>120</v>
      </c>
      <c r="E97">
        <v>0</v>
      </c>
    </row>
    <row r="98" spans="1:10" x14ac:dyDescent="0.25">
      <c r="C98">
        <v>2006</v>
      </c>
      <c r="D98">
        <v>0</v>
      </c>
      <c r="E98">
        <v>0</v>
      </c>
    </row>
    <row r="99" spans="1:10" x14ac:dyDescent="0.25">
      <c r="C99">
        <v>2005</v>
      </c>
      <c r="D99">
        <v>0</v>
      </c>
      <c r="E99">
        <v>0</v>
      </c>
    </row>
    <row r="100" spans="1:10" x14ac:dyDescent="0.25">
      <c r="C100">
        <v>2004</v>
      </c>
      <c r="D100">
        <v>0</v>
      </c>
      <c r="E100">
        <v>0</v>
      </c>
    </row>
    <row r="101" spans="1:10" x14ac:dyDescent="0.25">
      <c r="C101">
        <v>2003</v>
      </c>
      <c r="D101">
        <v>0</v>
      </c>
      <c r="E101">
        <v>0</v>
      </c>
    </row>
    <row r="102" spans="1:10" x14ac:dyDescent="0.25">
      <c r="C102">
        <v>2002</v>
      </c>
      <c r="D102">
        <v>120</v>
      </c>
      <c r="E102">
        <v>120</v>
      </c>
    </row>
    <row r="103" spans="1:10" x14ac:dyDescent="0.25">
      <c r="C103">
        <v>2001</v>
      </c>
      <c r="D103">
        <v>120</v>
      </c>
      <c r="E103">
        <v>120</v>
      </c>
    </row>
    <row r="104" spans="1:10" x14ac:dyDescent="0.25">
      <c r="C104">
        <v>2000</v>
      </c>
      <c r="D104">
        <v>0</v>
      </c>
      <c r="E104">
        <v>0</v>
      </c>
    </row>
    <row r="105" spans="1:10" x14ac:dyDescent="0.25">
      <c r="C105">
        <v>1999</v>
      </c>
      <c r="D105">
        <v>0</v>
      </c>
      <c r="E105">
        <v>0</v>
      </c>
    </row>
    <row r="106" spans="1:10" x14ac:dyDescent="0.25">
      <c r="A106" s="14" t="s">
        <v>5</v>
      </c>
      <c r="B106" s="9"/>
      <c r="C106" s="9"/>
      <c r="D106" s="9">
        <f>SUM(D79:D105)</f>
        <v>1440</v>
      </c>
      <c r="E106" s="9">
        <f>SUM(E79:E105)</f>
        <v>720</v>
      </c>
    </row>
    <row r="107" spans="1:10" x14ac:dyDescent="0.25">
      <c r="A107" s="13" t="s">
        <v>6</v>
      </c>
      <c r="B107" s="13"/>
      <c r="C107" s="13"/>
      <c r="D107" s="13"/>
      <c r="E107" s="13"/>
      <c r="F107" s="13">
        <f>D106-E106</f>
        <v>720</v>
      </c>
    </row>
    <row r="109" spans="1:10" s="4" customFormat="1" ht="31.5" x14ac:dyDescent="0.25">
      <c r="A109" s="4" t="s">
        <v>4</v>
      </c>
      <c r="B109" s="4" t="s">
        <v>0</v>
      </c>
      <c r="C109" s="4" t="s">
        <v>3</v>
      </c>
      <c r="D109" s="4" t="s">
        <v>1</v>
      </c>
      <c r="E109" s="4" t="s">
        <v>2</v>
      </c>
      <c r="G109" s="5" t="s">
        <v>7</v>
      </c>
      <c r="H109" s="6" t="s">
        <v>8</v>
      </c>
      <c r="I109" s="7" t="s">
        <v>9</v>
      </c>
      <c r="J109" s="4" t="s">
        <v>13</v>
      </c>
    </row>
    <row r="110" spans="1:10" x14ac:dyDescent="0.25">
      <c r="A110">
        <v>6</v>
      </c>
      <c r="B110">
        <v>152780000463</v>
      </c>
      <c r="C110">
        <v>2025</v>
      </c>
      <c r="D110">
        <v>0</v>
      </c>
      <c r="E110">
        <v>0</v>
      </c>
      <c r="G110" s="8" t="s">
        <v>27</v>
      </c>
      <c r="H110" s="8" t="s">
        <v>29</v>
      </c>
      <c r="I110" s="8" t="s">
        <v>28</v>
      </c>
      <c r="J110" s="10" t="s">
        <v>14</v>
      </c>
    </row>
    <row r="111" spans="1:10" x14ac:dyDescent="0.25">
      <c r="C111">
        <v>2024</v>
      </c>
      <c r="D111">
        <v>150</v>
      </c>
      <c r="E111">
        <v>0</v>
      </c>
    </row>
    <row r="112" spans="1:10" x14ac:dyDescent="0.25">
      <c r="C112">
        <v>2023</v>
      </c>
      <c r="D112">
        <v>150</v>
      </c>
      <c r="E112">
        <v>150</v>
      </c>
    </row>
    <row r="113" spans="1:5" x14ac:dyDescent="0.25">
      <c r="C113">
        <v>2022</v>
      </c>
      <c r="D113">
        <v>150</v>
      </c>
      <c r="E113">
        <v>150</v>
      </c>
    </row>
    <row r="114" spans="1:5" x14ac:dyDescent="0.25">
      <c r="C114">
        <v>2021</v>
      </c>
      <c r="D114">
        <v>150</v>
      </c>
      <c r="E114">
        <v>150</v>
      </c>
    </row>
    <row r="115" spans="1:5" x14ac:dyDescent="0.25">
      <c r="C115">
        <v>2020</v>
      </c>
      <c r="D115">
        <v>150</v>
      </c>
      <c r="E115">
        <v>150</v>
      </c>
    </row>
    <row r="116" spans="1:5" x14ac:dyDescent="0.25">
      <c r="C116">
        <v>2019</v>
      </c>
      <c r="D116">
        <v>150</v>
      </c>
      <c r="E116">
        <v>150</v>
      </c>
    </row>
    <row r="117" spans="1:5" x14ac:dyDescent="0.25">
      <c r="C117">
        <v>2018</v>
      </c>
      <c r="D117">
        <v>150</v>
      </c>
      <c r="E117">
        <v>150</v>
      </c>
    </row>
    <row r="118" spans="1:5" x14ac:dyDescent="0.25">
      <c r="C118">
        <v>2017</v>
      </c>
      <c r="D118">
        <v>150</v>
      </c>
      <c r="E118">
        <v>150</v>
      </c>
    </row>
    <row r="119" spans="1:5" x14ac:dyDescent="0.25">
      <c r="C119">
        <v>2016</v>
      </c>
      <c r="D119">
        <v>350</v>
      </c>
      <c r="E119">
        <v>0</v>
      </c>
    </row>
    <row r="120" spans="1:5" x14ac:dyDescent="0.25">
      <c r="C120">
        <v>2015</v>
      </c>
      <c r="D120">
        <v>500</v>
      </c>
      <c r="E120">
        <v>500</v>
      </c>
    </row>
    <row r="121" spans="1:5" x14ac:dyDescent="0.25">
      <c r="C121">
        <v>2014</v>
      </c>
      <c r="D121">
        <v>350</v>
      </c>
      <c r="E121">
        <v>350</v>
      </c>
    </row>
    <row r="122" spans="1:5" x14ac:dyDescent="0.25">
      <c r="C122">
        <v>2013</v>
      </c>
      <c r="D122">
        <v>350</v>
      </c>
      <c r="E122">
        <v>350</v>
      </c>
    </row>
    <row r="123" spans="1:5" x14ac:dyDescent="0.25">
      <c r="C123">
        <v>2012</v>
      </c>
      <c r="D123">
        <v>350</v>
      </c>
      <c r="E123">
        <v>350</v>
      </c>
    </row>
    <row r="124" spans="1:5" x14ac:dyDescent="0.25">
      <c r="C124">
        <v>2011</v>
      </c>
      <c r="D124">
        <v>120</v>
      </c>
      <c r="E124">
        <v>120</v>
      </c>
    </row>
    <row r="125" spans="1:5" x14ac:dyDescent="0.25">
      <c r="C125">
        <v>2010</v>
      </c>
      <c r="D125">
        <v>120</v>
      </c>
      <c r="E125">
        <v>120</v>
      </c>
    </row>
    <row r="126" spans="1:5" x14ac:dyDescent="0.25">
      <c r="C126">
        <v>2009</v>
      </c>
      <c r="D126">
        <v>120</v>
      </c>
      <c r="E126">
        <v>120</v>
      </c>
    </row>
    <row r="127" spans="1:5" x14ac:dyDescent="0.25">
      <c r="C127">
        <v>2008</v>
      </c>
      <c r="D127">
        <v>0</v>
      </c>
      <c r="E127">
        <v>0</v>
      </c>
    </row>
    <row r="128" spans="1:5" x14ac:dyDescent="0.25">
      <c r="A128" s="14" t="s">
        <v>5</v>
      </c>
      <c r="B128" s="9"/>
      <c r="C128" s="9"/>
      <c r="D128" s="9">
        <f>SUM(D110:D127)</f>
        <v>3460</v>
      </c>
      <c r="E128" s="9">
        <f>SUM(E110:E127)</f>
        <v>2960</v>
      </c>
    </row>
    <row r="129" spans="1:10" x14ac:dyDescent="0.25">
      <c r="A129" s="3" t="s">
        <v>6</v>
      </c>
      <c r="B129" s="3"/>
      <c r="C129" s="3"/>
      <c r="D129" s="3"/>
      <c r="E129" s="3"/>
      <c r="F129" s="3">
        <f>D128-E128</f>
        <v>500</v>
      </c>
    </row>
    <row r="131" spans="1:10" s="4" customFormat="1" ht="31.5" x14ac:dyDescent="0.25">
      <c r="A131" s="4" t="s">
        <v>4</v>
      </c>
      <c r="B131" s="4" t="s">
        <v>0</v>
      </c>
      <c r="C131" s="4" t="s">
        <v>3</v>
      </c>
      <c r="D131" s="4" t="s">
        <v>1</v>
      </c>
      <c r="E131" s="4" t="s">
        <v>2</v>
      </c>
      <c r="G131" s="5" t="s">
        <v>7</v>
      </c>
      <c r="H131" s="6" t="s">
        <v>8</v>
      </c>
      <c r="I131" s="7" t="s">
        <v>9</v>
      </c>
      <c r="J131" s="4" t="s">
        <v>13</v>
      </c>
    </row>
    <row r="132" spans="1:10" x14ac:dyDescent="0.25">
      <c r="A132">
        <v>7</v>
      </c>
      <c r="B132">
        <v>201440021121</v>
      </c>
      <c r="C132">
        <v>2026</v>
      </c>
      <c r="D132">
        <v>150</v>
      </c>
      <c r="E132">
        <v>0</v>
      </c>
      <c r="G132" s="16" t="s">
        <v>32</v>
      </c>
      <c r="H132" s="8" t="s">
        <v>30</v>
      </c>
      <c r="I132" s="8" t="s">
        <v>31</v>
      </c>
      <c r="J132" s="10" t="s">
        <v>14</v>
      </c>
    </row>
    <row r="133" spans="1:10" x14ac:dyDescent="0.25">
      <c r="C133">
        <v>2025</v>
      </c>
      <c r="D133">
        <v>150</v>
      </c>
      <c r="E133">
        <v>0</v>
      </c>
    </row>
    <row r="134" spans="1:10" x14ac:dyDescent="0.25">
      <c r="C134">
        <v>2024</v>
      </c>
      <c r="D134">
        <v>150</v>
      </c>
      <c r="E134">
        <v>0</v>
      </c>
    </row>
    <row r="135" spans="1:10" x14ac:dyDescent="0.25">
      <c r="C135">
        <v>2023</v>
      </c>
      <c r="D135">
        <v>150</v>
      </c>
      <c r="E135">
        <v>0</v>
      </c>
    </row>
    <row r="136" spans="1:10" x14ac:dyDescent="0.25">
      <c r="C136">
        <v>2022</v>
      </c>
      <c r="D136">
        <v>150</v>
      </c>
      <c r="E136">
        <v>0</v>
      </c>
    </row>
    <row r="137" spans="1:10" x14ac:dyDescent="0.25">
      <c r="C137">
        <v>2021</v>
      </c>
      <c r="D137">
        <v>150</v>
      </c>
      <c r="E137">
        <v>0</v>
      </c>
    </row>
    <row r="138" spans="1:10" x14ac:dyDescent="0.25">
      <c r="C138">
        <v>2020</v>
      </c>
      <c r="D138">
        <v>150</v>
      </c>
      <c r="E138">
        <v>150</v>
      </c>
    </row>
    <row r="139" spans="1:10" x14ac:dyDescent="0.25">
      <c r="C139">
        <v>2019</v>
      </c>
      <c r="D139">
        <v>150</v>
      </c>
      <c r="E139">
        <v>150</v>
      </c>
    </row>
    <row r="140" spans="1:10" x14ac:dyDescent="0.25">
      <c r="C140">
        <v>2018</v>
      </c>
      <c r="D140">
        <v>150</v>
      </c>
      <c r="E140">
        <v>150</v>
      </c>
    </row>
    <row r="141" spans="1:10" x14ac:dyDescent="0.25">
      <c r="C141">
        <v>2017</v>
      </c>
      <c r="D141">
        <v>150</v>
      </c>
      <c r="E141">
        <v>150</v>
      </c>
    </row>
    <row r="142" spans="1:10" x14ac:dyDescent="0.25">
      <c r="C142">
        <v>2016</v>
      </c>
      <c r="D142">
        <v>500</v>
      </c>
      <c r="E142">
        <v>500</v>
      </c>
    </row>
    <row r="143" spans="1:10" x14ac:dyDescent="0.25">
      <c r="C143">
        <v>2015</v>
      </c>
      <c r="D143">
        <v>500</v>
      </c>
      <c r="E143">
        <v>500</v>
      </c>
    </row>
    <row r="144" spans="1:10" x14ac:dyDescent="0.25">
      <c r="C144">
        <v>2014</v>
      </c>
      <c r="D144">
        <v>350</v>
      </c>
      <c r="E144">
        <v>350</v>
      </c>
    </row>
    <row r="145" spans="1:10" x14ac:dyDescent="0.25">
      <c r="C145">
        <v>2013</v>
      </c>
      <c r="D145">
        <v>350</v>
      </c>
      <c r="E145">
        <v>350</v>
      </c>
    </row>
    <row r="146" spans="1:10" x14ac:dyDescent="0.25">
      <c r="C146">
        <v>2012</v>
      </c>
      <c r="D146">
        <v>350</v>
      </c>
      <c r="E146">
        <v>350</v>
      </c>
    </row>
    <row r="147" spans="1:10" x14ac:dyDescent="0.25">
      <c r="C147">
        <v>2011</v>
      </c>
      <c r="D147">
        <v>120</v>
      </c>
      <c r="E147">
        <v>120</v>
      </c>
    </row>
    <row r="148" spans="1:10" x14ac:dyDescent="0.25">
      <c r="C148">
        <v>2010</v>
      </c>
      <c r="D148">
        <v>120</v>
      </c>
      <c r="E148">
        <v>120</v>
      </c>
    </row>
    <row r="149" spans="1:10" x14ac:dyDescent="0.25">
      <c r="C149">
        <v>2009</v>
      </c>
      <c r="D149">
        <v>120</v>
      </c>
      <c r="E149">
        <v>120</v>
      </c>
    </row>
    <row r="150" spans="1:10" x14ac:dyDescent="0.25">
      <c r="C150">
        <v>2008</v>
      </c>
      <c r="D150">
        <v>0</v>
      </c>
      <c r="E150">
        <v>0</v>
      </c>
    </row>
    <row r="151" spans="1:10" x14ac:dyDescent="0.25">
      <c r="A151" s="14" t="s">
        <v>5</v>
      </c>
      <c r="B151" s="9"/>
      <c r="C151" s="9"/>
      <c r="D151" s="9">
        <f>SUM(D132:D150)</f>
        <v>3910</v>
      </c>
      <c r="E151" s="9">
        <f>SUM(E132:E150)</f>
        <v>3010</v>
      </c>
    </row>
    <row r="152" spans="1:10" x14ac:dyDescent="0.25">
      <c r="A152" s="3" t="s">
        <v>6</v>
      </c>
      <c r="B152" s="3"/>
      <c r="C152" s="3"/>
      <c r="D152" s="3"/>
      <c r="E152" s="3"/>
      <c r="F152" s="3">
        <f>D151-E151</f>
        <v>900</v>
      </c>
    </row>
    <row r="154" spans="1:10" s="4" customFormat="1" ht="31.5" x14ac:dyDescent="0.25">
      <c r="A154" s="4" t="s">
        <v>4</v>
      </c>
      <c r="B154" s="4" t="s">
        <v>0</v>
      </c>
      <c r="C154" s="4" t="s">
        <v>3</v>
      </c>
      <c r="D154" s="4" t="s">
        <v>1</v>
      </c>
      <c r="E154" s="4" t="s">
        <v>2</v>
      </c>
      <c r="G154" s="5" t="s">
        <v>7</v>
      </c>
      <c r="H154" s="6" t="s">
        <v>8</v>
      </c>
      <c r="I154" s="7" t="s">
        <v>9</v>
      </c>
      <c r="J154" s="4" t="s">
        <v>13</v>
      </c>
    </row>
    <row r="155" spans="1:10" x14ac:dyDescent="0.25">
      <c r="A155">
        <v>8</v>
      </c>
      <c r="B155">
        <v>571750000028</v>
      </c>
      <c r="C155">
        <v>2025</v>
      </c>
      <c r="D155">
        <v>0</v>
      </c>
      <c r="E155">
        <v>0</v>
      </c>
      <c r="G155" s="8" t="s">
        <v>35</v>
      </c>
      <c r="H155" s="8" t="s">
        <v>33</v>
      </c>
      <c r="I155" s="8" t="s">
        <v>34</v>
      </c>
      <c r="J155" s="10" t="s">
        <v>14</v>
      </c>
    </row>
    <row r="156" spans="1:10" x14ac:dyDescent="0.25">
      <c r="C156">
        <v>2024</v>
      </c>
      <c r="D156">
        <v>150</v>
      </c>
      <c r="E156">
        <v>0</v>
      </c>
    </row>
    <row r="157" spans="1:10" x14ac:dyDescent="0.25">
      <c r="C157">
        <v>2023</v>
      </c>
      <c r="D157">
        <v>150</v>
      </c>
      <c r="E157">
        <v>0</v>
      </c>
    </row>
    <row r="158" spans="1:10" x14ac:dyDescent="0.25">
      <c r="C158">
        <v>2022</v>
      </c>
      <c r="D158">
        <v>150</v>
      </c>
      <c r="E158">
        <v>0</v>
      </c>
    </row>
    <row r="159" spans="1:10" x14ac:dyDescent="0.25">
      <c r="C159">
        <v>2021</v>
      </c>
      <c r="D159">
        <v>150</v>
      </c>
      <c r="E159">
        <v>150</v>
      </c>
    </row>
    <row r="160" spans="1:10" x14ac:dyDescent="0.25">
      <c r="C160">
        <v>2020</v>
      </c>
      <c r="D160">
        <v>150</v>
      </c>
      <c r="E160">
        <v>150</v>
      </c>
    </row>
    <row r="161" spans="1:6" x14ac:dyDescent="0.25">
      <c r="C161">
        <v>2019</v>
      </c>
      <c r="D161">
        <v>150</v>
      </c>
      <c r="E161">
        <v>150</v>
      </c>
    </row>
    <row r="162" spans="1:6" x14ac:dyDescent="0.25">
      <c r="C162">
        <v>2018</v>
      </c>
      <c r="D162">
        <v>150</v>
      </c>
      <c r="E162">
        <v>150</v>
      </c>
    </row>
    <row r="163" spans="1:6" x14ac:dyDescent="0.25">
      <c r="C163">
        <v>2017</v>
      </c>
      <c r="D163">
        <v>150</v>
      </c>
      <c r="E163">
        <v>150</v>
      </c>
    </row>
    <row r="164" spans="1:6" x14ac:dyDescent="0.25">
      <c r="C164">
        <v>2016</v>
      </c>
      <c r="D164">
        <v>120</v>
      </c>
      <c r="E164">
        <v>0</v>
      </c>
    </row>
    <row r="165" spans="1:6" x14ac:dyDescent="0.25">
      <c r="A165" s="14" t="s">
        <v>5</v>
      </c>
      <c r="B165" s="9"/>
      <c r="C165" s="9"/>
      <c r="D165" s="9">
        <f>SUM(D155:D164)</f>
        <v>1320</v>
      </c>
      <c r="E165" s="9">
        <f>SUM(E155:E164)</f>
        <v>750</v>
      </c>
    </row>
    <row r="166" spans="1:6" x14ac:dyDescent="0.25">
      <c r="A166" s="3" t="s">
        <v>6</v>
      </c>
      <c r="B166" s="13"/>
      <c r="C166" s="13"/>
      <c r="D166" s="13"/>
      <c r="E166" s="13"/>
      <c r="F166" s="13">
        <f>D165-E165</f>
        <v>570</v>
      </c>
    </row>
  </sheetData>
  <hyperlinks>
    <hyperlink ref="G2" r:id="rId1"/>
    <hyperlink ref="H2" r:id="rId2"/>
    <hyperlink ref="I2" r:id="rId3"/>
    <hyperlink ref="H12" r:id="rId4"/>
    <hyperlink ref="I12" r:id="rId5"/>
    <hyperlink ref="G12" r:id="rId6"/>
    <hyperlink ref="H44" r:id="rId7"/>
    <hyperlink ref="I44" r:id="rId8"/>
    <hyperlink ref="G44" r:id="rId9"/>
    <hyperlink ref="H60" r:id="rId10"/>
    <hyperlink ref="I60" r:id="rId11"/>
    <hyperlink ref="G60" r:id="rId12"/>
    <hyperlink ref="G79" r:id="rId13"/>
    <hyperlink ref="G110" r:id="rId14"/>
    <hyperlink ref="H132" r:id="rId15"/>
    <hyperlink ref="I132" r:id="rId16"/>
    <hyperlink ref="G132" r:id="rId17"/>
    <hyperlink ref="H155" r:id="rId18"/>
    <hyperlink ref="I155" r:id="rId19"/>
    <hyperlink ref="G155" r:id="rId20"/>
  </hyperlinks>
  <pageMargins left="0.7" right="0.7" top="0.75" bottom="0.75" header="0.3" footer="0.3"/>
  <pageSetup orientation="portrait" r:id="rId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Misl</dc:creator>
  <cp:lastModifiedBy>Misl</cp:lastModifiedBy>
  <dcterms:created xsi:type="dcterms:W3CDTF">2026-05-20T08:02:07Z</dcterms:created>
  <dcterms:modified xsi:type="dcterms:W3CDTF">2026-05-21T06:53:42Z</dcterms:modified>
</cp:coreProperties>
</file>