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binary" PartName="/xl/metadata"/>
  <Override ContentType="application/vnd.openxmlformats-officedocument.spreadsheetml.sharedStrings+xml" PartName="/xl/sharedStrings.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18218" sheetId="1" r:id="rId4"/>
    <sheet state="visible" name="18363" sheetId="2" r:id="rId5"/>
    <sheet state="visible" name="Data Preparation Combination(18" sheetId="3" r:id="rId6"/>
  </sheets>
  <definedNames/>
  <calcPr/>
  <extLst>
    <ext uri="GoogleSheetsCustomDataVersion2">
      <go:sheetsCustomData xmlns:go="http://customooxmlschemas.google.com/" r:id="rId7" roundtripDataChecksum="sw1/nkSorG+vB/0i/CN2l8wx+XstdNx2RTudaunmlOw="/>
    </ext>
  </extLst>
</workbook>
</file>

<file path=xl/sharedStrings.xml><?xml version="1.0" encoding="utf-8"?>
<sst xmlns="http://schemas.openxmlformats.org/spreadsheetml/2006/main" count="1171" uniqueCount="654">
  <si>
    <t>Product Name</t>
  </si>
  <si>
    <t>SL NO</t>
  </si>
  <si>
    <t>Event Type</t>
  </si>
  <si>
    <t>Payment Method</t>
  </si>
  <si>
    <t>Shadow Account No</t>
  </si>
  <si>
    <t>Account No</t>
  </si>
  <si>
    <t>ABABIL NG</t>
  </si>
  <si>
    <t>TC Start Date</t>
  </si>
  <si>
    <t>TC Execution Start Date</t>
  </si>
  <si>
    <t>23-10-2025</t>
  </si>
  <si>
    <t>Fixed Deposit Closing</t>
  </si>
  <si>
    <t>BEFTN</t>
  </si>
  <si>
    <t>1. 0025020000268    2. 0023010000208</t>
  </si>
  <si>
    <t>1. 0021110000094     2. 0021010000574</t>
  </si>
  <si>
    <t>TEST CASE STATUS</t>
  </si>
  <si>
    <t>RTGS</t>
  </si>
  <si>
    <t>Severity</t>
  </si>
  <si>
    <t>1. 0025020000268    2. 0025020000011</t>
  </si>
  <si>
    <t>1. 0021110000102      2. 0027110000026</t>
  </si>
  <si>
    <t>Transfer</t>
  </si>
  <si>
    <t>Priority</t>
  </si>
  <si>
    <t>1. 0021110000119     2. 0021110000144</t>
  </si>
  <si>
    <t>Cheque</t>
  </si>
  <si>
    <t>1. 0021110000128      2. 0024020000063</t>
  </si>
  <si>
    <t>Pay Order</t>
  </si>
  <si>
    <t>1. 0025020000268    2.  0023010000208</t>
  </si>
  <si>
    <t>1. 0021110000136     2. 0027110000034</t>
  </si>
  <si>
    <t>Event Name</t>
  </si>
  <si>
    <t>Recurring Deposit Closing</t>
  </si>
  <si>
    <t>1. 0023010000208    2. 0023010000208</t>
  </si>
  <si>
    <t>1. 0022220000081     2. 0027770000126</t>
  </si>
  <si>
    <t>TC End Date</t>
  </si>
  <si>
    <t>TC Execution End Date</t>
  </si>
  <si>
    <t>1. 0023010000208    2. 0025020000268</t>
  </si>
  <si>
    <t>1. 0022220000099  2. 0027770000084</t>
  </si>
  <si>
    <t>PASS</t>
  </si>
  <si>
    <t>1. 0025020000086     2. 0025020000268</t>
  </si>
  <si>
    <t>1. 0022140000269     2. 0027770000118</t>
  </si>
  <si>
    <t>1. 0027770000076     2. 0027770000092</t>
  </si>
  <si>
    <t>1. 0025020000094     2. 0025020000268</t>
  </si>
  <si>
    <t>1. 0022110000068      2. 0027770000109</t>
  </si>
  <si>
    <t>26-10-2025</t>
  </si>
  <si>
    <t>Withdrawal Advice</t>
  </si>
  <si>
    <t>1. 0025020000268      2. 0023010000208</t>
  </si>
  <si>
    <t>1. 0021010000566                        2. 0027110000018</t>
  </si>
  <si>
    <t>1. 0021010000566     2. 0027110000018</t>
  </si>
  <si>
    <t xml:space="preserve">1. 0021010000566  2. 0021010000566  </t>
  </si>
  <si>
    <t>1. 0023010000208    2. 0025020000268     3. 0025020000268   4. 0025020000268</t>
  </si>
  <si>
    <t xml:space="preserve">1. 0021010000566      2. 0021010000566      3. 0027110000018   4. 0027110000018 </t>
  </si>
  <si>
    <t>1. 0023010000208   2. 0025020000268</t>
  </si>
  <si>
    <t>1. 0021010000566      2. 0027110000018</t>
  </si>
  <si>
    <t>CASA Refund</t>
  </si>
  <si>
    <t>1. 0025020000409           2. 0023010000026</t>
  </si>
  <si>
    <t xml:space="preserve">1. 0023010000208  2. 0023010000067
</t>
  </si>
  <si>
    <t>1. 0023010000109     2. 0025020000052</t>
  </si>
  <si>
    <t>1. 0025020000169     2. 0023010000018</t>
  </si>
  <si>
    <t>1. 0025020000268      2. 0023010000083</t>
  </si>
  <si>
    <t>Critical</t>
  </si>
  <si>
    <t>Investment Disbursement</t>
  </si>
  <si>
    <t>1. 0023010000083     2. 0025020000011    3. 0025020000094</t>
  </si>
  <si>
    <t>1.0022020000307      2. 0022030000123   3. 0025070000044   4. 0025070000051</t>
  </si>
  <si>
    <t>1. 0023010000083    2. 0025020000409</t>
  </si>
  <si>
    <t>1. 0026660000097     2. 0025050000113</t>
  </si>
  <si>
    <t>High</t>
  </si>
  <si>
    <t>1. 0025020000409</t>
  </si>
  <si>
    <t>1. 0025050000121</t>
  </si>
  <si>
    <t>1. 0025050000139</t>
  </si>
  <si>
    <t>Para Form Name</t>
  </si>
  <si>
    <t>Profit Withdraw (Auto renewal)</t>
  </si>
  <si>
    <t>Enhanced MTDR and SSP Account Closure Validations and Notifications</t>
  </si>
  <si>
    <t>1. 0027110000042
2. 0027110000091</t>
  </si>
  <si>
    <t>Test Case Developed By</t>
  </si>
  <si>
    <t>Jannat</t>
  </si>
  <si>
    <t>Profit Withdraw</t>
  </si>
  <si>
    <t>1. 0025020000268     2. 0023010000208</t>
  </si>
  <si>
    <t>1. 0027110000059      2. 0027110000109</t>
  </si>
  <si>
    <t>The payout file generation UI requires the financing account number as a new searching parameter.</t>
  </si>
  <si>
    <t>FAIL</t>
  </si>
  <si>
    <t>1. 0025020000268     2. 0025020000219</t>
  </si>
  <si>
    <t>1. 0027110000067     2. 0027110000117</t>
  </si>
  <si>
    <t>1. 0027110000075    2. 0027110000125</t>
  </si>
  <si>
    <t>Medium</t>
  </si>
  <si>
    <t>1. 0027110000083     2. 0027110000133</t>
  </si>
  <si>
    <t>Profit Withdraw(Encashment)</t>
  </si>
  <si>
    <t>1.0025020000409(profit)     2. 0025020000268(encash)</t>
  </si>
  <si>
    <t>1. 0027110000141</t>
  </si>
  <si>
    <t>1. 0025020000409     2. 0025020000268</t>
  </si>
  <si>
    <t>1. 0027110000158</t>
  </si>
  <si>
    <t>1. 0027110000166</t>
  </si>
  <si>
    <t>Developer Name (TL)</t>
  </si>
  <si>
    <t>1. 0027110000174</t>
  </si>
  <si>
    <t>Test Case Reviewed By</t>
  </si>
  <si>
    <t>1. 0027110000182</t>
  </si>
  <si>
    <t>Mahbub Hossain</t>
  </si>
  <si>
    <t>1. 0027110000199</t>
  </si>
  <si>
    <t>NT</t>
  </si>
  <si>
    <t>1. 0027110000208</t>
  </si>
  <si>
    <t>Full balance</t>
  </si>
  <si>
    <t>1. 0027110000216</t>
  </si>
  <si>
    <t>Cheque(Other Amount)</t>
  </si>
  <si>
    <t>1. 0027110000224</t>
  </si>
  <si>
    <t>Low</t>
  </si>
  <si>
    <t>1. 0027110000232</t>
  </si>
  <si>
    <t xml:space="preserve">   </t>
  </si>
  <si>
    <t>1. 0027110000257</t>
  </si>
  <si>
    <t>Test Executed by</t>
  </si>
  <si>
    <t>MITS ID</t>
  </si>
  <si>
    <t>18218</t>
  </si>
  <si>
    <t>18363</t>
  </si>
  <si>
    <t>TOTAL</t>
  </si>
  <si>
    <t>Issue Accepted</t>
  </si>
  <si>
    <t>Req ID</t>
  </si>
  <si>
    <t>Requirement Description</t>
  </si>
  <si>
    <t>TC ID</t>
  </si>
  <si>
    <t>Test Case Description</t>
  </si>
  <si>
    <t>Category</t>
  </si>
  <si>
    <t>Test Steps</t>
  </si>
  <si>
    <t>Test Data</t>
  </si>
  <si>
    <t>Expected Result</t>
  </si>
  <si>
    <t>Actual Result</t>
  </si>
  <si>
    <t>QA Status</t>
  </si>
  <si>
    <t>Automation TC ID</t>
  </si>
  <si>
    <t>Tested By</t>
  </si>
  <si>
    <t>QA Remarks</t>
  </si>
  <si>
    <t>Dev Status</t>
  </si>
  <si>
    <t>Developed By</t>
  </si>
  <si>
    <t>Dev Remarks</t>
  </si>
  <si>
    <t>Updated QA Status</t>
  </si>
  <si>
    <t>Req_ID_01</t>
  </si>
  <si>
    <t>Update QA Remarks</t>
  </si>
  <si>
    <t>Req_Id_001</t>
  </si>
  <si>
    <t>Enhanced MTDR and SSP Closure Validations and Notifications</t>
  </si>
  <si>
    <t>Payout file generation UI requires the financing account number as a new searching parameter</t>
  </si>
  <si>
    <t>TC_01</t>
  </si>
  <si>
    <r>
      <rPr>
        <rFont val="Source Sans Pro"/>
        <color theme="1"/>
        <sz val="10.0"/>
      </rPr>
      <t xml:space="preserve">Verify if new </t>
    </r>
    <r>
      <rPr>
        <rFont val="Source Sans Pro"/>
        <b/>
        <color rgb="FF9900FF"/>
        <sz val="10.0"/>
      </rPr>
      <t xml:space="preserve">MTDR </t>
    </r>
    <r>
      <rPr>
        <rFont val="Source Sans Pro"/>
        <color theme="1"/>
        <sz val="10.0"/>
      </rPr>
      <t>account with 0 transactions can be closed</t>
    </r>
  </si>
  <si>
    <t>UI</t>
  </si>
  <si>
    <t>1. Open new MTDR account
2. Attempt closure</t>
  </si>
  <si>
    <t>1. Account Number: 0021110000029           2. Account Balance = 0</t>
  </si>
  <si>
    <t>Closure eligible; eligibleForClose = TRUE</t>
  </si>
  <si>
    <t>Error!
Fixed deposit account not found.This account cannot be closed</t>
  </si>
  <si>
    <t>TC-001</t>
  </si>
  <si>
    <t>Verify that Date, Event Type, and Payment Method are mandatory fields for a search.</t>
  </si>
  <si>
    <t>https://prnt.sc/c3X5ZOjRskJ7</t>
  </si>
  <si>
    <t>1. Navigate to Payment File Generation UI. 
2. Click the 'Search' button without selecting any criteria.</t>
  </si>
  <si>
    <t>Date: Blank, Event Type: Blank, Payment Method: Blank</t>
  </si>
  <si>
    <t>System should display an error message prompting the user to select mandatory fields (Date, Event Type, Payment Method).</t>
  </si>
  <si>
    <t>Error!
Search Form is invalid.</t>
  </si>
  <si>
    <t>https://prnt.sc/rAtENUYYnnfz</t>
  </si>
  <si>
    <t>TC-002</t>
  </si>
  <si>
    <t>Verify search is restricted with only Date and Event Type</t>
  </si>
  <si>
    <r>
      <rPr>
        <rFont val="Source Sans Pro"/>
        <color rgb="FF1155CC"/>
        <sz val="10.0"/>
        <u/>
      </rPr>
      <t>https://prnt.sc/fURNLc6ffmEO</t>
    </r>
    <r>
      <rPr>
        <rFont val="Source Sans Pro"/>
        <sz val="10.0"/>
      </rPr>
      <t xml:space="preserve">             </t>
    </r>
    <r>
      <rPr>
        <rFont val="Source Sans Pro"/>
        <color rgb="FF1155CC"/>
        <sz val="10.0"/>
        <u/>
      </rPr>
      <t>https://prnt.sc/_E3qc_gjSIo-</t>
    </r>
    <r>
      <rPr>
        <rFont val="Source Sans Pro"/>
        <sz val="10.0"/>
      </rPr>
      <t xml:space="preserve">      After charge is settled to 0, the account is closed successfully   </t>
    </r>
    <r>
      <rPr>
        <rFont val="Source Sans Pro"/>
        <color rgb="FF1155CC"/>
        <sz val="10.0"/>
        <u/>
      </rPr>
      <t>https://prnt.sc/cybLemUU41mG</t>
    </r>
    <r>
      <rPr>
        <rFont val="Source Sans Pro"/>
        <sz val="10.0"/>
      </rPr>
      <t xml:space="preserve">       </t>
    </r>
    <r>
      <rPr>
        <rFont val="Source Sans Pro"/>
        <color rgb="FF1155CC"/>
        <sz val="10.0"/>
        <u/>
      </rPr>
      <t>https://prnt.sc/jgTHXqtUGuAq</t>
    </r>
  </si>
  <si>
    <t>1. Enter Date. 
2. Select Event Type: Fixed Deposit Closing. 
3. Click Search.</t>
  </si>
  <si>
    <t>Payment Method field: Blank.</t>
  </si>
  <si>
    <t>Error message regarding the missing Payment Method should be displayed</t>
  </si>
  <si>
    <t>Payment method is required</t>
  </si>
  <si>
    <t>https://prnt.sc/nY4CcT8mA7-I</t>
  </si>
  <si>
    <t>TC_02</t>
  </si>
  <si>
    <t>Verify closure after first transaction</t>
  </si>
  <si>
    <t>1. Open new MTDR account  
2. Perform first transaction
3. Attempt closure</t>
  </si>
  <si>
    <t>1. Account Number: 0021110000037       2. Account Balance  = 10000</t>
  </si>
  <si>
    <t>Closure eligible if all validations pass; eligibleForClose = TRUE</t>
  </si>
  <si>
    <t>This account is eligible for closure; Fixed deposit account closed successfully. Voucher no: 240403140361</t>
  </si>
  <si>
    <t>TC-003</t>
  </si>
  <si>
    <t>https://prnt.sc/LYB8s-p2A2_t</t>
  </si>
  <si>
    <t>Verify search is restricted with only Date and Payment method</t>
  </si>
  <si>
    <t>1. Enter Date. 
2. Select Payment method. 
3. Click Search.</t>
  </si>
  <si>
    <t>Event Type field:  Blank</t>
  </si>
  <si>
    <t>Error message regarding the missing Event type should be displayed</t>
  </si>
  <si>
    <t>Event Type is required</t>
  </si>
  <si>
    <t>https://prnt.sc/JO3nbGtImoch</t>
  </si>
  <si>
    <t>https://prnt.sc/Vc10tKvEQAFN</t>
  </si>
  <si>
    <t>TC_03</t>
  </si>
  <si>
    <t>TC-004</t>
  </si>
  <si>
    <t>Verify closure rejected for CLOSED account</t>
  </si>
  <si>
    <t>Verify search is restricted with only Event type and Payment method</t>
  </si>
  <si>
    <t>1. Select Payment method and Event type. 3. Click Search.</t>
  </si>
  <si>
    <t>Date field: Blank</t>
  </si>
  <si>
    <t>1. Select MTDR account  with status CLOSED
2. Attempt account closure</t>
  </si>
  <si>
    <t>Error message regarding the missing Dateshould be displayed</t>
  </si>
  <si>
    <t xml:space="preserve">CLOSED Account number: 0021110000037       </t>
  </si>
  <si>
    <t>Date is required</t>
  </si>
  <si>
    <t>Closure rejected; shows: “Account is already close</t>
  </si>
  <si>
    <t>Account Status: Closed; Close button not visible; Reactivate button shown</t>
  </si>
  <si>
    <t>https://prnt.sc/ALr_tU75xIfn</t>
  </si>
  <si>
    <t>https://prnt.sc/Aiv0xOr6go3j</t>
  </si>
  <si>
    <t>TC-005</t>
  </si>
  <si>
    <r>
      <rPr>
        <rFont val="Source Sans Pro"/>
        <color theme="1"/>
        <sz val="10.0"/>
      </rPr>
      <t>Verify search for</t>
    </r>
    <r>
      <rPr>
        <rFont val="Source Sans Pro"/>
        <color rgb="FFFF9900"/>
        <sz val="10.0"/>
      </rPr>
      <t xml:space="preserve"> </t>
    </r>
    <r>
      <rPr>
        <rFont val="Source Sans Pro"/>
        <b/>
        <color rgb="FFFF9900"/>
        <sz val="10.0"/>
      </rPr>
      <t>FD Closing using</t>
    </r>
    <r>
      <rPr>
        <rFont val="Source Sans Pro"/>
        <color rgb="FFFF9900"/>
        <sz val="10.0"/>
      </rPr>
      <t xml:space="preserve"> </t>
    </r>
    <r>
      <rPr>
        <rFont val="Source Sans Pro"/>
        <color theme="1"/>
        <sz val="10.0"/>
      </rPr>
      <t>BEFTN</t>
    </r>
  </si>
  <si>
    <t>1. Enter Date. 2. Select Event Type  3. Select Payment Method 4. Click Search.</t>
  </si>
  <si>
    <t>Date: 04-04-2024, Event Type: FD Closing, Payment Method: BEFTN.</t>
  </si>
  <si>
    <t>Multiple records (at least those associated with Shadow A/C and A/C no should be displayed in the Account Information table.</t>
  </si>
  <si>
    <t xml:space="preserve">Account Information displayed successfully.The grid populated with accurate data:- Shadow Account No: 0023010000208 &amp; 0025020000268 Account No: 0021010000574 and 0021110000094 </t>
  </si>
  <si>
    <t>https://prnt.sc/13ZM3kZVysya</t>
  </si>
  <si>
    <t>TC-006</t>
  </si>
  <si>
    <r>
      <rPr>
        <rFont val="Source Sans Pro"/>
        <color theme="1"/>
        <sz val="10.0"/>
      </rPr>
      <t>Verify search for</t>
    </r>
    <r>
      <rPr>
        <rFont val="Source Sans Pro"/>
        <b/>
        <color rgb="FFFF9900"/>
        <sz val="10.0"/>
      </rPr>
      <t xml:space="preserve"> FD Closing using</t>
    </r>
    <r>
      <rPr>
        <rFont val="Source Sans Pro"/>
        <color theme="1"/>
        <sz val="10.0"/>
      </rPr>
      <t xml:space="preserve"> Pay Order.</t>
    </r>
  </si>
  <si>
    <t>https://prnt.sc/AaiAe_zCtepb</t>
  </si>
  <si>
    <t>1. Enter Date. 2. Select Event Type. 3. Select Payment Method. 4. Click Search.</t>
  </si>
  <si>
    <t>Event Type: FD Closing, Payment Method: Pay Order.</t>
  </si>
  <si>
    <t>Records should be displayed</t>
  </si>
  <si>
    <t>Account Information displayed successfully.The grid populated with accurate data:- Shadow Account No: 0025020000268 &amp; 0023010000208 Account No: 0021110000136 and 0027110000034</t>
  </si>
  <si>
    <t>https://prnt.sc/906qcgyJPX9F</t>
  </si>
  <si>
    <t>TC_04</t>
  </si>
  <si>
    <t>Verify that a CLOSED account can be reactivated successfully</t>
  </si>
  <si>
    <t>1. Select MTDR account with status CLOSED
2. Click Reactivate button
3. Confirm reactivation</t>
  </si>
  <si>
    <t xml:space="preserve">CLOSED Account number: 0021110000037   </t>
  </si>
  <si>
    <t>TC-007</t>
  </si>
  <si>
    <t>Account status changes to ACTIVATED; account is now eligible for closure</t>
  </si>
  <si>
    <t>Fixed deposit account reactivated successfully</t>
  </si>
  <si>
    <r>
      <rPr>
        <rFont val="Source Sans Pro"/>
        <color theme="1"/>
        <sz val="10.0"/>
      </rPr>
      <t xml:space="preserve">Verify search for </t>
    </r>
    <r>
      <rPr>
        <rFont val="Source Sans Pro"/>
        <b/>
        <color rgb="FFFF9900"/>
        <sz val="10.0"/>
      </rPr>
      <t>FD Closing using</t>
    </r>
    <r>
      <rPr>
        <rFont val="Source Sans Pro"/>
        <color theme="1"/>
        <sz val="10.0"/>
      </rPr>
      <t xml:space="preserve"> RTGS.</t>
    </r>
  </si>
  <si>
    <t>Event Type: FD Closing, Payment Method: RTGS.</t>
  </si>
  <si>
    <t>Account Information displayed successfully.</t>
  </si>
  <si>
    <t>https://prnt.sc/_aNr-ARIfjjq</t>
  </si>
  <si>
    <t>https://prnt.sc/guSnLup_SMNC</t>
  </si>
  <si>
    <t>https://prnt.sc/oCS9nkHG8TbW</t>
  </si>
  <si>
    <t>TC-008</t>
  </si>
  <si>
    <r>
      <rPr>
        <rFont val="Source Sans Pro"/>
        <color theme="1"/>
        <sz val="10.0"/>
      </rPr>
      <t xml:space="preserve">Verify search for </t>
    </r>
    <r>
      <rPr>
        <rFont val="Source Sans Pro"/>
        <b/>
        <color rgb="FFFF9900"/>
        <sz val="10.0"/>
      </rPr>
      <t>FD Closing using</t>
    </r>
    <r>
      <rPr>
        <rFont val="Source Sans Pro"/>
        <color theme="1"/>
        <sz val="10.0"/>
      </rPr>
      <t xml:space="preserve">  Cheque.</t>
    </r>
  </si>
  <si>
    <t>Event Type: FD Closing, Payment Method: Cheque.</t>
  </si>
  <si>
    <t>https://prnt.sc/bCleIdy9DMkG</t>
  </si>
  <si>
    <t>TC_05</t>
  </si>
  <si>
    <t>Verify closure rejected for non-activated account</t>
  </si>
  <si>
    <t>1. Select MTDR account not in ACTIVATED status
2. Attempt closure</t>
  </si>
  <si>
    <t>INACTIVE Account number: 0021110000045</t>
  </si>
  <si>
    <t>Closure rejected; shows: “Account status is not activated.”</t>
  </si>
  <si>
    <t>Account closing exception details show: “Account status is not activated</t>
  </si>
  <si>
    <t>https://prnt.sc/_lay9DnqzvcP</t>
  </si>
  <si>
    <t>TC-009</t>
  </si>
  <si>
    <r>
      <rPr>
        <rFont val="Source Sans Pro"/>
        <color theme="1"/>
        <sz val="10.0"/>
      </rPr>
      <t xml:space="preserve">Verify search for </t>
    </r>
    <r>
      <rPr>
        <rFont val="Source Sans Pro"/>
        <b/>
        <color rgb="FFFF9900"/>
        <sz val="10.0"/>
      </rPr>
      <t>FD Closing using</t>
    </r>
    <r>
      <rPr>
        <rFont val="Source Sans Pro"/>
        <color theme="1"/>
        <sz val="10.0"/>
      </rPr>
      <t xml:space="preserve"> Transfer.</t>
    </r>
  </si>
  <si>
    <t>Event Type: FD Closing, Payment Method: Transfer.</t>
  </si>
  <si>
    <t>https://prnt.sc/dCCmQUvDKFr3</t>
  </si>
  <si>
    <t>https://prnt.sc/QS1i-1iHw_tr</t>
  </si>
  <si>
    <t>TC-010</t>
  </si>
  <si>
    <r>
      <rPr>
        <rFont val="Source Sans Pro"/>
        <color theme="1"/>
        <sz val="10.0"/>
      </rPr>
      <t xml:space="preserve">Verify search/filter using Shadow Account Number for </t>
    </r>
    <r>
      <rPr>
        <rFont val="Source Sans Pro"/>
        <b/>
        <color rgb="FFFF9900"/>
        <sz val="10.0"/>
      </rPr>
      <t>FD Closing Account</t>
    </r>
    <r>
      <rPr>
        <rFont val="Source Sans Pro"/>
        <color theme="1"/>
        <sz val="10.0"/>
      </rPr>
      <t>.</t>
    </r>
  </si>
  <si>
    <t>1. Enter Shadow Account No 2. Click Search button.</t>
  </si>
  <si>
    <t>Event/Payment: FD Closing/BEFTN, Shadow A/C: 0023010000208, 0025020000268</t>
  </si>
  <si>
    <t>The Account Information table should display only the records linked to Shadow Account No 0025020000268.</t>
  </si>
  <si>
    <t>TC_06</t>
  </si>
  <si>
    <r>
      <rPr>
        <rFont val="Source Sans Pro"/>
        <color rgb="FF1155CC"/>
        <sz val="10.0"/>
        <u/>
      </rPr>
      <t>https://prnt.sc/tz7SeCXoAsLv</t>
    </r>
    <r>
      <rPr>
        <rFont val="Source Sans Pro"/>
        <color rgb="FF000000"/>
        <sz val="10.0"/>
      </rPr>
      <t xml:space="preserve">       </t>
    </r>
    <r>
      <rPr>
        <rFont val="Source Sans Pro"/>
        <color rgb="FF1155CC"/>
        <sz val="10.0"/>
        <u/>
      </rPr>
      <t>https://prnt.sc/fcY5H4jA4QLk</t>
    </r>
  </si>
  <si>
    <t>Verify closure blocked if account is frozen</t>
  </si>
  <si>
    <t>1. Select frozen MTDR account
2. Attempt closure</t>
  </si>
  <si>
    <t>Freeze flag = TRUE</t>
  </si>
  <si>
    <t>Closure rejected; shows: “Account is frozen.”</t>
  </si>
  <si>
    <t>Account closing exception details display:
“Freeze status validation: Account is frozen</t>
  </si>
  <si>
    <t>https://prnt.sc/8JNNxKQlO2qF</t>
  </si>
  <si>
    <t>TC-011</t>
  </si>
  <si>
    <r>
      <rPr>
        <rFont val="Source Sans Pro"/>
        <color theme="1"/>
        <sz val="10.0"/>
      </rPr>
      <t xml:space="preserve">Verify search/filter using Account Number (Financing A/C) for </t>
    </r>
    <r>
      <rPr>
        <rFont val="Source Sans Pro"/>
        <b/>
        <color rgb="FFFF9900"/>
        <sz val="10.0"/>
      </rPr>
      <t>FD Closing Account</t>
    </r>
    <r>
      <rPr>
        <rFont val="Source Sans Pro"/>
        <color theme="1"/>
        <sz val="10.0"/>
      </rPr>
      <t>.</t>
    </r>
  </si>
  <si>
    <t>1. Enter Account No. 2. Click the Search icon next to the Account Number field.</t>
  </si>
  <si>
    <t>Event/Payment: FD Closing/BEFTN, Account No: 0021010000574 and 0021110000094 .</t>
  </si>
  <si>
    <t>The Account Information table should display one single record corresponding exactly to Account No</t>
  </si>
  <si>
    <r>
      <rPr>
        <rFont val="Source Sans Pro"/>
        <color rgb="FF1155CC"/>
        <sz val="10.0"/>
        <u/>
      </rPr>
      <t>https://prnt.sc/R0t_sQr76KkK</t>
    </r>
    <r>
      <rPr>
        <rFont val="Source Sans Pro"/>
        <sz val="10.0"/>
      </rPr>
      <t xml:space="preserve">         </t>
    </r>
    <r>
      <rPr>
        <rFont val="Source Sans Pro"/>
        <color rgb="FF1155CC"/>
        <sz val="10.0"/>
        <u/>
      </rPr>
      <t>https://prnt.sc/cSPhhctkD_0O</t>
    </r>
    <r>
      <rPr>
        <rFont val="Source Sans Pro"/>
        <sz val="10.0"/>
      </rPr>
      <t xml:space="preserve">    </t>
    </r>
    <r>
      <rPr>
        <rFont val="Source Sans Pro"/>
        <color rgb="FF1155CC"/>
        <sz val="10.0"/>
        <u/>
      </rPr>
      <t>https://prnt.sc/SZtjFL9o28bh</t>
    </r>
  </si>
  <si>
    <r>
      <rPr>
        <rFont val="Source Sans Pro"/>
        <color rgb="FF1155CC"/>
        <sz val="10.0"/>
        <u/>
      </rPr>
      <t>https://prnt.sc/GWAtqsPiUpPC</t>
    </r>
    <r>
      <rPr>
        <rFont val="Source Sans Pro"/>
        <color rgb="FF000000"/>
        <sz val="10.0"/>
      </rPr>
      <t xml:space="preserve">     </t>
    </r>
    <r>
      <rPr>
        <rFont val="Source Sans Pro"/>
        <color rgb="FF1155CC"/>
        <sz val="10.0"/>
        <u/>
      </rPr>
      <t>https://prnt.sc/uNTZ7il9SAYp</t>
    </r>
  </si>
  <si>
    <t>TC_07</t>
  </si>
  <si>
    <t>Verify closure blocked if lien amount &gt; 0</t>
  </si>
  <si>
    <t>1. Select MTDR account with lien amount &gt; 0
2. Attempt closure</t>
  </si>
  <si>
    <t>1. Account no: 0021110000045              2. Lien percentage = 100</t>
  </si>
  <si>
    <t>Closure rejected; shows: “Lien amount found in this account.</t>
  </si>
  <si>
    <t>System displays in exception details: “Invalid",  lien amount found in this account.</t>
  </si>
  <si>
    <t>TC-012</t>
  </si>
  <si>
    <r>
      <rPr>
        <rFont val="Source Sans Pro"/>
        <color theme="1"/>
        <sz val="10.0"/>
      </rPr>
      <t xml:space="preserve">Verify search/filter using both Account Number  and shadow account (Financing A/C) for </t>
    </r>
    <r>
      <rPr>
        <rFont val="Source Sans Pro"/>
        <b/>
        <color rgb="FFFF9900"/>
        <sz val="10.0"/>
      </rPr>
      <t>FD Closing Account</t>
    </r>
    <r>
      <rPr>
        <rFont val="Source Sans Pro"/>
        <color theme="1"/>
        <sz val="10.0"/>
      </rPr>
      <t>.</t>
    </r>
  </si>
  <si>
    <t>1. Enter Account No. 2. Enter Shadow No. 3. Click the Search icon next to the Account Number field.</t>
  </si>
  <si>
    <t>Event/Payment: FD Closing/BEFTN,   Account No: 0021110000094    Shadow No: 0025020000268</t>
  </si>
  <si>
    <r>
      <rPr>
        <rFont val="Source Sans Pro"/>
        <color rgb="FF1155CC"/>
        <sz val="10.0"/>
        <u/>
      </rPr>
      <t>https://prnt.sc/kmyWmKXXwMXW</t>
    </r>
    <r>
      <rPr>
        <rFont val="Source Sans Pro"/>
        <sz val="10.0"/>
      </rPr>
      <t xml:space="preserve">          </t>
    </r>
    <r>
      <rPr>
        <rFont val="Source Sans Pro"/>
        <color rgb="FF1155CC"/>
        <sz val="10.0"/>
        <u/>
      </rPr>
      <t>https://prnt.sc/jfow68eCkR2t</t>
    </r>
  </si>
  <si>
    <t>https://prnt.sc/YzSOHt4fxCx6</t>
  </si>
  <si>
    <t>https://prnt.sc/lx7uDBZfZsdH</t>
  </si>
  <si>
    <t>TC-013</t>
  </si>
  <si>
    <r>
      <rPr>
        <rFont val="Source Sans Pro"/>
        <color theme="1"/>
        <sz val="10.0"/>
      </rPr>
      <t xml:space="preserve">Verify the error handling when searching with a unique, non-existent, or mismatched record combination for </t>
    </r>
    <r>
      <rPr>
        <rFont val="Source Sans Pro"/>
        <b/>
        <color rgb="FFFF9900"/>
        <sz val="10.0"/>
      </rPr>
      <t>FD Closing Account</t>
    </r>
    <r>
      <rPr>
        <rFont val="Source Sans Pro"/>
        <color theme="1"/>
        <sz val="10.0"/>
      </rPr>
      <t>.</t>
    </r>
  </si>
  <si>
    <t>1. Enter Date. 2. Select Event Type. 3. Select Payment Method. 4. Enter Shadow Account number. 5. Enter Account number. 6. Click the Search button.</t>
  </si>
  <si>
    <t>Date: 04-04-2024, Event Type: FD Closing, Payment Method: BEFTN, Shadow No: 0025020000268, Account No: 0021010000574.</t>
  </si>
  <si>
    <t xml:space="preserve"> The "No records found" message should appear below the table.</t>
  </si>
  <si>
    <t>Account not found for Fixed Deposit Closing</t>
  </si>
  <si>
    <t>https://prnt.sc/0afdztOJBlGF</t>
  </si>
  <si>
    <t>TC_08</t>
  </si>
  <si>
    <t>Verify closure blocked if quard amount &gt; 0</t>
  </si>
  <si>
    <t>1. Select MTDR account with quard amount &gt; 0
2. Attempt closure</t>
  </si>
  <si>
    <t>1. Account no: 0021110000037                       2. Quard percentage = 100</t>
  </si>
  <si>
    <t>Closure rejected; shows: “Quard amount found in this account.”</t>
  </si>
  <si>
    <t>System displays in exception details: “Invalid",  Quard amount found in this account.</t>
  </si>
  <si>
    <t>https://prnt.sc/taiyJP8HhGqu</t>
  </si>
  <si>
    <t>https://prnt.sc/c0TkddfZgec-</t>
  </si>
  <si>
    <t>TC-014</t>
  </si>
  <si>
    <t>Verify mandatory fields for Generate File option (Select Bank and Select Account).</t>
  </si>
  <si>
    <t>1. Execute a successful search (e.g., FD Closing/BEFTN) to retrieve records. 2. Do NOT select values for "Select Bank" or "Select Account". 3. Click the Generate File button.</t>
  </si>
  <si>
    <t>Records selected, Select Bank: Blank, Select Account: Blank.</t>
  </si>
  <si>
    <t>The system must display: Error! Form is invalid</t>
  </si>
  <si>
    <t>Error!
Form is invalid.</t>
  </si>
  <si>
    <t>TC_09</t>
  </si>
  <si>
    <t>Branch Validation: Verify closure blocked if account branch ≠ user branch ( Configuration value  = False)</t>
  </si>
  <si>
    <t>1. User from branch A selects account from branch B
2. Attempt closure</t>
  </si>
  <si>
    <t>1. Account  no: 0034020000013 (branch: 3)                                                 2. User branch: 2</t>
  </si>
  <si>
    <t>Closure rejected; shows: “Cannot close account from different branch.</t>
  </si>
  <si>
    <t>Close option not shown</t>
  </si>
  <si>
    <t>TC-015</t>
  </si>
  <si>
    <r>
      <rPr>
        <rFont val="Source Sans Pro"/>
        <color theme="1"/>
        <sz val="10.0"/>
      </rPr>
      <t xml:space="preserve">Verify Generate File functionality for </t>
    </r>
    <r>
      <rPr>
        <rFont val="Source Sans Pro"/>
        <b/>
        <color rgb="FFFF9900"/>
        <sz val="10.0"/>
      </rPr>
      <t>FD Closing payout via RTGS</t>
    </r>
  </si>
  <si>
    <t>https://prnt.sc/T8WqQ8dv8qTl</t>
  </si>
  <si>
    <t xml:space="preserve">1. Search for Records: Enter Date, select Event Type: Fixed Deposit Closing, and select Payment Method: RTGS.  2. Click the Search button. 3. Select Records: Select ALL retrieved records using the header checkbox. 4. Generate File: Click the Generate File button.  5. Confirm Action: Confirm the action </t>
  </si>
  <si>
    <t>1. Date: Valid (04-04-2024), 2. Event Type: Fixed Deposit Closing, 3. Payment Method: RTGS, Records: All retrieved.</t>
  </si>
  <si>
    <t>RTGS file (e.g., CSV/Excel file) should be successfully generated and downloaded</t>
  </si>
  <si>
    <t>Sucessfully RTGS, CSV file generated and downloaded.</t>
  </si>
  <si>
    <r>
      <rPr>
        <rFont val="Source Sans Pro"/>
        <color rgb="FF1155CC"/>
        <sz val="10.0"/>
        <u/>
      </rPr>
      <t>https://prnt.sc/nrvr7EZcZdQh</t>
    </r>
    <r>
      <rPr>
        <rFont val="Source Sans Pro"/>
        <sz val="10.0"/>
      </rPr>
      <t xml:space="preserve">     </t>
    </r>
    <r>
      <rPr>
        <rFont val="Source Sans Pro"/>
        <color rgb="FF1155CC"/>
        <sz val="10.0"/>
        <u/>
      </rPr>
      <t>https://prnt.sc/wTBJZB9fkvTC</t>
    </r>
    <r>
      <rPr>
        <rFont val="Source Sans Pro"/>
        <sz val="10.0"/>
      </rPr>
      <t xml:space="preserve">      </t>
    </r>
    <r>
      <rPr>
        <rFont val="Source Sans Pro"/>
        <color rgb="FF1155CC"/>
        <sz val="10.0"/>
        <u/>
      </rPr>
      <t>https://prnt.sc/uCeS57I8hlHY</t>
    </r>
  </si>
  <si>
    <t>https://prnt.sc/YVgTLcEEuJa2</t>
  </si>
  <si>
    <t>TC-016</t>
  </si>
  <si>
    <r>
      <rPr>
        <rFont val="Source Sans Pro"/>
        <color theme="1"/>
        <sz val="10.0"/>
      </rPr>
      <t xml:space="preserve">Verify Generate File functionality for </t>
    </r>
    <r>
      <rPr>
        <rFont val="Source Sans Pro"/>
        <b/>
        <color rgb="FFFF9900"/>
        <sz val="10.0"/>
      </rPr>
      <t>FD Closing payout via Transfer</t>
    </r>
  </si>
  <si>
    <t>TC_10</t>
  </si>
  <si>
    <t>Branch Validation: Verify closure blocked if account branch ≠ user branch ( Configuration value  = True)</t>
  </si>
  <si>
    <t xml:space="preserve">1. Search for Records: Enter Date, select Event Type: Fixed Deposit Closing, and select Payment Method: Transfer.  2. Click the Search button. 3. Select Records: Select ALL retrieved records using the header checkbox. 4. Generate File: Click the Generate File button.  5. Confirm Action: Confirm the action </t>
  </si>
  <si>
    <t>1. Date: Valid (04-04-2024), 2. Event Type: Fixed Deposit Closing, 3. Payment Method: Transfer, Records: All retrieved.</t>
  </si>
  <si>
    <t>BEFTN file (e.g., CSV/Excel file) should be successfully generated and downloaded</t>
  </si>
  <si>
    <t>1. Account  no: 0034020000013 (branch: 3)                                             2. User branch: 2</t>
  </si>
  <si>
    <t>Sucessfully Transfer, CSV file generated and downloaded.</t>
  </si>
  <si>
    <t>System displays in exception details: “Invalid",  Cannot close account from different branch.</t>
  </si>
  <si>
    <t>https://prnt.sc/9BzbFwo4zEMO</t>
  </si>
  <si>
    <r>
      <rPr>
        <rFont val="Source Sans Pro"/>
        <color rgb="FF1155CC"/>
        <sz val="10.0"/>
        <u/>
      </rPr>
      <t>https://prnt.sc/JiI-ohbcC5-Q</t>
    </r>
    <r>
      <rPr>
        <rFont val="Source Sans Pro"/>
        <color rgb="FF000000"/>
        <sz val="10.0"/>
      </rPr>
      <t xml:space="preserve">    </t>
    </r>
    <r>
      <rPr>
        <rFont val="Source Sans Pro"/>
        <color rgb="FF1155CC"/>
        <sz val="10.0"/>
        <u/>
      </rPr>
      <t>https://prnt.sc/h76j1TohhR-r</t>
    </r>
  </si>
  <si>
    <t>TC-017</t>
  </si>
  <si>
    <t>Verify the system prevents bulk actions (Generate File / Stop Payment) if no records are selected</t>
  </si>
  <si>
    <t>https://prnt.sc/USRn9zwkPKSZ</t>
  </si>
  <si>
    <t>1. Event Type: Recurring Deposit Closing, Payment Method: Transfer. 2. Select valid values for Select Bank and Select Account. 3. Do NOT select any records from the Account Information table checkboxes. 4. Click the Generate File button (or Stop Payment button).</t>
  </si>
  <si>
    <t>Event Type: FD Closing, Payment Method: Transfer, Select Bank/Account: Valid, Records: None selected</t>
  </si>
  <si>
    <t>The system must immediately display an error message clearly indicating that records must be selected before proceeding (matching the observed "Please select account information first" message).</t>
  </si>
  <si>
    <t>Error!
Please select account information first. (Generate File)      Error!
Please select payment information first. (Stop payment)</t>
  </si>
  <si>
    <r>
      <rPr>
        <rFont val="Source Sans Pro"/>
        <color rgb="FF1155CC"/>
        <sz val="10.0"/>
        <u/>
      </rPr>
      <t>https://prnt.sc/NtcLUXmA1xpn</t>
    </r>
    <r>
      <rPr>
        <rFont val="Source Sans Pro"/>
        <sz val="10.0"/>
      </rPr>
      <t xml:space="preserve">     https://prnt.sc/38PyuzIXXy9Q</t>
    </r>
  </si>
  <si>
    <t xml:space="preserve"> </t>
  </si>
  <si>
    <t>TC_11</t>
  </si>
  <si>
    <t>Verify system blocks closure when a CLOSED account ID is entered manually</t>
  </si>
  <si>
    <t>TC-018</t>
  </si>
  <si>
    <t xml:space="preserve">Verify mandatory fields for Do Transaction option </t>
  </si>
  <si>
    <t>1. Attempt to open account closure screen
2. Manually input an account number that is already CLOSED (or replace an active account ID with a closed one)</t>
  </si>
  <si>
    <t>Account No (Closed): 0021110000052</t>
  </si>
  <si>
    <t>System displays error popup: “Account is closed</t>
  </si>
  <si>
    <t>Error! 	
0021110000052 Account is closed. Exception log no :2621438</t>
  </si>
  <si>
    <t>1. Search: Event Type, Payment Method. 2. Do NOT select values for "Select Bank" or "Select Account". 4. Click the Do Transaction button.</t>
  </si>
  <si>
    <t>"Error!
Form is invalid."</t>
  </si>
  <si>
    <t>https://prnt.sc/rfhdx-FJrECb</t>
  </si>
  <si>
    <t>https://prnt.sc/N5JvrEvMUjBK</t>
  </si>
  <si>
    <t>https://prnt.sc/VK92vjnKfcew</t>
  </si>
  <si>
    <t>TC-019</t>
  </si>
  <si>
    <t xml:space="preserve">Verify successful execution of Do Transaction for selected records using the Pay Order method. </t>
  </si>
  <si>
    <t xml:space="preserve">1. Search for Records: Enter Date, select Event Type: Fixed Deposit Closing, and select Payment Method.  2. Click the Search button. 3. Select Records: Select ALL retrieved records using the header checkbox. 4. Generate File: Click the Generate File button.  5. Confirm Action: Confirm the action </t>
  </si>
  <si>
    <t>Event Type: FD Closing, Payment Method: Pay Order, Records: Selected, Bank/Account: Valid source selected.</t>
  </si>
  <si>
    <t>The system should display a success message (e.g., "Transaction completed successfully").</t>
  </si>
  <si>
    <t>Transaction Sucessfully</t>
  </si>
  <si>
    <r>
      <rPr>
        <rFont val="Source Sans Pro"/>
        <color rgb="FF1155CC"/>
        <sz val="10.0"/>
        <u/>
      </rPr>
      <t>https://prnt.sc/P62WZ-A1soRR</t>
    </r>
    <r>
      <rPr>
        <rFont val="Source Sans Pro"/>
        <color rgb="FF000000"/>
        <sz val="10.0"/>
      </rPr>
      <t xml:space="preserve">     </t>
    </r>
    <r>
      <rPr>
        <rFont val="Source Sans Pro"/>
        <color rgb="FF1155CC"/>
        <sz val="10.0"/>
        <u/>
      </rPr>
      <t>https://prnt.sc/yptp0DaJ12U-</t>
    </r>
  </si>
  <si>
    <t>TC_12</t>
  </si>
  <si>
    <r>
      <rPr>
        <rFont val="Source Sans Pro"/>
        <color theme="1"/>
        <sz val="10.0"/>
      </rPr>
      <t xml:space="preserve">Verify if new </t>
    </r>
    <r>
      <rPr>
        <rFont val="Source Sans Pro"/>
        <b/>
        <color rgb="FFBF9000"/>
        <sz val="10.0"/>
      </rPr>
      <t>SSP</t>
    </r>
    <r>
      <rPr>
        <rFont val="Source Sans Pro"/>
        <b/>
        <color rgb="FF46BDC6"/>
        <sz val="10.0"/>
      </rPr>
      <t xml:space="preserve"> </t>
    </r>
    <r>
      <rPr>
        <rFont val="Source Sans Pro"/>
        <color theme="1"/>
        <sz val="10.0"/>
      </rPr>
      <t>account with 0 transactions can be closed</t>
    </r>
  </si>
  <si>
    <t>1. Open new SSP account
2. Attempt closure</t>
  </si>
  <si>
    <t>1. Account no: 0022220000016                   2. Account Balance  = 0</t>
  </si>
  <si>
    <t>Error!
Recurring deposit account not found.This account cannot be closed</t>
  </si>
  <si>
    <t>https://prnt.sc/CXyx4VvsSBNu</t>
  </si>
  <si>
    <t>TC-020</t>
  </si>
  <si>
    <t>Verify Stop Payment for selected records.</t>
  </si>
  <si>
    <t xml:space="preserve">1. Execute to retrieve records. 2. Select records using the checkboxes. 3. Click the Stop Payment button. </t>
  </si>
  <si>
    <t>The selected records should be processed for Stop Payment.</t>
  </si>
  <si>
    <t>Success!
Payment Stopped Successfully</t>
  </si>
  <si>
    <t>https://prnt.sc/-A8zhQApyOcj</t>
  </si>
  <si>
    <r>
      <rPr>
        <rFont val="Source Sans Pro"/>
        <color rgb="FF1155CC"/>
        <sz val="10.0"/>
        <u/>
      </rPr>
      <t>https://prnt.sc/EV4wdCG-8BRD</t>
    </r>
    <r>
      <rPr>
        <rFont val="Source Sans Pro"/>
        <sz val="10.0"/>
      </rPr>
      <t xml:space="preserve">       </t>
    </r>
    <r>
      <rPr>
        <rFont val="Source Sans Pro"/>
        <color rgb="FF1155CC"/>
        <sz val="10.0"/>
        <u/>
      </rPr>
      <t>https://prnt.sc/mYpbvYMOqvRk</t>
    </r>
    <r>
      <rPr>
        <rFont val="Source Sans Pro"/>
        <sz val="10.0"/>
      </rPr>
      <t xml:space="preserve">    After charge is settled to 0, the account is closed successfully        </t>
    </r>
    <r>
      <rPr>
        <rFont val="Source Sans Pro"/>
        <color rgb="FF1155CC"/>
        <sz val="10.0"/>
        <u/>
      </rPr>
      <t>https://prnt.sc/cZJTHgqjUbcA</t>
    </r>
  </si>
  <si>
    <t>TC-021</t>
  </si>
  <si>
    <r>
      <rPr>
        <rFont val="Source Sans Pro"/>
        <color theme="1"/>
        <sz val="10.0"/>
      </rPr>
      <t xml:space="preserve">Verify search for </t>
    </r>
    <r>
      <rPr>
        <rFont val="Source Sans Pro"/>
        <b/>
        <color rgb="FFCC4125"/>
        <sz val="10.0"/>
      </rPr>
      <t>Recurring Deposit Closing using</t>
    </r>
    <r>
      <rPr>
        <rFont val="Source Sans Pro"/>
        <color rgb="FFE06666"/>
        <sz val="10.0"/>
      </rPr>
      <t xml:space="preserve"> </t>
    </r>
    <r>
      <rPr>
        <rFont val="Source Sans Pro"/>
        <color theme="1"/>
        <sz val="10.0"/>
      </rPr>
      <t>Transfer.</t>
    </r>
  </si>
  <si>
    <t>TC_13</t>
  </si>
  <si>
    <t>Event Type: RD Closing, Payment Method: Transfer</t>
  </si>
  <si>
    <t>1. Open new SSP account
2. Perform first transaction
3. Attempt closure</t>
  </si>
  <si>
    <t>1. Account no: 0022220000032                  2. Account Balance = 2500</t>
  </si>
  <si>
    <t>Recuring deposit account closed successfully. Voucher no: 240403140386</t>
  </si>
  <si>
    <t>https://prnt.sc/zyDaHnDom09U</t>
  </si>
  <si>
    <t>https://prnt.sc/KbbneClhx5-I</t>
  </si>
  <si>
    <t>https://prnt.sc/ch1RZqq8vllh</t>
  </si>
  <si>
    <t>TC-022</t>
  </si>
  <si>
    <r>
      <rPr>
        <rFont val="Source Sans Pro"/>
        <color theme="1"/>
        <sz val="10.0"/>
      </rPr>
      <t>Verify search for</t>
    </r>
    <r>
      <rPr>
        <rFont val="Source Sans Pro"/>
        <color rgb="FFCC4125"/>
        <sz val="10.0"/>
      </rPr>
      <t xml:space="preserve"> </t>
    </r>
    <r>
      <rPr>
        <rFont val="Source Sans Pro"/>
        <b/>
        <color rgb="FFCC4125"/>
        <sz val="10.0"/>
      </rPr>
      <t>RD Closing using</t>
    </r>
    <r>
      <rPr>
        <rFont val="Source Sans Pro"/>
        <color rgb="FFCC4125"/>
        <sz val="10.0"/>
      </rPr>
      <t xml:space="preserve"> </t>
    </r>
    <r>
      <rPr>
        <rFont val="Source Sans Pro"/>
        <color theme="1"/>
        <sz val="10.0"/>
      </rPr>
      <t>BEFTN</t>
    </r>
  </si>
  <si>
    <t>Date: Valid, Event Type: RD Closing, Payment Method: BEFTN.</t>
  </si>
  <si>
    <t>https://prnt.sc/NBBShWnvLzAr</t>
  </si>
  <si>
    <t>TC_14</t>
  </si>
  <si>
    <t>1. Select SSP account with status CLOSED
2. Attempt account closure</t>
  </si>
  <si>
    <t xml:space="preserve">CLOSED Account number: 0022220000032   </t>
  </si>
  <si>
    <t>Closure rejected; shows: “Account is already closed.”</t>
  </si>
  <si>
    <t>https://prnt.sc/Hz3TBTV6UrmD</t>
  </si>
  <si>
    <t>TC-023</t>
  </si>
  <si>
    <r>
      <rPr>
        <rFont val="Source Sans Pro"/>
        <color theme="1"/>
        <sz val="10.0"/>
      </rPr>
      <t xml:space="preserve">Verify search for </t>
    </r>
    <r>
      <rPr>
        <rFont val="Source Sans Pro"/>
        <b/>
        <color rgb="FFCC4125"/>
        <sz val="10.0"/>
      </rPr>
      <t>RD Closing using</t>
    </r>
    <r>
      <rPr>
        <rFont val="Source Sans Pro"/>
        <color theme="1"/>
        <sz val="10.0"/>
      </rPr>
      <t xml:space="preserve"> RTGS</t>
    </r>
  </si>
  <si>
    <t>Date: Valid, Event Type: RD Closing, Payment Method: RTGS.</t>
  </si>
  <si>
    <t>https://prnt.sc/a58xyE-NsmBt</t>
  </si>
  <si>
    <t>https://prnt.sc/gUvbipcfvari</t>
  </si>
  <si>
    <t>TC_15</t>
  </si>
  <si>
    <t>1. Select SSP account with status CLOSED
2. Click Reactivate button
3. Confirm reactivation</t>
  </si>
  <si>
    <t>TC-024</t>
  </si>
  <si>
    <t>Recurring deposit account reactivated successfully</t>
  </si>
  <si>
    <r>
      <rPr>
        <rFont val="Source Sans Pro"/>
        <color theme="1"/>
        <sz val="10.0"/>
      </rPr>
      <t xml:space="preserve">Verify search for </t>
    </r>
    <r>
      <rPr>
        <rFont val="Source Sans Pro"/>
        <b/>
        <color rgb="FFCC4125"/>
        <sz val="10.0"/>
      </rPr>
      <t>RD Closing using</t>
    </r>
    <r>
      <rPr>
        <rFont val="Source Sans Pro"/>
        <color theme="1"/>
        <sz val="10.0"/>
      </rPr>
      <t xml:space="preserve"> Cheque</t>
    </r>
  </si>
  <si>
    <t>Date: Valid, Event Type: RD Closing, Payment Method: Cheque.</t>
  </si>
  <si>
    <t>https://prnt.sc/wxyqEZV0iN5B</t>
  </si>
  <si>
    <t>https://prnt.sc/Xlq35r9US_wu</t>
  </si>
  <si>
    <t>https://prnt.sc/CgKUAdh1BKDS</t>
  </si>
  <si>
    <t>TC-025</t>
  </si>
  <si>
    <r>
      <rPr>
        <rFont val="Source Sans Pro"/>
        <color theme="1"/>
        <sz val="10.0"/>
      </rPr>
      <t>Verify search for</t>
    </r>
    <r>
      <rPr>
        <rFont val="Source Sans Pro"/>
        <b/>
        <color rgb="FFCC4125"/>
        <sz val="10.0"/>
      </rPr>
      <t xml:space="preserve"> RD Closing using </t>
    </r>
    <r>
      <rPr>
        <rFont val="Source Sans Pro"/>
        <color theme="1"/>
        <sz val="10.0"/>
      </rPr>
      <t>Pay order</t>
    </r>
  </si>
  <si>
    <t>Date: Valid, Event Type: RD Closing, Payment Method:Pay order.</t>
  </si>
  <si>
    <t>https://prnt.sc/p_5DcuTyM6c_</t>
  </si>
  <si>
    <t>TC_16</t>
  </si>
  <si>
    <t>1. Select SSP account not in ACTIVATED status
2. Attempt closure</t>
  </si>
  <si>
    <t>Account status = INACTIVE</t>
  </si>
  <si>
    <t>TC-026</t>
  </si>
  <si>
    <t>https://prnt.sc/G7PUElAw8BDN</t>
  </si>
  <si>
    <r>
      <rPr>
        <rFont val="Source Sans Pro"/>
        <color theme="1"/>
        <sz val="10.0"/>
      </rPr>
      <t>Verify search/filter using Shadow Account Number for</t>
    </r>
    <r>
      <rPr>
        <rFont val="Source Sans Pro"/>
        <b/>
        <color rgb="FFCC4125"/>
        <sz val="10.0"/>
      </rPr>
      <t xml:space="preserve"> RD Closing Account</t>
    </r>
    <r>
      <rPr>
        <rFont val="Source Sans Pro"/>
        <color theme="1"/>
        <sz val="10.0"/>
      </rPr>
      <t>.</t>
    </r>
  </si>
  <si>
    <t>Event/Payment: RD Closing/Cheque, Shadow A/C: 0023010000208, 0025020000268</t>
  </si>
  <si>
    <t xml:space="preserve">The Account Information table should display only the records linked to Shadow Account No 0023010000208 . </t>
  </si>
  <si>
    <t>https://prnt.sc/NhlQKrZwGwUE</t>
  </si>
  <si>
    <r>
      <rPr>
        <rFont val="Source Sans Pro"/>
        <color rgb="FF1155CC"/>
        <sz val="10.0"/>
        <u/>
      </rPr>
      <t>https://prnt.sc/__NmrNFR-96D</t>
    </r>
    <r>
      <rPr>
        <rFont val="Source Sans Pro"/>
        <color rgb="FF000000"/>
        <sz val="10.0"/>
      </rPr>
      <t xml:space="preserve">      </t>
    </r>
    <r>
      <rPr>
        <rFont val="Source Sans Pro"/>
        <color rgb="FF1155CC"/>
        <sz val="10.0"/>
        <u/>
      </rPr>
      <t>https://prnt.sc/mvFcA2EzMt0Y</t>
    </r>
  </si>
  <si>
    <t>TC_17</t>
  </si>
  <si>
    <t>1. Select frozen SSP account
2. Attempt closure</t>
  </si>
  <si>
    <t>1. Account no: 0022220000049 ; Freeze flag = TRUE</t>
  </si>
  <si>
    <t>Account closing exception details display:
“Freeze status validation: Account is frozen"</t>
  </si>
  <si>
    <t>https://prnt.sc/I0MVblWSd-E1</t>
  </si>
  <si>
    <t>TC-027</t>
  </si>
  <si>
    <r>
      <rPr>
        <rFont val="Source Sans Pro"/>
        <color theme="1"/>
        <sz val="10.0"/>
      </rPr>
      <t xml:space="preserve">Verify search/filter using Account Number (Financing A/C) for </t>
    </r>
    <r>
      <rPr>
        <rFont val="Source Sans Pro"/>
        <b/>
        <color rgb="FFCC4125"/>
        <sz val="10.0"/>
      </rPr>
      <t>RD Closing Account</t>
    </r>
  </si>
  <si>
    <t>Event/Payment: RD Closing/Pay order, Account No: 0022110000068      and  0027770000109.</t>
  </si>
  <si>
    <r>
      <rPr>
        <rFont val="Source Sans Pro"/>
        <color rgb="FF1155CC"/>
        <sz val="10.0"/>
        <u/>
      </rPr>
      <t>https://prnt.sc/CeNmvmDkUcKU</t>
    </r>
    <r>
      <rPr>
        <rFont val="Source Sans Pro"/>
        <color rgb="FF000000"/>
        <sz val="10.0"/>
      </rPr>
      <t xml:space="preserve">        </t>
    </r>
    <r>
      <rPr>
        <rFont val="Source Sans Pro"/>
        <color rgb="FF1155CC"/>
        <sz val="10.0"/>
        <u/>
      </rPr>
      <t>https://prnt.sc/pHweUCA12zaq</t>
    </r>
  </si>
  <si>
    <r>
      <rPr>
        <rFont val="Source Sans Pro"/>
        <color rgb="FF1155CC"/>
        <sz val="10.0"/>
        <u/>
      </rPr>
      <t>https://prnt.sc/P_QcOy-mgkuw</t>
    </r>
    <r>
      <rPr>
        <rFont val="Source Sans Pro"/>
        <color rgb="FF000000"/>
        <sz val="10.0"/>
      </rPr>
      <t xml:space="preserve">   </t>
    </r>
    <r>
      <rPr>
        <rFont val="Source Sans Pro"/>
        <color rgb="FF1155CC"/>
        <sz val="10.0"/>
        <u/>
      </rPr>
      <t>https://prnt.sc/w8xvbtBoHRlc</t>
    </r>
  </si>
  <si>
    <t>TC_18</t>
  </si>
  <si>
    <t>Verify closure blocked if branch mismatch ( Configuration value  = False)</t>
  </si>
  <si>
    <t>Account branch ≠ User branch</t>
  </si>
  <si>
    <t>Closure rejected; shows: “Cannot close account from different branch.”</t>
  </si>
  <si>
    <t>https://prnt.sc/Gpw0QWp7dSzf</t>
  </si>
  <si>
    <t>TC-028</t>
  </si>
  <si>
    <r>
      <rPr>
        <rFont val="Source Sans Pro"/>
        <color theme="1"/>
        <sz val="10.0"/>
      </rPr>
      <t xml:space="preserve">Verify search/filter using both Account Number  and shadow account (Financing A/C) for </t>
    </r>
    <r>
      <rPr>
        <rFont val="Source Sans Pro"/>
        <b/>
        <color rgb="FFCC4125"/>
        <sz val="10.0"/>
      </rPr>
      <t>RD Closing Account</t>
    </r>
    <r>
      <rPr>
        <rFont val="Source Sans Pro"/>
        <color rgb="FFCC4125"/>
        <sz val="10.0"/>
      </rPr>
      <t>.</t>
    </r>
  </si>
  <si>
    <t xml:space="preserve">Event/Payment: RD Closing/BEFTN,   Account No: 0027770000126  Shadow No: 0023010000208    </t>
  </si>
  <si>
    <t>https://prnt.sc/va_5SC7ntQ36</t>
  </si>
  <si>
    <t>https://prnt.sc/30iysrse4AcV</t>
  </si>
  <si>
    <t>TC_19</t>
  </si>
  <si>
    <t>Verify closure blocked if branch mismatch ( Configuration value  =True)</t>
  </si>
  <si>
    <t>1. Account  no: 0022220000032 (branch: 2)                                               2. User branch: 3</t>
  </si>
  <si>
    <t>TC-029</t>
  </si>
  <si>
    <r>
      <rPr>
        <rFont val="Source Sans Pro"/>
        <color theme="1"/>
        <sz val="10.0"/>
      </rPr>
      <t xml:space="preserve">Verify the error handling when searching with a unique, non-existent, or mismatched record combination for </t>
    </r>
    <r>
      <rPr>
        <rFont val="Source Sans Pro"/>
        <b/>
        <color rgb="FFCC4125"/>
        <sz val="10.0"/>
      </rPr>
      <t>RD Closing Account</t>
    </r>
    <r>
      <rPr>
        <rFont val="Source Sans Pro"/>
        <color theme="1"/>
        <sz val="10.0"/>
      </rPr>
      <t>.</t>
    </r>
  </si>
  <si>
    <t>https://prnt.sc/0Q_ChcsRChub</t>
  </si>
  <si>
    <t>Date: 04-04-2024, Event Type: FD Closing, Payment Method: RTGS, Shadow No: 0023010000208, Account No: 0027770000084</t>
  </si>
  <si>
    <t>Account not found for Recurring Deposit Closing</t>
  </si>
  <si>
    <t>https://prnt.sc/pw2UoDEEN2ug</t>
  </si>
  <si>
    <t>https://prnt.sc/kkXRRyw8lPkM</t>
  </si>
  <si>
    <t>TC-030</t>
  </si>
  <si>
    <r>
      <rPr>
        <rFont val="Source Sans Pro"/>
        <color theme="1"/>
        <sz val="10.0"/>
      </rPr>
      <t xml:space="preserve">Verify Generate File functionality for </t>
    </r>
    <r>
      <rPr>
        <rFont val="Source Sans Pro"/>
        <b/>
        <color rgb="FFCC4125"/>
        <sz val="10.0"/>
      </rPr>
      <t>RD Closing payout via BEFTN</t>
    </r>
  </si>
  <si>
    <t>TC_20</t>
  </si>
  <si>
    <t xml:space="preserve">1. Search for Records: Enter Date, select Event Type: Fixed Deposit Closing, and select Payment Method: BEFTN.  2. Click the Search button. 3. Select Records: Select ALL retrieved records using the header checkbox. 4. Generate File: Click the Generate File button.  5. Confirm Action: Confirm the action </t>
  </si>
  <si>
    <t>1. Date: Valid (04-04-2024), 2. Event Type: Recurring Deposit Closing, 3. Payment Method: BEFTN, Records: All retrieved.</t>
  </si>
  <si>
    <t>1. Select SSP account with lien amount &gt; 0
2. Attempt closure</t>
  </si>
  <si>
    <t>Lien percentage = 100</t>
  </si>
  <si>
    <t>Sucessfully BEFTN, CSV file generated and downloaded.</t>
  </si>
  <si>
    <r>
      <rPr>
        <rFont val="Source Sans Pro"/>
        <color rgb="FF1155CC"/>
        <sz val="10.0"/>
        <u/>
      </rPr>
      <t>https://prnt.sc/rdckBfHhB7mH</t>
    </r>
    <r>
      <rPr>
        <rFont val="Source Sans Pro"/>
        <color rgb="FF000000"/>
        <sz val="10.0"/>
      </rPr>
      <t xml:space="preserve">     </t>
    </r>
    <r>
      <rPr>
        <rFont val="Source Sans Pro"/>
        <color rgb="FF1155CC"/>
        <sz val="10.0"/>
        <u/>
      </rPr>
      <t>https://prnt.sc/eoHKoGOTq-Af</t>
    </r>
  </si>
  <si>
    <r>
      <rPr>
        <rFont val="Source Sans Pro"/>
        <color rgb="FF1155CC"/>
        <sz val="10.0"/>
        <u/>
      </rPr>
      <t>https://prnt.sc/mseMiu__ONs_</t>
    </r>
    <r>
      <rPr>
        <rFont val="Source Sans Pro"/>
        <color rgb="FF777777"/>
        <sz val="10.0"/>
      </rPr>
      <t xml:space="preserve">       </t>
    </r>
    <r>
      <rPr>
        <rFont val="Source Sans Pro"/>
        <color rgb="FF1155CC"/>
        <sz val="10.0"/>
        <u/>
      </rPr>
      <t>https://prnt.sc/smgO3KxiVK8F</t>
    </r>
  </si>
  <si>
    <r>
      <rPr>
        <rFont val="Source Sans Pro"/>
        <color rgb="FF1155CC"/>
        <sz val="10.0"/>
        <u/>
      </rPr>
      <t>https://prnt.sc/kHETHzPNjmkP</t>
    </r>
    <r>
      <rPr>
        <rFont val="Source Sans Pro"/>
        <color rgb="FF000000"/>
        <sz val="10.0"/>
      </rPr>
      <t xml:space="preserve">    </t>
    </r>
    <r>
      <rPr>
        <rFont val="Source Sans Pro"/>
        <color rgb="FF1155CC"/>
        <sz val="10.0"/>
        <u/>
      </rPr>
      <t>https://prnt.sc/SohpSUmEKtjP</t>
    </r>
  </si>
  <si>
    <t>TC-031</t>
  </si>
  <si>
    <r>
      <rPr>
        <rFont val="Source Sans Pro"/>
        <color theme="1"/>
        <sz val="10.0"/>
      </rPr>
      <t xml:space="preserve">Verify Generate File functionality for </t>
    </r>
    <r>
      <rPr>
        <rFont val="Source Sans Pro"/>
        <b/>
        <color rgb="FFCC4125"/>
        <sz val="10.0"/>
      </rPr>
      <t>RD Closing payout via RTGS</t>
    </r>
  </si>
  <si>
    <t xml:space="preserve">1. Search for Records: Enter Date, select Event Type and select Payment Method  2. Click the Search button. 3. Select Records: Select ALL retrieved records using the header checkbox. 4. Generate File: Click the Generate File button.  5. Confirm Action: Confirm the action </t>
  </si>
  <si>
    <t>1. Date: Valid (04-04-2024), 2. Event Type: Recurring Deposit Closing, 3. Payment Method: RTGS, Records: All retrieved.</t>
  </si>
  <si>
    <r>
      <rPr>
        <rFont val="Source Sans Pro"/>
        <color rgb="FF1155CC"/>
        <sz val="10.0"/>
        <u/>
      </rPr>
      <t>https://prnt.sc/wKKFzHtYLhTT</t>
    </r>
    <r>
      <rPr>
        <rFont val="Source Sans Pro"/>
        <sz val="10.0"/>
      </rPr>
      <t xml:space="preserve">   </t>
    </r>
    <r>
      <rPr>
        <rFont val="Source Sans Pro"/>
        <color rgb="FF1155CC"/>
        <sz val="10.0"/>
        <u/>
      </rPr>
      <t>https://prnt.sc/eXaTDC6SXi3a</t>
    </r>
    <r>
      <rPr>
        <rFont val="Source Sans Pro"/>
        <sz val="10.0"/>
      </rPr>
      <t xml:space="preserve">   </t>
    </r>
    <r>
      <rPr>
        <rFont val="Source Sans Pro"/>
        <color rgb="FF1155CC"/>
        <sz val="10.0"/>
        <u/>
      </rPr>
      <t>https://prnt.sc/H0PykPiCVEPe</t>
    </r>
  </si>
  <si>
    <t>TC_21</t>
  </si>
  <si>
    <t>Account No (Closed): 0022220000024</t>
  </si>
  <si>
    <t>Error!
0022220000024 Account is closed. Exception log no :2621440</t>
  </si>
  <si>
    <t>TC-032</t>
  </si>
  <si>
    <t xml:space="preserve">Verify successful execution of Do Transaction for selected records using the Cheque method. </t>
  </si>
  <si>
    <t>Event Type: RD Closing, Payment Method: Cheque, Records: Selected, Bank/Account: Valid source selected.</t>
  </si>
  <si>
    <t>https://prnt.sc/JSWW43P3LNka</t>
  </si>
  <si>
    <r>
      <rPr>
        <rFont val="Source Sans Pro"/>
        <color rgb="FF1155CC"/>
        <sz val="10.0"/>
        <u/>
      </rPr>
      <t>https://prnt.sc/qgbnKSihVmzh</t>
    </r>
    <r>
      <rPr>
        <rFont val="Source Sans Pro"/>
        <color rgb="FF000000"/>
        <sz val="10.0"/>
      </rPr>
      <t xml:space="preserve">   </t>
    </r>
    <r>
      <rPr>
        <rFont val="Source Sans Pro"/>
        <color rgb="FF1155CC"/>
        <sz val="10.0"/>
        <u/>
      </rPr>
      <t>https://prnt.sc/FXcLB9fnnW7I</t>
    </r>
  </si>
  <si>
    <t>https://prnt.sc/j1GHZ8hfpTJI</t>
  </si>
  <si>
    <t>TC-033</t>
  </si>
  <si>
    <r>
      <rPr>
        <rFont val="Source Sans Pro"/>
        <color rgb="FF1155CC"/>
        <sz val="10.0"/>
        <u/>
      </rPr>
      <t>https://prnt.sc/0JRRMJFAnjzo</t>
    </r>
    <r>
      <rPr>
        <rFont val="Source Sans Pro"/>
        <color rgb="FF000000"/>
        <sz val="10.0"/>
      </rPr>
      <t xml:space="preserve">     </t>
    </r>
    <r>
      <rPr>
        <rFont val="Source Sans Pro"/>
        <color rgb="FF1155CC"/>
        <sz val="10.0"/>
        <u/>
      </rPr>
      <t>https://prnt.sc/mNrs1MKQT9sn</t>
    </r>
  </si>
  <si>
    <t>TC_22</t>
  </si>
  <si>
    <t>TC-034</t>
  </si>
  <si>
    <t>Verify closure eligibility when Auto Standing Instruction is selected automatically</t>
  </si>
  <si>
    <r>
      <rPr>
        <rFont val="Source Sans Pro"/>
        <color theme="1"/>
        <sz val="10.0"/>
      </rPr>
      <t xml:space="preserve">Verify search for </t>
    </r>
    <r>
      <rPr>
        <rFont val="Source Sans Pro"/>
        <b/>
        <color theme="9"/>
        <sz val="10.0"/>
      </rPr>
      <t>Withdrawal Advice</t>
    </r>
    <r>
      <rPr>
        <rFont val="Source Sans Pro"/>
        <b/>
        <color rgb="FFC27BA0"/>
        <sz val="10.0"/>
      </rPr>
      <t xml:space="preserve"> </t>
    </r>
    <r>
      <rPr>
        <rFont val="Source Sans Pro"/>
        <color theme="1"/>
        <sz val="10.0"/>
      </rPr>
      <t>using Pay Order.</t>
    </r>
  </si>
  <si>
    <t>Event Type: Withdrawal Advice, Payment Method: Pay Order.</t>
  </si>
  <si>
    <t>1. Select account with Auto Standing Instruction selected automatically.
2. Attempt to close the account.
3. Observe system response</t>
  </si>
  <si>
    <t>Account No: 0027770000076</t>
  </si>
  <si>
    <t>Account closed successfully.</t>
  </si>
  <si>
    <t>As per validation, account closed successfully after checking SI configuration</t>
  </si>
  <si>
    <t>https://prnt.sc/IQcGpinTv1YZ</t>
  </si>
  <si>
    <r>
      <rPr>
        <rFont val="Source Sans Pro"/>
        <color rgb="FF1155CC"/>
        <sz val="10.0"/>
        <u/>
      </rPr>
      <t>https://prnt.sc/PLsOsjKP69Xa</t>
    </r>
    <r>
      <rPr>
        <rFont val="Source Sans Pro"/>
        <sz val="10.0"/>
      </rPr>
      <t xml:space="preserve">             </t>
    </r>
    <r>
      <rPr>
        <rFont val="Source Sans Pro"/>
        <color rgb="FF1155CC"/>
        <sz val="10.0"/>
        <u/>
      </rPr>
      <t>https://prnt.sc/z74M19clvNnp</t>
    </r>
    <r>
      <rPr>
        <rFont val="Source Sans Pro"/>
        <sz val="10.0"/>
      </rPr>
      <t xml:space="preserve">    </t>
    </r>
    <r>
      <rPr>
        <rFont val="Source Sans Pro"/>
        <color rgb="FF1155CC"/>
        <sz val="10.0"/>
        <u/>
      </rPr>
      <t>https://prnt.sc/P185YFzGSIJy</t>
    </r>
    <r>
      <rPr>
        <rFont val="Source Sans Pro"/>
        <sz val="10.0"/>
      </rPr>
      <t xml:space="preserve">        </t>
    </r>
  </si>
  <si>
    <t>TC-035</t>
  </si>
  <si>
    <r>
      <rPr>
        <rFont val="Source Sans Pro"/>
        <color theme="1"/>
        <sz val="10.0"/>
      </rPr>
      <t xml:space="preserve">Verify search for </t>
    </r>
    <r>
      <rPr>
        <rFont val="Source Sans Pro"/>
        <b/>
        <color theme="9"/>
        <sz val="10.0"/>
      </rPr>
      <t>Withdrawal Advice</t>
    </r>
    <r>
      <rPr>
        <rFont val="Source Sans Pro"/>
        <color theme="1"/>
        <sz val="10.0"/>
      </rPr>
      <t xml:space="preserve"> using Cheque.</t>
    </r>
  </si>
  <si>
    <t>Event Type: Withdrawal Advice, Payment Method: Cheque.</t>
  </si>
  <si>
    <t>https://prnt.sc/KVGtX32IrayU</t>
  </si>
  <si>
    <t>TC-036</t>
  </si>
  <si>
    <r>
      <rPr>
        <rFont val="Source Sans Pro"/>
        <color theme="1"/>
        <sz val="10.0"/>
      </rPr>
      <t>Verify search for</t>
    </r>
    <r>
      <rPr>
        <rFont val="Source Sans Pro"/>
        <b/>
        <color theme="9"/>
        <sz val="10.0"/>
      </rPr>
      <t xml:space="preserve"> Withdrawal Advice</t>
    </r>
    <r>
      <rPr>
        <rFont val="Source Sans Pro"/>
        <color theme="1"/>
        <sz val="10.0"/>
      </rPr>
      <t xml:space="preserve"> using Transfer.</t>
    </r>
  </si>
  <si>
    <t>Event Type: Withdrawal Advice, Payment Method: Transfer.</t>
  </si>
  <si>
    <t>https://prnt.sc/6Ff-Ka2-zwFR</t>
  </si>
  <si>
    <t>TC-037</t>
  </si>
  <si>
    <r>
      <rPr>
        <rFont val="Source Sans Pro"/>
        <color theme="1"/>
        <sz val="10.0"/>
      </rPr>
      <t xml:space="preserve">Verify search for </t>
    </r>
    <r>
      <rPr>
        <rFont val="Source Sans Pro"/>
        <b/>
        <color theme="9"/>
        <sz val="10.0"/>
      </rPr>
      <t>Withdrawal Advice</t>
    </r>
    <r>
      <rPr>
        <rFont val="Source Sans Pro"/>
        <color theme="1"/>
        <sz val="10.0"/>
      </rPr>
      <t xml:space="preserve"> using RTGS.</t>
    </r>
  </si>
  <si>
    <t>Event Type: Withdrawal Advice, Payment Method: RTGS.</t>
  </si>
  <si>
    <t>https://prnt.sc/5u9vmfziLfRV</t>
  </si>
  <si>
    <t>TC-038</t>
  </si>
  <si>
    <r>
      <rPr>
        <rFont val="Source Sans Pro"/>
        <color theme="1"/>
        <sz val="10.0"/>
      </rPr>
      <t xml:space="preserve">Verify search for </t>
    </r>
    <r>
      <rPr>
        <rFont val="Source Sans Pro"/>
        <b/>
        <color rgb="FF46BDC6"/>
        <sz val="10.0"/>
      </rPr>
      <t xml:space="preserve">Withdrawal Advice </t>
    </r>
    <r>
      <rPr>
        <rFont val="Source Sans Pro"/>
        <color theme="1"/>
        <sz val="10.0"/>
      </rPr>
      <t>using BEFTN.</t>
    </r>
  </si>
  <si>
    <t>Event Type: Withdrawal Advice, Payment Method: BEFTN.</t>
  </si>
  <si>
    <t>https://prnt.sc/OtQ1K26Twz1d</t>
  </si>
  <si>
    <t>TC-039</t>
  </si>
  <si>
    <r>
      <rPr>
        <rFont val="Source Sans Pro"/>
        <color theme="1"/>
        <sz val="10.0"/>
      </rPr>
      <t xml:space="preserve">Verify search/filter using Shadow Account Number for </t>
    </r>
    <r>
      <rPr>
        <rFont val="Source Sans Pro"/>
        <b/>
        <color theme="9"/>
        <sz val="10.0"/>
      </rPr>
      <t>Withdrawal Advice Account</t>
    </r>
    <r>
      <rPr>
        <rFont val="Source Sans Pro"/>
        <color theme="1"/>
        <sz val="10.0"/>
      </rPr>
      <t>.</t>
    </r>
  </si>
  <si>
    <t>Event/Payment: Withdrawal Advice/BEFTN, Shadow A/C: 0025020000268; 0023010000208</t>
  </si>
  <si>
    <r>
      <rPr>
        <rFont val="Source Sans Pro"/>
        <color rgb="FF1155CC"/>
        <sz val="10.0"/>
        <u/>
      </rPr>
      <t>https://prnt.sc/hBssXsdO7ZcG</t>
    </r>
    <r>
      <rPr>
        <rFont val="Source Sans Pro"/>
        <color rgb="FF000000"/>
        <sz val="10.0"/>
      </rPr>
      <t xml:space="preserve">       </t>
    </r>
    <r>
      <rPr>
        <rFont val="Source Sans Pro"/>
        <color rgb="FF1155CC"/>
        <sz val="10.0"/>
        <u/>
      </rPr>
      <t>https://prnt.sc/XlgfHPV7rZgp</t>
    </r>
  </si>
  <si>
    <t>TC-040</t>
  </si>
  <si>
    <r>
      <rPr>
        <rFont val="Source Sans Pro"/>
        <color theme="1"/>
        <sz val="10.0"/>
      </rPr>
      <t xml:space="preserve">Verify search/filter using Account Number (Financing A/C) for </t>
    </r>
    <r>
      <rPr>
        <rFont val="Source Sans Pro"/>
        <b/>
        <color rgb="FF46BDC6"/>
        <sz val="10.0"/>
      </rPr>
      <t>Withdrawal Advice Account.</t>
    </r>
  </si>
  <si>
    <t>Event/Payment: Withdrawal Advice  /BEFTN, Account No: 0027110000018 and 0021010000566                        .</t>
  </si>
  <si>
    <r>
      <rPr>
        <rFont val="Source Sans Pro"/>
        <color rgb="FF1155CC"/>
        <sz val="10.0"/>
        <u/>
      </rPr>
      <t>https://prnt.sc/DkigTdDuUW7P</t>
    </r>
    <r>
      <rPr>
        <rFont val="Source Sans Pro"/>
        <color rgb="FF000000"/>
        <sz val="10.0"/>
      </rPr>
      <t xml:space="preserve">      </t>
    </r>
    <r>
      <rPr>
        <rFont val="Source Sans Pro"/>
        <color rgb="FF1155CC"/>
        <sz val="10.0"/>
        <u/>
      </rPr>
      <t>https://prnt.sc/T0o-o5hH8zks</t>
    </r>
  </si>
  <si>
    <t>TC-041</t>
  </si>
  <si>
    <r>
      <rPr>
        <rFont val="Source Sans Pro"/>
        <color theme="1"/>
        <sz val="10.0"/>
      </rPr>
      <t xml:space="preserve">Verify search/filter using both Account Number  and shadow account (Financing A/C) for </t>
    </r>
    <r>
      <rPr>
        <rFont val="Source Sans Pro"/>
        <b/>
        <color rgb="FF46BDC6"/>
        <sz val="10.0"/>
      </rPr>
      <t>Withdrawal Advice Account</t>
    </r>
    <r>
      <rPr>
        <rFont val="Source Sans Pro"/>
        <color theme="1"/>
        <sz val="10.0"/>
      </rPr>
      <t>.</t>
    </r>
  </si>
  <si>
    <t>Event/Payment: Withdrawal Advice /Transfer,   Account No: 0021010000566;  0021010000566  Shadow No: 0025020000268;   0023010000208</t>
  </si>
  <si>
    <r>
      <rPr>
        <rFont val="Source Sans Pro"/>
        <color rgb="FF1155CC"/>
        <sz val="10.0"/>
        <u/>
      </rPr>
      <t>https://prnt.sc/nSCP-kOMwH6u</t>
    </r>
    <r>
      <rPr>
        <rFont val="Source Sans Pro"/>
        <color rgb="FF000000"/>
        <sz val="10.0"/>
      </rPr>
      <t xml:space="preserve">       </t>
    </r>
    <r>
      <rPr>
        <rFont val="Source Sans Pro"/>
        <color rgb="FF1155CC"/>
        <sz val="10.0"/>
        <u/>
      </rPr>
      <t>https://prnt.sc/mcLpaABTkp1S</t>
    </r>
  </si>
  <si>
    <t>TC-042</t>
  </si>
  <si>
    <r>
      <rPr>
        <rFont val="Source Sans Pro"/>
        <color theme="1"/>
        <sz val="10.0"/>
      </rPr>
      <t xml:space="preserve">Verify the error handling when searching with a unique, non-existent, or mismatched record combination for </t>
    </r>
    <r>
      <rPr>
        <rFont val="Source Sans Pro"/>
        <b/>
        <color rgb="FF46BDC6"/>
        <sz val="10.0"/>
      </rPr>
      <t>Withdrawal Advice.</t>
    </r>
  </si>
  <si>
    <t>1. Enter Date. 2. Select Event Type 3. Select Payment Method 4. Enter Shadow Account number  5. Enter Account number. 6. Click the main Search button</t>
  </si>
  <si>
    <t>Date: 04-04-2024, Event Type: Withdrawal Advice, Payment Method: Cheque, Shadow No: 0023010000208, Account No: 0027110000018.</t>
  </si>
  <si>
    <t>The table should show "No records found.</t>
  </si>
  <si>
    <t>An Info! pop-up message is displayed: "Account not found for Withdrawal Advice". The table remains empty.</t>
  </si>
  <si>
    <t>https://prnt.sc/BDbCUzF5ka6E</t>
  </si>
  <si>
    <t>TC-043</t>
  </si>
  <si>
    <r>
      <rPr>
        <rFont val="Source Sans Pro"/>
        <color theme="1"/>
        <sz val="10.0"/>
      </rPr>
      <t xml:space="preserve">Verify Generate File functionality for </t>
    </r>
    <r>
      <rPr>
        <rFont val="Source Sans Pro"/>
        <b/>
        <color rgb="FF46BDC6"/>
        <sz val="10.0"/>
      </rPr>
      <t>Withdrawal Advice payout via BEFTN</t>
    </r>
  </si>
  <si>
    <t>1. Date: Valid (04-04-2024), 2. Event Type: Withdraw advice, 3. Payment Method: BEFTN, Records: All retrieved.</t>
  </si>
  <si>
    <r>
      <rPr>
        <rFont val="Source Sans Pro"/>
        <color rgb="FF1155CC"/>
        <sz val="10.0"/>
        <u/>
      </rPr>
      <t>https://prnt.sc/66tXa3aKYpyI</t>
    </r>
    <r>
      <rPr>
        <rFont val="Source Sans Pro"/>
        <sz val="10.0"/>
      </rPr>
      <t xml:space="preserve">        </t>
    </r>
    <r>
      <rPr>
        <rFont val="Source Sans Pro"/>
        <color rgb="FF1155CC"/>
        <sz val="10.0"/>
        <u/>
      </rPr>
      <t>https://prnt.sc/0O8DZuUeHtzk</t>
    </r>
    <r>
      <rPr>
        <rFont val="Source Sans Pro"/>
        <sz val="10.0"/>
      </rPr>
      <t xml:space="preserve">    </t>
    </r>
    <r>
      <rPr>
        <rFont val="Source Sans Pro"/>
        <color rgb="FF1155CC"/>
        <sz val="10.0"/>
        <u/>
      </rPr>
      <t>https://prnt.sc/4GYU4gzCJnss</t>
    </r>
  </si>
  <si>
    <t>TC-044</t>
  </si>
  <si>
    <r>
      <rPr>
        <rFont val="Source Sans Pro"/>
        <color theme="1"/>
        <sz val="10.0"/>
      </rPr>
      <t xml:space="preserve">Verify Generate File functionality for </t>
    </r>
    <r>
      <rPr>
        <rFont val="Source Sans Pro"/>
        <b/>
        <color rgb="FF46BDC6"/>
        <sz val="10.0"/>
      </rPr>
      <t>Withdrawal Advice payout via Transfer</t>
    </r>
  </si>
  <si>
    <t xml:space="preserve">1. Search for Records: Enter Date, select Event Type and select Payment Method.  2. Click the Search button. 3. Select Records: Select ALL retrieved records using the header checkbox. 4. Generate File: Click the Generate File button.  5. Confirm Action: Confirm the action </t>
  </si>
  <si>
    <t>1. Date: Valid (04-04-2024), 2. Event Type: Withdraw advice, 3. Payment Method: Transfer, Records: All retrieved.</t>
  </si>
  <si>
    <t>Transfer file (e.g., CSV/Excel file) should be successfully generated and downloaded</t>
  </si>
  <si>
    <r>
      <rPr>
        <rFont val="Source Sans Pro"/>
        <color rgb="FF1155CC"/>
        <sz val="10.0"/>
        <u/>
      </rPr>
      <t>https://prnt.sc/KtNTGGtNAMCT</t>
    </r>
    <r>
      <rPr>
        <rFont val="Source Sans Pro"/>
        <sz val="10.0"/>
      </rPr>
      <t xml:space="preserve">     </t>
    </r>
    <r>
      <rPr>
        <rFont val="Source Sans Pro"/>
        <color rgb="FF1155CC"/>
        <sz val="10.0"/>
        <u/>
      </rPr>
      <t>https://prnt.sc/SxbrGyhRQeL4</t>
    </r>
    <r>
      <rPr>
        <rFont val="Source Sans Pro"/>
        <sz val="10.0"/>
      </rPr>
      <t xml:space="preserve">    </t>
    </r>
    <r>
      <rPr>
        <rFont val="Source Sans Pro"/>
        <color rgb="FF1155CC"/>
        <sz val="10.0"/>
        <u/>
      </rPr>
      <t>https://prnt.sc/rH1chUhV86Em</t>
    </r>
  </si>
  <si>
    <t>TC-045</t>
  </si>
  <si>
    <r>
      <rPr>
        <rFont val="Source Sans Pro"/>
        <color theme="1"/>
        <sz val="10.0"/>
      </rPr>
      <t xml:space="preserve">Verify Do transcation File functionality for </t>
    </r>
    <r>
      <rPr>
        <rFont val="Source Sans Pro"/>
        <b/>
        <color rgb="FF46BDC6"/>
        <sz val="10.0"/>
      </rPr>
      <t>Withdrawal Advice payout via Pay Order</t>
    </r>
  </si>
  <si>
    <t xml:space="preserve">1. Search for Records: Enter Date, select Event Type, and select Payment Method.  2. Click the Search button. 3. Select Records: Select ALL retrieved records using the header checkbox. 4. Generate File: Click the Generate File button.  5. Confirm Action: Confirm the action </t>
  </si>
  <si>
    <t>1. Date: Valid (04-04-2024), 2. Event Type: Withdraw advice, 3. Payment Method: Pay order, Records: All retrieved.</t>
  </si>
  <si>
    <t>Transcation (e.g., CSV/Excel file) should be successfully generated and downloaded</t>
  </si>
  <si>
    <r>
      <rPr>
        <rFont val="Source Sans Pro"/>
        <color rgb="FF1155CC"/>
        <sz val="10.0"/>
        <u/>
      </rPr>
      <t>https://prnt.sc/VbM0Fns4x6U6</t>
    </r>
    <r>
      <rPr>
        <rFont val="Source Sans Pro"/>
        <color rgb="FF000000"/>
        <sz val="10.0"/>
      </rPr>
      <t xml:space="preserve">     </t>
    </r>
    <r>
      <rPr>
        <rFont val="Source Sans Pro"/>
        <color rgb="FF1155CC"/>
        <sz val="10.0"/>
        <u/>
      </rPr>
      <t>https://prnt.sc/6Vuxcyqg35_v</t>
    </r>
  </si>
  <si>
    <t>TC-046</t>
  </si>
  <si>
    <r>
      <rPr>
        <rFont val="Source Sans Pro"/>
        <color rgb="FF1155CC"/>
        <sz val="10.0"/>
        <u/>
      </rPr>
      <t>https://prnt.sc/xlrLb_bWwbwX</t>
    </r>
    <r>
      <rPr>
        <rFont val="Source Sans Pro"/>
        <color rgb="FF000000"/>
        <sz val="10.0"/>
      </rPr>
      <t xml:space="preserve">     </t>
    </r>
    <r>
      <rPr>
        <rFont val="Source Sans Pro"/>
        <color rgb="FF1155CC"/>
        <sz val="10.0"/>
        <u/>
      </rPr>
      <t>https://prnt.sc/Ir7LR8ixtiRJ</t>
    </r>
  </si>
  <si>
    <t>TC-047</t>
  </si>
  <si>
    <r>
      <rPr>
        <rFont val="Source Sans Pro"/>
        <color theme="1"/>
        <sz val="10.0"/>
      </rPr>
      <t xml:space="preserve">Verify search for </t>
    </r>
    <r>
      <rPr>
        <rFont val="Source Sans Pro"/>
        <b/>
        <color theme="6"/>
        <sz val="10.0"/>
      </rPr>
      <t>CASA Refund</t>
    </r>
    <r>
      <rPr>
        <rFont val="Source Sans Pro"/>
        <color theme="1"/>
        <sz val="10.0"/>
      </rPr>
      <t xml:space="preserve"> using Pay Order</t>
    </r>
  </si>
  <si>
    <t>Event Type: CASA Refund, Payment Method: Pay Order.</t>
  </si>
  <si>
    <t>https://prnt.sc/Y_sA9LutXBSV</t>
  </si>
  <si>
    <t>TC-048</t>
  </si>
  <si>
    <r>
      <rPr>
        <rFont val="Source Sans Pro"/>
        <color theme="1"/>
        <sz val="10.0"/>
      </rPr>
      <t xml:space="preserve">Verify search for </t>
    </r>
    <r>
      <rPr>
        <rFont val="Source Sans Pro"/>
        <b/>
        <color theme="6"/>
        <sz val="10.0"/>
      </rPr>
      <t>CASA Refund</t>
    </r>
    <r>
      <rPr>
        <rFont val="Source Sans Pro"/>
        <color theme="1"/>
        <sz val="10.0"/>
      </rPr>
      <t xml:space="preserve"> using Cheque</t>
    </r>
  </si>
  <si>
    <t>Event Type: CASA Refund, Payment Method: Cheque.</t>
  </si>
  <si>
    <t>https://prnt.sc/UE07op5InhoQ</t>
  </si>
  <si>
    <t>TC-049</t>
  </si>
  <si>
    <r>
      <rPr>
        <rFont val="Source Sans Pro"/>
        <color theme="1"/>
        <sz val="10.0"/>
      </rPr>
      <t xml:space="preserve">Verify search for </t>
    </r>
    <r>
      <rPr>
        <rFont val="Source Sans Pro"/>
        <b/>
        <color theme="6"/>
        <sz val="10.0"/>
      </rPr>
      <t>CASA Refund</t>
    </r>
    <r>
      <rPr>
        <rFont val="Source Sans Pro"/>
        <color theme="1"/>
        <sz val="10.0"/>
      </rPr>
      <t xml:space="preserve"> using Transfer</t>
    </r>
  </si>
  <si>
    <t>Event Type: CASA Refund, Payment Method: Transfer.</t>
  </si>
  <si>
    <t>https://prnt.sc/Pdn8bdH6vECz</t>
  </si>
  <si>
    <t>TC-050</t>
  </si>
  <si>
    <r>
      <rPr>
        <rFont val="Source Sans Pro"/>
        <color theme="1"/>
        <sz val="10.0"/>
      </rPr>
      <t xml:space="preserve">Verify search for </t>
    </r>
    <r>
      <rPr>
        <rFont val="Source Sans Pro"/>
        <b/>
        <color theme="6"/>
        <sz val="10.0"/>
      </rPr>
      <t>CASA Refund</t>
    </r>
    <r>
      <rPr>
        <rFont val="Source Sans Pro"/>
        <color theme="1"/>
        <sz val="10.0"/>
      </rPr>
      <t xml:space="preserve"> using RTGS</t>
    </r>
  </si>
  <si>
    <t>Event Type: CASA Refund, Payment Method: RTGS.</t>
  </si>
  <si>
    <t>https://prnt.sc/AwS5S4YMFPPw</t>
  </si>
  <si>
    <t>TC-051</t>
  </si>
  <si>
    <r>
      <rPr>
        <rFont val="Source Sans Pro"/>
        <color theme="1"/>
        <sz val="10.0"/>
      </rPr>
      <t xml:space="preserve">Verify search for </t>
    </r>
    <r>
      <rPr>
        <rFont val="Source Sans Pro"/>
        <b/>
        <color theme="6"/>
        <sz val="10.0"/>
      </rPr>
      <t xml:space="preserve">CASA Refund </t>
    </r>
    <r>
      <rPr>
        <rFont val="Source Sans Pro"/>
        <color theme="1"/>
        <sz val="10.0"/>
      </rPr>
      <t>using BEFTN</t>
    </r>
  </si>
  <si>
    <t>Event Type: CASA Refund, Payment Method: BEFTN.</t>
  </si>
  <si>
    <t>https://prnt.sc/3BBSpvYUHFpm</t>
  </si>
  <si>
    <t>TC-052</t>
  </si>
  <si>
    <r>
      <rPr>
        <rFont val="Source Sans Pro"/>
        <color theme="1"/>
        <sz val="10.0"/>
      </rPr>
      <t xml:space="preserve">Verify search/filter using Shadow Account Number for </t>
    </r>
    <r>
      <rPr>
        <rFont val="Source Sans Pro"/>
        <b/>
        <color rgb="FFFBBC04"/>
        <sz val="10.0"/>
      </rPr>
      <t>CASA Refund  Account</t>
    </r>
    <r>
      <rPr>
        <rFont val="Source Sans Pro"/>
        <color rgb="FFFBBC04"/>
        <sz val="10.0"/>
      </rPr>
      <t>.</t>
    </r>
  </si>
  <si>
    <t>Event/Payment: Withdrawal Advice/BEFTN, Shadow A/C:0025020000409; 
0023010000026</t>
  </si>
  <si>
    <t xml:space="preserve">The Account Information table should display only the records linked to Shadow Account No </t>
  </si>
  <si>
    <r>
      <rPr>
        <rFont val="Source Sans Pro"/>
        <color rgb="FF1155CC"/>
        <sz val="10.0"/>
        <u/>
      </rPr>
      <t>https://prnt.sc/3BBSpvYUHFpm</t>
    </r>
    <r>
      <rPr>
        <rFont val="Source Sans Pro"/>
        <color rgb="FF000000"/>
        <sz val="10.0"/>
      </rPr>
      <t xml:space="preserve">    </t>
    </r>
    <r>
      <rPr>
        <rFont val="Source Sans Pro"/>
        <color rgb="FF1155CC"/>
        <sz val="10.0"/>
        <u/>
      </rPr>
      <t>https://prnt.sc/t7rIwJAc9gF3</t>
    </r>
  </si>
  <si>
    <t>TC-053</t>
  </si>
  <si>
    <r>
      <rPr>
        <rFont val="Source Sans Pro"/>
        <color theme="1"/>
        <sz val="10.0"/>
      </rPr>
      <t xml:space="preserve">Verify search/filter using Account Number (Financing A/C) for </t>
    </r>
    <r>
      <rPr>
        <rFont val="Source Sans Pro"/>
        <b/>
        <color rgb="FFFBBC04"/>
        <sz val="10.0"/>
      </rPr>
      <t>CASA Refund  Account</t>
    </r>
  </si>
  <si>
    <t>Event/Payment: Withdrawal Advice  /BEFTN, Account No: 0023010000026 and 	0025020000409.</t>
  </si>
  <si>
    <r>
      <rPr>
        <rFont val="Source Sans Pro"/>
        <color rgb="FF1155CC"/>
        <sz val="10.0"/>
        <u/>
      </rPr>
      <t>https://prnt.sc/nbKOhtYo1XeH</t>
    </r>
    <r>
      <rPr>
        <rFont val="Source Sans Pro"/>
        <color rgb="FF000000"/>
        <sz val="10.0"/>
      </rPr>
      <t xml:space="preserve">   </t>
    </r>
    <r>
      <rPr>
        <rFont val="Source Sans Pro"/>
        <color rgb="FF1155CC"/>
        <sz val="10.0"/>
        <u/>
      </rPr>
      <t>https://prnt.sc/NmVXTyk061De</t>
    </r>
  </si>
  <si>
    <t>TC-054</t>
  </si>
  <si>
    <r>
      <rPr>
        <rFont val="Source Sans Pro"/>
        <color theme="1"/>
        <sz val="10.0"/>
      </rPr>
      <t xml:space="preserve">Verify search/filter using both Account Number  and shadow account (Financing A/C) for </t>
    </r>
    <r>
      <rPr>
        <rFont val="Source Sans Pro"/>
        <b/>
        <color rgb="FFFBBC04"/>
        <sz val="10.0"/>
      </rPr>
      <t>CASA Refund  Account</t>
    </r>
    <r>
      <rPr>
        <rFont val="Source Sans Pro"/>
        <color rgb="FFFBBC04"/>
        <sz val="10.0"/>
      </rPr>
      <t>.</t>
    </r>
  </si>
  <si>
    <t>Event/Payment: Withdrawal Advice /BEFTN,   Account No: 0025020000409 ;  0023010000026.  Shadow No: 0025020000409 ; 0023010000026.</t>
  </si>
  <si>
    <t>https://prnt.sc/l1LE6kEJ8C0y</t>
  </si>
  <si>
    <t>TC-055</t>
  </si>
  <si>
    <r>
      <rPr>
        <rFont val="Source Sans Pro"/>
        <color theme="1"/>
        <sz val="10.0"/>
      </rPr>
      <t xml:space="preserve">Verify search/filter using both Account Number  and shadow account (Financing A/C) for </t>
    </r>
    <r>
      <rPr>
        <rFont val="Source Sans Pro"/>
        <b/>
        <color rgb="FFFBBC04"/>
        <sz val="10.0"/>
      </rPr>
      <t>CASA Refund  Account.</t>
    </r>
  </si>
  <si>
    <r>
      <rPr>
        <rFont val="Source Sans Pro"/>
        <color rgb="FF1155CC"/>
        <sz val="10.0"/>
        <u/>
      </rPr>
      <t>https://prnt.sc/nSCP-kOMwH6u</t>
    </r>
    <r>
      <rPr>
        <rFont val="Source Sans Pro"/>
        <color rgb="FF000000"/>
        <sz val="10.0"/>
      </rPr>
      <t xml:space="preserve">       </t>
    </r>
    <r>
      <rPr>
        <rFont val="Source Sans Pro"/>
        <color rgb="FF1155CC"/>
        <sz val="10.0"/>
        <u/>
      </rPr>
      <t>https://prnt.sc/mcLpaABTkp1S</t>
    </r>
  </si>
  <si>
    <t>TC-056</t>
  </si>
  <si>
    <r>
      <rPr>
        <rFont val="Source Sans Pro"/>
        <color theme="1"/>
        <sz val="10.0"/>
      </rPr>
      <t xml:space="preserve">Verify the error handling when searching with a unique, non-existent, or mismatched record combination for </t>
    </r>
    <r>
      <rPr>
        <rFont val="Source Sans Pro"/>
        <b/>
        <color rgb="FFFBBC04"/>
        <sz val="10.0"/>
      </rPr>
      <t>CASA Refund  Account.</t>
    </r>
  </si>
  <si>
    <t>Date: 04-04-2024, Event Type: CASA Refund, Payment Method: RTGS, Shadow No: 0023010000208, Account No: 0023010000067.</t>
  </si>
  <si>
    <t xml:space="preserve">Account not found for Refund
</t>
  </si>
  <si>
    <t>https://prnt.sc/VL8cZKNm2Oz3</t>
  </si>
  <si>
    <t>TC-057</t>
  </si>
  <si>
    <r>
      <rPr>
        <rFont val="Source Sans Pro"/>
        <color theme="1"/>
        <sz val="10.0"/>
      </rPr>
      <t xml:space="preserve">Verify Generate File functionality for </t>
    </r>
    <r>
      <rPr>
        <rFont val="Source Sans Pro"/>
        <b/>
        <color rgb="FFFBBC04"/>
        <sz val="10.0"/>
      </rPr>
      <t>CASA Refund payout via BEFTN</t>
    </r>
  </si>
  <si>
    <t>1. Date: Valid (04-04-2024), 2. Event Type: CASA Refund, 3. Payment Method: BEFTN, Records: All retrieved.</t>
  </si>
  <si>
    <r>
      <rPr>
        <rFont val="Source Sans Pro"/>
        <color rgb="FF1155CC"/>
        <sz val="10.0"/>
        <u/>
      </rPr>
      <t>https://prnt.sc/bR5B3tPD_hNV</t>
    </r>
    <r>
      <rPr>
        <rFont val="Source Sans Pro"/>
        <sz val="10.0"/>
      </rPr>
      <t xml:space="preserve">   </t>
    </r>
    <r>
      <rPr>
        <rFont val="Source Sans Pro"/>
        <color rgb="FF1155CC"/>
        <sz val="10.0"/>
        <u/>
      </rPr>
      <t>https://prnt.sc/WzocYMcRpAJo</t>
    </r>
    <r>
      <rPr>
        <rFont val="Source Sans Pro"/>
        <sz val="10.0"/>
      </rPr>
      <t xml:space="preserve">      </t>
    </r>
    <r>
      <rPr>
        <rFont val="Source Sans Pro"/>
        <color rgb="FF1155CC"/>
        <sz val="10.0"/>
        <u/>
      </rPr>
      <t>https://prnt.sc/PK-ENICXzm49</t>
    </r>
  </si>
  <si>
    <t>TC-058</t>
  </si>
  <si>
    <r>
      <rPr>
        <rFont val="Source Sans Pro"/>
        <color theme="1"/>
        <sz val="10.0"/>
      </rPr>
      <t xml:space="preserve">Verify DO Transaction functionality for </t>
    </r>
    <r>
      <rPr>
        <rFont val="Source Sans Pro"/>
        <b/>
        <color rgb="FFFBBC04"/>
        <sz val="10.0"/>
      </rPr>
      <t>CASA Refund payout via Cheque</t>
    </r>
  </si>
  <si>
    <t xml:space="preserve">1. Search for Records: Enter Date, select Event Type, and select Payment Method.  2. Click the Search button. 3. Select Records: Select ALL retrieved records using the header checkbox. 4.  Click  Do transcation button.  5. Confirm the action </t>
  </si>
  <si>
    <t>1. Date: Valid (04-04-2024), 2. Event Type: CASA Refund, 3. Payment Method: Cheque, Records: All retrieved.</t>
  </si>
  <si>
    <t>Transaction should be successfully generated and downloaded</t>
  </si>
  <si>
    <t>As Expected</t>
  </si>
  <si>
    <r>
      <rPr>
        <rFont val="Source Sans Pro"/>
        <color rgb="FF1155CC"/>
        <sz val="10.0"/>
        <u/>
      </rPr>
      <t>https://prnt.sc/yIPFnJTUzjmk</t>
    </r>
    <r>
      <rPr>
        <rFont val="Source Sans Pro"/>
        <color rgb="FF000000"/>
        <sz val="10.0"/>
      </rPr>
      <t xml:space="preserve">   </t>
    </r>
    <r>
      <rPr>
        <rFont val="Source Sans Pro"/>
        <color rgb="FF1155CC"/>
        <sz val="10.0"/>
        <u/>
      </rPr>
      <t>https://prnt.sc/VgEBIG_RgRhH</t>
    </r>
  </si>
  <si>
    <t>TC-059</t>
  </si>
  <si>
    <t>https://prnt.sc/k5Z3DgV9-Kpu</t>
  </si>
  <si>
    <t>TC-060</t>
  </si>
  <si>
    <r>
      <rPr>
        <rFont val="Source Sans Pro"/>
        <color theme="1"/>
        <sz val="10.0"/>
      </rPr>
      <t>Verify search for</t>
    </r>
    <r>
      <rPr>
        <rFont val="Source Sans Pro"/>
        <b/>
        <color rgb="FFBF9000"/>
        <sz val="10.0"/>
      </rPr>
      <t xml:space="preserve"> Investment Disbursement </t>
    </r>
    <r>
      <rPr>
        <rFont val="Source Sans Pro"/>
        <color theme="1"/>
        <sz val="10.0"/>
      </rPr>
      <t>using RTGS</t>
    </r>
  </si>
  <si>
    <t>Event Type: Investment Disbursement, Payment Method: RTGS.</t>
  </si>
  <si>
    <t>https://prnt.sc/_bdXD55H3xvv</t>
  </si>
  <si>
    <t>TC-061</t>
  </si>
  <si>
    <r>
      <rPr>
        <rFont val="Source Sans Pro"/>
        <color theme="1"/>
        <sz val="10.0"/>
      </rPr>
      <t xml:space="preserve">Verify search for </t>
    </r>
    <r>
      <rPr>
        <rFont val="Source Sans Pro"/>
        <b/>
        <color rgb="FFBF9000"/>
        <sz val="10.0"/>
      </rPr>
      <t xml:space="preserve">Investment Disbursement </t>
    </r>
    <r>
      <rPr>
        <rFont val="Source Sans Pro"/>
        <color theme="1"/>
        <sz val="10.0"/>
      </rPr>
      <t>using Cheque</t>
    </r>
  </si>
  <si>
    <t>Event Type: Investment Disbursement, Payment Method: Cheque.</t>
  </si>
  <si>
    <t>https://prnt.sc/kUvjyu9I2jsk</t>
  </si>
  <si>
    <t>TC-062</t>
  </si>
  <si>
    <r>
      <rPr>
        <rFont val="Source Sans Pro"/>
        <color theme="1"/>
        <sz val="10.0"/>
      </rPr>
      <t xml:space="preserve">Verify search for </t>
    </r>
    <r>
      <rPr>
        <rFont val="Source Sans Pro"/>
        <b/>
        <color rgb="FFBF9000"/>
        <sz val="10.0"/>
      </rPr>
      <t xml:space="preserve">Investment Disbursement </t>
    </r>
    <r>
      <rPr>
        <rFont val="Source Sans Pro"/>
        <color theme="1"/>
        <sz val="10.0"/>
      </rPr>
      <t>using BEFTN</t>
    </r>
  </si>
  <si>
    <t>Event Type: Investment Disbursement, Payment Method: BEFTN.</t>
  </si>
  <si>
    <t>https://prnt.sc/FBX2k8w1sOm5</t>
  </si>
  <si>
    <t>TC-063</t>
  </si>
  <si>
    <r>
      <rPr>
        <rFont val="Source Sans Pro"/>
        <color theme="1"/>
        <sz val="10.0"/>
      </rPr>
      <t xml:space="preserve">Verify search for </t>
    </r>
    <r>
      <rPr>
        <rFont val="Source Sans Pro"/>
        <b/>
        <color rgb="FFBF9000"/>
        <sz val="10.0"/>
      </rPr>
      <t xml:space="preserve">Investment Disbursement </t>
    </r>
    <r>
      <rPr>
        <rFont val="Source Sans Pro"/>
        <color theme="1"/>
        <sz val="10.0"/>
      </rPr>
      <t>using Pay Order</t>
    </r>
  </si>
  <si>
    <t>Event Type: Investment Disbursement, Payment Method: Pay Order.</t>
  </si>
  <si>
    <t>TC-064</t>
  </si>
  <si>
    <r>
      <rPr>
        <rFont val="Source Sans Pro"/>
        <color theme="1"/>
        <sz val="10.0"/>
      </rPr>
      <t xml:space="preserve">Verify search/filter using Shadow Account Number for </t>
    </r>
    <r>
      <rPr>
        <rFont val="Source Sans Pro"/>
        <b/>
        <color rgb="FFBF9000"/>
        <sz val="10.0"/>
      </rPr>
      <t>Investment Disbursement.</t>
    </r>
  </si>
  <si>
    <t>Event/Payment: Investment Disbursement/RTGS, Shadow A/C: 0025020000011</t>
  </si>
  <si>
    <t xml:space="preserve">The Account Information table should display only the records linked to Shadow Account No 0025020000011  </t>
  </si>
  <si>
    <r>
      <rPr>
        <rFont val="Source Sans Pro"/>
        <color rgb="FF1155CC"/>
        <sz val="10.0"/>
        <u/>
      </rPr>
      <t>https://prnt.sc/oEbC_RmieOL6</t>
    </r>
    <r>
      <rPr>
        <rFont val="Source Sans Pro"/>
        <sz val="10.0"/>
      </rPr>
      <t xml:space="preserve">      </t>
    </r>
    <r>
      <rPr>
        <rFont val="Source Sans Pro"/>
        <color rgb="FF1155CC"/>
        <sz val="10.0"/>
        <u/>
      </rPr>
      <t>https://prnt.sc/XtpdvZZ0lh1O</t>
    </r>
    <r>
      <rPr>
        <rFont val="Source Sans Pro"/>
        <sz val="10.0"/>
      </rPr>
      <t xml:space="preserve">     </t>
    </r>
    <r>
      <rPr>
        <rFont val="Source Sans Pro"/>
        <color rgb="FF1155CC"/>
        <sz val="10.0"/>
        <u/>
      </rPr>
      <t>https://prnt.sc/1UAGq9BxXUS0</t>
    </r>
    <r>
      <rPr>
        <rFont val="Source Sans Pro"/>
        <sz val="10.0"/>
      </rPr>
      <t xml:space="preserve">  </t>
    </r>
    <r>
      <rPr>
        <rFont val="Source Sans Pro"/>
        <color rgb="FF1155CC"/>
        <sz val="10.0"/>
        <u/>
      </rPr>
      <t>https://prnt.sc/hg82IaexmVib</t>
    </r>
  </si>
  <si>
    <t>TC-065</t>
  </si>
  <si>
    <t>Verify search/filter using Account Number (Financing A/C).</t>
  </si>
  <si>
    <t>1. Execute TC-S-002 to get a result set. 2. Enter Account No. 3. Click the Search) icon next to the Account Number field.</t>
  </si>
  <si>
    <t>Event/Payment: Investment Disbursement./Pay Order, Account No: 0025070000051</t>
  </si>
  <si>
    <t>The Account Information table should display one single record corresponding exactly to Account No 0025070000051</t>
  </si>
  <si>
    <r>
      <rPr>
        <rFont val="Source Sans Pro"/>
        <color rgb="FF1155CC"/>
        <sz val="10.0"/>
        <u/>
      </rPr>
      <t>https://prnt.sc/Xpg3pgIC18Y6</t>
    </r>
    <r>
      <rPr>
        <rFont val="Source Sans Pro"/>
        <sz val="10.0"/>
      </rPr>
      <t xml:space="preserve">    </t>
    </r>
    <r>
      <rPr>
        <rFont val="Source Sans Pro"/>
        <color rgb="FF1155CC"/>
        <sz val="10.0"/>
        <u/>
      </rPr>
      <t>https://prnt.sc/TMbdIB-zA3cM</t>
    </r>
    <r>
      <rPr>
        <rFont val="Source Sans Pro"/>
        <sz val="10.0"/>
      </rPr>
      <t xml:space="preserve">    </t>
    </r>
    <r>
      <rPr>
        <rFont val="Source Sans Pro"/>
        <color rgb="FF1155CC"/>
        <sz val="10.0"/>
        <u/>
      </rPr>
      <t>https://prnt.sc/cNrN9mReCEbg</t>
    </r>
    <r>
      <rPr>
        <rFont val="Source Sans Pro"/>
        <sz val="10.0"/>
      </rPr>
      <t xml:space="preserve">   </t>
    </r>
    <r>
      <rPr>
        <rFont val="Source Sans Pro"/>
        <color rgb="FF1155CC"/>
        <sz val="10.0"/>
        <u/>
      </rPr>
      <t>https://prnt.sc/72jNA-3fDALh</t>
    </r>
  </si>
  <si>
    <t>TC-066</t>
  </si>
  <si>
    <r>
      <rPr>
        <rFont val="Source Sans Pro"/>
        <color theme="1"/>
        <sz val="10.0"/>
      </rPr>
      <t xml:space="preserve">Verify search/filter using both Account Number  and shadow account (Financing A/C) for </t>
    </r>
    <r>
      <rPr>
        <rFont val="Source Sans Pro"/>
        <b/>
        <color rgb="FFBF9000"/>
        <sz val="10.0"/>
      </rPr>
      <t>Investment Disbursement.</t>
    </r>
  </si>
  <si>
    <t xml:space="preserve">Event/Payment: Investment Disbursement /RTGS,   Account No: 0022030000123;  0025070000044.  Shadow No: 0025020000011  </t>
  </si>
  <si>
    <r>
      <rPr>
        <rFont val="Source Sans Pro"/>
        <color rgb="FF1155CC"/>
        <sz val="10.0"/>
        <u/>
      </rPr>
      <t>https://prnt.sc/FSVcbf1EwIGl</t>
    </r>
    <r>
      <rPr>
        <rFont val="Source Sans Pro"/>
        <color rgb="FF000000"/>
        <sz val="10.0"/>
      </rPr>
      <t xml:space="preserve">    </t>
    </r>
    <r>
      <rPr>
        <rFont val="Source Sans Pro"/>
        <color rgb="FF1155CC"/>
        <sz val="10.0"/>
        <u/>
      </rPr>
      <t>https://prnt.sc/B4GsYMNqRITs</t>
    </r>
  </si>
  <si>
    <t>TC-067</t>
  </si>
  <si>
    <r>
      <rPr>
        <rFont val="Source Sans Pro"/>
        <color theme="1"/>
        <sz val="10.0"/>
      </rPr>
      <t xml:space="preserve">Verify the error handling when searching with a unique, non-existent, or mismatched record combination for </t>
    </r>
    <r>
      <rPr>
        <rFont val="Source Sans Pro"/>
        <b/>
        <color rgb="FFBF9000"/>
        <sz val="10.0"/>
      </rPr>
      <t>Investment Disbursement.</t>
    </r>
  </si>
  <si>
    <t>Date: 04-04-2024, Event Type: CASA Refund, Payment Method: RTGS, Shadow No: 0025020000094, Account No: 0022030000123</t>
  </si>
  <si>
    <t>https://prnt.sc/R9JIopydC5S4</t>
  </si>
  <si>
    <t>TC-068</t>
  </si>
  <si>
    <t>Verify the system prevents bulk actions (Generate File / Stop Payment) if no records are selected.</t>
  </si>
  <si>
    <t>1. Execute a successful search: Event Type; Payment Method. 2. Select valid values for Select Bank and Select Account. 3. Do NOT select any records from the Account Information table checkboxes. 4. Click the Generate File button (or Stop Payment button).</t>
  </si>
  <si>
    <t>Event Type: Investment Disbursement, Payment Method: RTGS, Select Bank/Account: Valid, Records: None selected.</t>
  </si>
  <si>
    <t>The system must immediately display the error message: "Error! Please select account information first."</t>
  </si>
  <si>
    <t>Error!
Please select account information first.</t>
  </si>
  <si>
    <r>
      <rPr>
        <rFont val="Source Sans Pro"/>
        <color rgb="FF1155CC"/>
        <sz val="10.0"/>
        <u/>
      </rPr>
      <t>https://prnt.sc/EtCfUN4E_8fp</t>
    </r>
    <r>
      <rPr>
        <rFont val="Source Sans Pro"/>
        <color rgb="FF000000"/>
        <sz val="10.0"/>
      </rPr>
      <t xml:space="preserve">     </t>
    </r>
    <r>
      <rPr>
        <rFont val="Source Sans Pro"/>
        <color rgb="FF1155CC"/>
        <sz val="10.0"/>
        <u/>
      </rPr>
      <t>https://prnt.sc/RZp32NFLqdoO</t>
    </r>
  </si>
  <si>
    <t>TC-069</t>
  </si>
  <si>
    <r>
      <rPr>
        <rFont val="Source Sans Pro"/>
        <color theme="1"/>
        <sz val="10.0"/>
      </rPr>
      <t>Verify Generate File functionality for</t>
    </r>
    <r>
      <rPr>
        <rFont val="Source Sans Pro"/>
        <color rgb="FFBF9000"/>
        <sz val="10.0"/>
      </rPr>
      <t xml:space="preserve"> </t>
    </r>
    <r>
      <rPr>
        <rFont val="Source Sans Pro"/>
        <b/>
        <color rgb="FFBF9000"/>
        <sz val="10.0"/>
      </rPr>
      <t>Investment Disbursement payout via RTGS</t>
    </r>
  </si>
  <si>
    <t>1. Date: Valid (04-04-2024), 2. Event Type: Investment Disbursement, 3. Payment Method: RTGS, Records: All retrieved.</t>
  </si>
  <si>
    <r>
      <rPr>
        <rFont val="Source Sans Pro"/>
        <color rgb="FF1155CC"/>
        <sz val="10.0"/>
        <u/>
      </rPr>
      <t>https://prnt.sc/o9BeOcdAK2Vg</t>
    </r>
    <r>
      <rPr>
        <rFont val="Source Sans Pro"/>
        <sz val="10.0"/>
      </rPr>
      <t xml:space="preserve">   </t>
    </r>
    <r>
      <rPr>
        <rFont val="Source Sans Pro"/>
        <color rgb="FF1155CC"/>
        <sz val="10.0"/>
        <u/>
      </rPr>
      <t>https://prnt.sc/9JMxUfg3CxE0</t>
    </r>
    <r>
      <rPr>
        <rFont val="Source Sans Pro"/>
        <sz val="10.0"/>
      </rPr>
      <t xml:space="preserve">    </t>
    </r>
    <r>
      <rPr>
        <rFont val="Source Sans Pro"/>
        <color rgb="FF1155CC"/>
        <sz val="10.0"/>
        <u/>
      </rPr>
      <t>https://prnt.sc/_04G3Uc3o8Pc</t>
    </r>
    <r>
      <rPr>
        <rFont val="Source Sans Pro"/>
        <sz val="10.0"/>
      </rPr>
      <t xml:space="preserve">    </t>
    </r>
    <r>
      <rPr>
        <rFont val="Source Sans Pro"/>
        <color rgb="FF1155CC"/>
        <sz val="10.0"/>
        <u/>
      </rPr>
      <t>https://prnt.sc/KQ0FCZ2wYoWK</t>
    </r>
  </si>
  <si>
    <t>TC-070</t>
  </si>
  <si>
    <r>
      <rPr>
        <rFont val="Source Sans Pro"/>
        <color theme="1"/>
        <sz val="10.0"/>
      </rPr>
      <t xml:space="preserve">Verify DO Transaction functionality for </t>
    </r>
    <r>
      <rPr>
        <rFont val="Source Sans Pro"/>
        <b/>
        <color rgb="FFBF9000"/>
        <sz val="10.0"/>
      </rPr>
      <t>Investment Disbursement payout via Cheque</t>
    </r>
  </si>
  <si>
    <t>1. Date: Valid (03-04-2024), 2. Event Type: Investment Disbursement, 3. Payment Method: Cheque, Records: All retrieved.</t>
  </si>
  <si>
    <r>
      <rPr>
        <rFont val="Source Sans Pro"/>
        <color rgb="FF1155CC"/>
        <sz val="10.0"/>
        <u/>
      </rPr>
      <t>https://prnt.sc/WKRSwBGWx1YP</t>
    </r>
    <r>
      <rPr>
        <rFont val="Source Sans Pro"/>
        <color rgb="FF000000"/>
        <sz val="10.0"/>
      </rPr>
      <t xml:space="preserve">   </t>
    </r>
    <r>
      <rPr>
        <rFont val="Source Sans Pro"/>
        <color rgb="FF1155CC"/>
        <sz val="10.0"/>
        <u/>
      </rPr>
      <t>https://prnt.sc/qWj1QwOxFvrf</t>
    </r>
  </si>
  <si>
    <t>TC-071</t>
  </si>
  <si>
    <r>
      <rPr>
        <rFont val="Source Sans Pro"/>
        <color rgb="FF1155CC"/>
        <sz val="10.0"/>
        <u/>
      </rPr>
      <t>https://prnt.sc/wtnZfLjAWH1M</t>
    </r>
    <r>
      <rPr>
        <rFont val="Source Sans Pro"/>
        <color rgb="FF000000"/>
        <sz val="10.0"/>
      </rPr>
      <t xml:space="preserve">    </t>
    </r>
    <r>
      <rPr>
        <rFont val="Source Sans Pro"/>
        <color rgb="FF1155CC"/>
        <sz val="10.0"/>
        <u/>
      </rPr>
      <t>https://prnt.sc/86LkYE3GQ2fu</t>
    </r>
  </si>
  <si>
    <t>TC-072</t>
  </si>
  <si>
    <r>
      <rPr>
        <rFont val="Source Sans Pro"/>
        <color theme="1"/>
        <sz val="10.0"/>
      </rPr>
      <t>Verify search for</t>
    </r>
    <r>
      <rPr>
        <rFont val="Source Sans Pro"/>
        <b/>
        <color rgb="FF9900FF"/>
        <sz val="10.0"/>
      </rPr>
      <t xml:space="preserve"> Profit Withdraw</t>
    </r>
    <r>
      <rPr>
        <rFont val="Source Sans Pro"/>
        <b/>
        <color rgb="FFFF6D01"/>
        <sz val="10.0"/>
      </rPr>
      <t xml:space="preserve"> </t>
    </r>
    <r>
      <rPr>
        <rFont val="Source Sans Pro"/>
        <color theme="1"/>
        <sz val="10.0"/>
      </rPr>
      <t>using BEFTN</t>
    </r>
  </si>
  <si>
    <t>https://prnt.sc/cxZ__4SkjjL2</t>
  </si>
  <si>
    <t>TC-073</t>
  </si>
  <si>
    <r>
      <rPr>
        <rFont val="Source Sans Pro"/>
        <color theme="1"/>
        <sz val="10.0"/>
      </rPr>
      <t>Verify search for</t>
    </r>
    <r>
      <rPr>
        <rFont val="Source Sans Pro"/>
        <b/>
        <color rgb="FF9900FF"/>
        <sz val="10.0"/>
      </rPr>
      <t xml:space="preserve"> Profit Withdraw</t>
    </r>
    <r>
      <rPr>
        <rFont val="Source Sans Pro"/>
        <color theme="1"/>
        <sz val="10.0"/>
      </rPr>
      <t xml:space="preserve"> using RTGS</t>
    </r>
  </si>
  <si>
    <t>https://prnt.sc/iqe3GIxfZDqq</t>
  </si>
  <si>
    <t>TC-074</t>
  </si>
  <si>
    <r>
      <rPr>
        <rFont val="Source Sans Pro"/>
        <color theme="1"/>
        <sz val="10.0"/>
      </rPr>
      <t>Verify search for</t>
    </r>
    <r>
      <rPr>
        <rFont val="Source Sans Pro"/>
        <b/>
        <color rgb="FF9900FF"/>
        <sz val="10.0"/>
      </rPr>
      <t xml:space="preserve"> Profit Withdraw</t>
    </r>
    <r>
      <rPr>
        <rFont val="Source Sans Pro"/>
        <color theme="1"/>
        <sz val="10.0"/>
      </rPr>
      <t xml:space="preserve"> using Transfer</t>
    </r>
  </si>
  <si>
    <t>https://prnt.sc/eamUkSMhKGjg</t>
  </si>
  <si>
    <t>TC-075</t>
  </si>
  <si>
    <r>
      <rPr>
        <rFont val="Source Sans Pro"/>
        <color theme="1"/>
        <sz val="10.0"/>
      </rPr>
      <t xml:space="preserve">Verify search for </t>
    </r>
    <r>
      <rPr>
        <rFont val="Source Sans Pro"/>
        <b/>
        <color rgb="FF9900FF"/>
        <sz val="10.0"/>
      </rPr>
      <t>Profit Withdraw</t>
    </r>
    <r>
      <rPr>
        <rFont val="Source Sans Pro"/>
        <color theme="1"/>
        <sz val="10.0"/>
      </rPr>
      <t xml:space="preserve"> using Cheque</t>
    </r>
  </si>
  <si>
    <t>https://prnt.sc/72zApCcQKk94</t>
  </si>
  <si>
    <t>TC-076</t>
  </si>
  <si>
    <r>
      <rPr>
        <rFont val="Source Sans Pro"/>
        <color theme="1"/>
        <sz val="10.0"/>
      </rPr>
      <t>Verify search for</t>
    </r>
    <r>
      <rPr>
        <rFont val="Source Sans Pro"/>
        <b/>
        <color rgb="FF9900FF"/>
        <sz val="10.0"/>
      </rPr>
      <t xml:space="preserve"> Profit Withdraw</t>
    </r>
    <r>
      <rPr>
        <rFont val="Source Sans Pro"/>
        <color theme="1"/>
        <sz val="10.0"/>
      </rPr>
      <t xml:space="preserve"> using Pay order</t>
    </r>
  </si>
  <si>
    <t>https://prnt.sc/SupyNswNbww3</t>
  </si>
  <si>
    <t>TC-077</t>
  </si>
  <si>
    <r>
      <rPr>
        <rFont val="Source Sans Pro"/>
        <color theme="1"/>
        <sz val="10.0"/>
      </rPr>
      <t xml:space="preserve">Verify Generate File functionality for </t>
    </r>
    <r>
      <rPr>
        <rFont val="Source Sans Pro"/>
        <b/>
        <color rgb="FF9900FF"/>
        <sz val="10.0"/>
      </rPr>
      <t xml:space="preserve">Profit Withdraw </t>
    </r>
    <r>
      <rPr>
        <rFont val="Source Sans Pro"/>
        <color theme="1"/>
        <sz val="10.0"/>
      </rPr>
      <t>payout via BEFTN</t>
    </r>
  </si>
  <si>
    <r>
      <rPr>
        <rFont val="Source Sans Pro"/>
        <color rgb="FF1155CC"/>
        <sz val="10.0"/>
        <u/>
      </rPr>
      <t>https://prnt.sc/ibRXN_VcpujL</t>
    </r>
    <r>
      <rPr>
        <rFont val="Source Sans Pro"/>
        <sz val="10.0"/>
      </rPr>
      <t xml:space="preserve">    </t>
    </r>
    <r>
      <rPr>
        <rFont val="Source Sans Pro"/>
        <color rgb="FF1155CC"/>
        <sz val="10.0"/>
        <u/>
      </rPr>
      <t>https://prnt.sc/15DNwi9ZGtii</t>
    </r>
    <r>
      <rPr>
        <rFont val="Source Sans Pro"/>
        <sz val="10.0"/>
      </rPr>
      <t xml:space="preserve">   </t>
    </r>
    <r>
      <rPr>
        <rFont val="Source Sans Pro"/>
        <color rgb="FF1155CC"/>
        <sz val="10.0"/>
        <u/>
      </rPr>
      <t>https://prnt.sc/GyiumVSnQ0pW</t>
    </r>
  </si>
  <si>
    <t>TC-078</t>
  </si>
  <si>
    <r>
      <rPr>
        <rFont val="Source Sans Pro"/>
        <color theme="1"/>
        <sz val="10.0"/>
      </rPr>
      <t>Verify DO Transaction functionality for</t>
    </r>
    <r>
      <rPr>
        <rFont val="Source Sans Pro"/>
        <b/>
        <color rgb="FF9900FF"/>
        <sz val="10.0"/>
      </rPr>
      <t xml:space="preserve"> Profit Withdraw payout via Cheque</t>
    </r>
  </si>
  <si>
    <r>
      <rPr>
        <rFont val="Source Sans Pro"/>
        <color rgb="FF1155CC"/>
        <sz val="10.0"/>
        <u/>
      </rPr>
      <t>https://prnt.sc/CAfJJbH_WV1F</t>
    </r>
    <r>
      <rPr>
        <rFont val="Source Sans Pro"/>
        <color rgb="FF000000"/>
        <sz val="10.0"/>
      </rPr>
      <t xml:space="preserve">           </t>
    </r>
    <r>
      <rPr>
        <rFont val="Source Sans Pro"/>
        <color rgb="FF1155CC"/>
        <sz val="10.0"/>
        <u/>
      </rPr>
      <t>https://prnt.sc/cp-m80ezLeHw</t>
    </r>
  </si>
  <si>
    <t>TC-079</t>
  </si>
  <si>
    <r>
      <rPr>
        <rFont val="Source Sans Pro"/>
        <color theme="1"/>
        <sz val="10.0"/>
      </rPr>
      <t xml:space="preserve">Verify search/filter using Shadow Account Number for  </t>
    </r>
    <r>
      <rPr>
        <rFont val="Source Sans Pro"/>
        <b/>
        <color rgb="FF9900FF"/>
        <sz val="10.0"/>
      </rPr>
      <t>Profit Withdraw</t>
    </r>
  </si>
  <si>
    <r>
      <rPr>
        <rFont val="Source Sans Pro"/>
        <color rgb="FF1155CC"/>
        <sz val="10.0"/>
        <u/>
      </rPr>
      <t>https://prnt.sc/aOqvQDhsW0TY</t>
    </r>
    <r>
      <rPr>
        <rFont val="Source Sans Pro"/>
        <color rgb="FF000000"/>
        <sz val="10.0"/>
      </rPr>
      <t xml:space="preserve">   </t>
    </r>
    <r>
      <rPr>
        <rFont val="Source Sans Pro"/>
        <color rgb="FF1155CC"/>
        <sz val="10.0"/>
        <u/>
      </rPr>
      <t>https://prnt.sc/evpxxORcZSEg</t>
    </r>
  </si>
  <si>
    <t>TC-080</t>
  </si>
  <si>
    <r>
      <rPr>
        <rFont val="Source Sans Pro"/>
        <color theme="1"/>
        <sz val="10.0"/>
      </rPr>
      <t xml:space="preserve">Verify the error handling when searching with a unique, non-existent, or mismatched record combination for </t>
    </r>
    <r>
      <rPr>
        <rFont val="Source Sans Pro"/>
        <b/>
        <color rgb="FF9900FF"/>
        <sz val="10.0"/>
      </rPr>
      <t>Profit Withdraw.</t>
    </r>
  </si>
  <si>
    <t>https://prnt.sc/61UBedHU4yDh</t>
  </si>
  <si>
    <t>TC-081</t>
  </si>
  <si>
    <r>
      <rPr>
        <rFont val="Source Sans Pro"/>
        <color rgb="FF1155CC"/>
        <sz val="10.0"/>
        <u/>
      </rPr>
      <t>https://prnt.sc/JznJE0TFz8VB</t>
    </r>
    <r>
      <rPr>
        <rFont val="Source Sans Pro"/>
        <color rgb="FF000000"/>
        <sz val="10.0"/>
      </rPr>
      <t xml:space="preserve">              </t>
    </r>
    <r>
      <rPr>
        <rFont val="Source Sans Pro"/>
        <color rgb="FF1155CC"/>
        <sz val="10.0"/>
        <u/>
      </rPr>
      <t>https://prnt.sc/nCCqn9aypei_</t>
    </r>
  </si>
</sst>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yyyy-mm-dd"/>
  </numFmts>
  <fonts count="10">
    <font>
      <sz val="10.0"/>
      <color rgb="FF000000"/>
      <name val="Arial"/>
      <scheme val="minor"/>
    </font>
    <font>
      <color theme="1"/>
      <name val="Arial"/>
    </font>
    <font>
      <b/>
      <sz val="10.0"/>
      <color theme="1"/>
      <name val="Source Sans Pro"/>
    </font>
    <font/>
    <font>
      <sz val="10.0"/>
      <color theme="1"/>
      <name val="Source Sans Pro"/>
    </font>
    <font>
      <u/>
      <sz val="10.0"/>
      <color rgb="FF0000FF"/>
      <name val="Source Sans Pro"/>
    </font>
    <font>
      <u/>
      <sz val="10.0"/>
      <color rgb="FF0000FF"/>
      <name val="Source Sans Pro"/>
    </font>
    <font>
      <u/>
      <sz val="10.0"/>
      <color rgb="FF0000FF"/>
      <name val="Source Sans Pro"/>
    </font>
    <font>
      <u/>
      <sz val="10.0"/>
      <color rgb="FF0000FF"/>
      <name val="Source Sans Pro"/>
    </font>
    <font>
      <color theme="1"/>
      <name val="Arial"/>
      <scheme val="minor"/>
    </font>
  </fonts>
  <fills count="20">
    <fill>
      <patternFill patternType="none"/>
    </fill>
    <fill>
      <patternFill patternType="lightGray"/>
    </fill>
    <fill>
      <patternFill patternType="solid">
        <fgColor rgb="FFA4C2F4"/>
        <bgColor rgb="FFA4C2F4"/>
      </patternFill>
    </fill>
    <fill>
      <patternFill patternType="solid">
        <fgColor rgb="FFC6D9F0"/>
        <bgColor rgb="FFC6D9F0"/>
      </patternFill>
    </fill>
    <fill>
      <patternFill patternType="solid">
        <fgColor rgb="FFFCE5CD"/>
        <bgColor rgb="FFFCE5CD"/>
      </patternFill>
    </fill>
    <fill>
      <patternFill patternType="solid">
        <fgColor rgb="FFFFE599"/>
        <bgColor rgb="FFFFE599"/>
      </patternFill>
    </fill>
    <fill>
      <patternFill patternType="solid">
        <fgColor rgb="FF00FF00"/>
        <bgColor rgb="FF00FF00"/>
      </patternFill>
    </fill>
    <fill>
      <patternFill patternType="solid">
        <fgColor rgb="FFF6B26B"/>
        <bgColor rgb="FFF6B26B"/>
      </patternFill>
    </fill>
    <fill>
      <patternFill patternType="solid">
        <fgColor rgb="FFE6B8AF"/>
        <bgColor rgb="FFE6B8AF"/>
      </patternFill>
    </fill>
    <fill>
      <patternFill patternType="solid">
        <fgColor rgb="FFFFFFFF"/>
        <bgColor rgb="FFFFFFFF"/>
      </patternFill>
    </fill>
    <fill>
      <patternFill patternType="solid">
        <fgColor rgb="FFFF0000"/>
        <bgColor rgb="FFFF0000"/>
      </patternFill>
    </fill>
    <fill>
      <patternFill patternType="solid">
        <fgColor rgb="FFFFD966"/>
        <bgColor rgb="FFFFD966"/>
      </patternFill>
    </fill>
    <fill>
      <patternFill patternType="solid">
        <fgColor rgb="FFE06666"/>
        <bgColor rgb="FFE06666"/>
      </patternFill>
    </fill>
    <fill>
      <patternFill patternType="solid">
        <fgColor rgb="FFEAD1DC"/>
        <bgColor rgb="FFEAD1DC"/>
      </patternFill>
    </fill>
    <fill>
      <patternFill patternType="solid">
        <fgColor rgb="FFEA9999"/>
        <bgColor rgb="FFEA9999"/>
      </patternFill>
    </fill>
    <fill>
      <patternFill patternType="solid">
        <fgColor rgb="FFB7B7B7"/>
        <bgColor rgb="FFB7B7B7"/>
      </patternFill>
    </fill>
    <fill>
      <patternFill patternType="solid">
        <fgColor rgb="FFF4CCCC"/>
        <bgColor rgb="FFF4CCCC"/>
      </patternFill>
    </fill>
    <fill>
      <patternFill patternType="solid">
        <fgColor rgb="FFB6D7A8"/>
        <bgColor rgb="FFB6D7A8"/>
      </patternFill>
    </fill>
    <fill>
      <patternFill patternType="solid">
        <fgColor rgb="FFD8D8D8"/>
        <bgColor rgb="FFD8D8D8"/>
      </patternFill>
    </fill>
    <fill>
      <patternFill patternType="solid">
        <fgColor rgb="FFD9D9D9"/>
        <bgColor rgb="FFD9D9D9"/>
      </patternFill>
    </fill>
  </fills>
  <borders count="8">
    <border/>
    <border>
      <left style="thin">
        <color rgb="FF000000"/>
      </left>
      <right style="thin">
        <color rgb="FF000000"/>
      </right>
      <top style="thin">
        <color rgb="FF000000"/>
      </top>
      <bottom style="thin">
        <color rgb="FF000000"/>
      </bottom>
    </border>
    <border>
      <left style="thin">
        <color rgb="FF000000"/>
      </left>
      <top style="thin">
        <color rgb="FF000000"/>
      </top>
      <bottom style="thin">
        <color rgb="FF000000"/>
      </bottom>
    </border>
    <border>
      <right style="thin">
        <color rgb="FF000000"/>
      </right>
      <top style="thin">
        <color rgb="FF000000"/>
      </top>
      <bottom style="thin">
        <color rgb="FF000000"/>
      </bottom>
    </border>
    <border>
      <top style="thin">
        <color rgb="FF000000"/>
      </top>
      <bottom style="thin">
        <color rgb="FF000000"/>
      </bottom>
    </border>
    <border>
      <left style="thin">
        <color rgb="FF000000"/>
      </left>
      <right style="thin">
        <color rgb="FF000000"/>
      </right>
      <top style="thin">
        <color rgb="FF000000"/>
      </top>
    </border>
    <border>
      <left style="thin">
        <color rgb="FF000000"/>
      </left>
      <right style="thin">
        <color rgb="FF000000"/>
      </right>
    </border>
    <border>
      <left style="thin">
        <color rgb="FF000000"/>
      </left>
      <right style="thin">
        <color rgb="FF000000"/>
      </right>
      <bottom style="thin">
        <color rgb="FF000000"/>
      </bottom>
    </border>
  </borders>
  <cellStyleXfs count="1">
    <xf borderId="0" fillId="0" fontId="0" numFmtId="0" applyAlignment="1" applyFont="1"/>
  </cellStyleXfs>
  <cellXfs count="85">
    <xf borderId="0" fillId="0" fontId="0" numFmtId="0" xfId="0" applyAlignment="1" applyFont="1">
      <alignment readingOrder="0" shrinkToFit="0" vertical="bottom" wrapText="0"/>
    </xf>
    <xf borderId="1" fillId="2" fontId="1" numFmtId="0" xfId="0" applyAlignment="1" applyBorder="1" applyFill="1" applyFont="1">
      <alignment horizontal="center" shrinkToFit="0" vertical="center" wrapText="1"/>
    </xf>
    <xf borderId="2" fillId="3" fontId="2" numFmtId="0" xfId="0" applyAlignment="1" applyBorder="1" applyFill="1" applyFont="1">
      <alignment horizontal="center" shrinkToFit="0" wrapText="1"/>
    </xf>
    <xf borderId="2" fillId="3" fontId="2" numFmtId="0" xfId="0" applyAlignment="1" applyBorder="1" applyFill="1" applyFont="1">
      <alignment horizontal="center" shrinkToFit="0" vertical="center" wrapText="1"/>
    </xf>
    <xf borderId="3" fillId="0" fontId="3" numFmtId="0" xfId="0" applyBorder="1" applyFont="1"/>
    <xf borderId="1" fillId="0" fontId="4" numFmtId="0" xfId="0" applyAlignment="1" applyBorder="1" applyFont="1">
      <alignment horizontal="center" shrinkToFit="0" vertical="center" wrapText="1"/>
    </xf>
    <xf borderId="1" fillId="3" fontId="2" numFmtId="0" xfId="0" applyAlignment="1" applyBorder="1" applyFill="1" applyFont="1">
      <alignment horizontal="center" shrinkToFit="0" vertical="center" wrapText="1"/>
    </xf>
    <xf borderId="0" fillId="0" fontId="1" numFmtId="0" xfId="0" applyAlignment="1" applyFont="1">
      <alignment horizontal="center" shrinkToFit="0" vertical="center" wrapText="1"/>
    </xf>
    <xf borderId="1" fillId="0" fontId="4" numFmtId="0" xfId="0" applyAlignment="1" applyBorder="1" applyFont="1">
      <alignment horizontal="center" shrinkToFit="0" wrapText="1"/>
    </xf>
    <xf borderId="2" fillId="0" fontId="4" numFmtId="164" xfId="0" applyAlignment="1" applyBorder="1" applyFont="1" applyNumberFormat="1">
      <alignment shrinkToFit="0" vertical="center" wrapText="1"/>
    </xf>
    <xf borderId="1" fillId="3" fontId="2" numFmtId="0" xfId="0" applyAlignment="1" applyBorder="1" applyFill="1" applyFont="1">
      <alignment horizontal="center" shrinkToFit="0" wrapText="1"/>
    </xf>
    <xf borderId="1" fillId="4" fontId="1" numFmtId="0" xfId="0" applyAlignment="1" applyBorder="1" applyFill="1" applyFont="1">
      <alignment horizontal="left" shrinkToFit="0" vertical="center" wrapText="1"/>
    </xf>
    <xf borderId="1" fillId="0" fontId="4" numFmtId="164" xfId="0" applyAlignment="1" applyBorder="1" applyFont="1" applyNumberFormat="1">
      <alignment shrinkToFit="0" vertical="center" wrapText="1"/>
    </xf>
    <xf borderId="1" fillId="3" fontId="4" numFmtId="0" xfId="0" applyAlignment="1" applyBorder="1" applyFill="1" applyFont="1">
      <alignment shrinkToFit="0" vertical="center" wrapText="1"/>
    </xf>
    <xf borderId="0" fillId="0" fontId="1" numFmtId="0" xfId="0" applyAlignment="1" applyFont="1">
      <alignment horizontal="left" shrinkToFit="0" vertical="center" wrapText="1"/>
    </xf>
    <xf borderId="1" fillId="0" fontId="4" numFmtId="0" xfId="0" applyAlignment="1" applyBorder="1" applyFont="1">
      <alignment shrinkToFit="0" vertical="center" wrapText="1"/>
    </xf>
    <xf borderId="1" fillId="0" fontId="4" numFmtId="0" xfId="0" applyAlignment="1" applyBorder="1" applyFont="1">
      <alignment horizontal="center" vertical="center"/>
    </xf>
    <xf borderId="4" fillId="0" fontId="3" numFmtId="0" xfId="0" applyBorder="1" applyFont="1"/>
    <xf borderId="1" fillId="0" fontId="4" numFmtId="164" xfId="0" applyBorder="1" applyFont="1" applyNumberFormat="1"/>
    <xf borderId="4" fillId="3" fontId="2" numFmtId="0" xfId="0" applyAlignment="1" applyBorder="1" applyFill="1" applyFont="1">
      <alignment horizontal="center" shrinkToFit="0" vertical="center" wrapText="1"/>
    </xf>
    <xf borderId="1" fillId="3" fontId="4" numFmtId="0" xfId="0" applyAlignment="1" applyBorder="1" applyFill="1" applyFont="1">
      <alignment vertical="bottom"/>
    </xf>
    <xf borderId="1" fillId="0" fontId="4" numFmtId="0" xfId="0" applyAlignment="1" applyBorder="1" applyFont="1">
      <alignment vertical="bottom"/>
    </xf>
    <xf borderId="2" fillId="3" fontId="4" numFmtId="0" xfId="0" applyAlignment="1" applyBorder="1" applyFill="1" applyFont="1">
      <alignment shrinkToFit="0" vertical="center" wrapText="1"/>
    </xf>
    <xf borderId="0" fillId="0" fontId="4" numFmtId="0" xfId="0" applyAlignment="1" applyFont="1">
      <alignment shrinkToFit="0" vertical="center" wrapText="1"/>
    </xf>
    <xf borderId="4" fillId="3" fontId="2" numFmtId="0" xfId="0" applyAlignment="1" applyBorder="1" applyFill="1" applyFont="1">
      <alignment horizontal="center" shrinkToFit="0" wrapText="1"/>
    </xf>
    <xf borderId="1" fillId="5" fontId="1" numFmtId="0" xfId="0" applyAlignment="1" applyBorder="1" applyFill="1" applyFont="1">
      <alignment horizontal="left" shrinkToFit="0" vertical="center" wrapText="1"/>
    </xf>
    <xf borderId="2" fillId="3" fontId="2" numFmtId="0" xfId="0" applyAlignment="1" applyBorder="1" applyFill="1" applyFont="1">
      <alignment horizontal="center" vertical="center"/>
    </xf>
    <xf borderId="2" fillId="3" fontId="4" numFmtId="0" xfId="0" applyBorder="1" applyFill="1" applyFont="1"/>
    <xf borderId="1" fillId="6" fontId="2" numFmtId="0" xfId="0" applyAlignment="1" applyBorder="1" applyFill="1" applyFont="1">
      <alignment horizontal="center" shrinkToFit="0" vertical="center" wrapText="1"/>
    </xf>
    <xf borderId="1" fillId="0" fontId="4" numFmtId="0" xfId="0" applyBorder="1" applyFont="1"/>
    <xf borderId="0" fillId="0" fontId="4" numFmtId="0" xfId="0" applyAlignment="1" applyFont="1">
      <alignment horizontal="center" vertical="center"/>
    </xf>
    <xf borderId="0" fillId="0" fontId="4" numFmtId="0" xfId="0" applyFont="1"/>
    <xf borderId="1" fillId="7" fontId="1" numFmtId="0" xfId="0" applyAlignment="1" applyBorder="1" applyFill="1" applyFont="1">
      <alignment horizontal="left" shrinkToFit="0" vertical="center" wrapText="1"/>
    </xf>
    <xf borderId="1" fillId="0" fontId="4" numFmtId="0" xfId="0" applyAlignment="1" applyBorder="1" applyFont="1">
      <alignment horizontal="center"/>
    </xf>
    <xf borderId="1" fillId="6" fontId="2" numFmtId="0" xfId="0" applyAlignment="1" applyBorder="1" applyFill="1" applyFont="1">
      <alignment horizontal="center" shrinkToFit="0" wrapText="1"/>
    </xf>
    <xf borderId="1" fillId="8" fontId="1" numFmtId="0" xfId="0" applyAlignment="1" applyBorder="1" applyFill="1" applyFont="1">
      <alignment horizontal="left" shrinkToFit="0" vertical="center" wrapText="1"/>
    </xf>
    <xf borderId="1" fillId="8" fontId="1" numFmtId="0" xfId="0" applyAlignment="1" applyBorder="1" applyFill="1" applyFont="1">
      <alignment shrinkToFit="0" vertical="center" wrapText="1"/>
    </xf>
    <xf borderId="1" fillId="9" fontId="4" numFmtId="0" xfId="0" applyAlignment="1" applyBorder="1" applyFill="1" applyFont="1">
      <alignment horizontal="center" shrinkToFit="0" vertical="center" wrapText="1"/>
    </xf>
    <xf borderId="1" fillId="9" fontId="4" numFmtId="0" xfId="0" applyAlignment="1" applyBorder="1" applyFill="1" applyFont="1">
      <alignment horizontal="center" shrinkToFit="0" wrapText="1"/>
    </xf>
    <xf borderId="1" fillId="10" fontId="2" numFmtId="0" xfId="0" applyAlignment="1" applyBorder="1" applyFill="1" applyFont="1">
      <alignment horizontal="center" shrinkToFit="0" vertical="center" wrapText="1"/>
    </xf>
    <xf borderId="1" fillId="10" fontId="2" numFmtId="0" xfId="0" applyAlignment="1" applyBorder="1" applyFill="1" applyFont="1">
      <alignment horizontal="center" shrinkToFit="0" wrapText="1"/>
    </xf>
    <xf borderId="1" fillId="11" fontId="1" numFmtId="0" xfId="0" applyAlignment="1" applyBorder="1" applyFill="1" applyFont="1">
      <alignment horizontal="left" shrinkToFit="0" vertical="center" wrapText="1"/>
    </xf>
    <xf borderId="1" fillId="12" fontId="2" numFmtId="0" xfId="0" applyAlignment="1" applyBorder="1" applyFill="1" applyFont="1">
      <alignment horizontal="center" shrinkToFit="0" vertical="center" wrapText="1"/>
    </xf>
    <xf borderId="1" fillId="13" fontId="1" numFmtId="0" xfId="0" applyAlignment="1" applyBorder="1" applyFill="1" applyFont="1">
      <alignment horizontal="left" shrinkToFit="0" vertical="center" wrapText="1"/>
    </xf>
    <xf borderId="1" fillId="9" fontId="4" numFmtId="0" xfId="0" applyAlignment="1" applyBorder="1" applyFill="1" applyFont="1">
      <alignment shrinkToFit="0" vertical="center" wrapText="1"/>
    </xf>
    <xf borderId="0" fillId="6" fontId="1" numFmtId="0" xfId="0" applyAlignment="1" applyFill="1" applyFont="1">
      <alignment horizontal="left" shrinkToFit="0" vertical="center" wrapText="1"/>
    </xf>
    <xf borderId="2" fillId="0" fontId="2" numFmtId="0" xfId="0" applyAlignment="1" applyBorder="1" applyFont="1">
      <alignment horizontal="center" shrinkToFit="0" vertical="center" wrapText="1"/>
    </xf>
    <xf borderId="1" fillId="13" fontId="1" numFmtId="0" xfId="0" applyAlignment="1" applyBorder="1" applyFill="1" applyFont="1">
      <alignment horizontal="left" shrinkToFit="0" wrapText="1"/>
    </xf>
    <xf borderId="0" fillId="0" fontId="1" numFmtId="0" xfId="0" applyAlignment="1" applyFont="1">
      <alignment horizontal="left" shrinkToFit="0" wrapText="1"/>
    </xf>
    <xf borderId="1" fillId="14" fontId="2" numFmtId="0" xfId="0" applyAlignment="1" applyBorder="1" applyFill="1" applyFont="1">
      <alignment horizontal="center" shrinkToFit="0" vertical="center" wrapText="1"/>
    </xf>
    <xf borderId="0" fillId="0" fontId="4" numFmtId="0" xfId="0" applyAlignment="1" applyFont="1">
      <alignment horizontal="center" shrinkToFit="0" vertical="center" wrapText="1"/>
    </xf>
    <xf borderId="1" fillId="9" fontId="4" numFmtId="0" xfId="0" applyBorder="1" applyFill="1" applyFont="1"/>
    <xf borderId="1" fillId="3" fontId="4" numFmtId="0" xfId="0" applyBorder="1" applyFill="1" applyFont="1"/>
    <xf borderId="1" fillId="15" fontId="2" numFmtId="0" xfId="0" applyAlignment="1" applyBorder="1" applyFill="1" applyFont="1">
      <alignment horizontal="center" shrinkToFit="0" wrapText="1"/>
    </xf>
    <xf borderId="2" fillId="0" fontId="4" numFmtId="0" xfId="0" applyAlignment="1" applyBorder="1" applyFont="1">
      <alignment shrinkToFit="0" vertical="center" wrapText="1"/>
    </xf>
    <xf borderId="1" fillId="15" fontId="2" numFmtId="0" xfId="0" applyAlignment="1" applyBorder="1" applyFill="1" applyFont="1">
      <alignment horizontal="center" shrinkToFit="0" vertical="center" wrapText="1"/>
    </xf>
    <xf borderId="1" fillId="14" fontId="2" numFmtId="0" xfId="0" applyAlignment="1" applyBorder="1" applyFill="1" applyFont="1">
      <alignment horizontal="center" shrinkToFit="0" wrapText="1"/>
    </xf>
    <xf borderId="1" fillId="16" fontId="2" numFmtId="0" xfId="0" applyAlignment="1" applyBorder="1" applyFill="1" applyFont="1">
      <alignment horizontal="center" shrinkToFit="0" vertical="center" wrapText="1"/>
    </xf>
    <xf borderId="0" fillId="13" fontId="1" numFmtId="0" xfId="0" applyFill="1" applyFont="1"/>
    <xf borderId="1" fillId="0" fontId="1" numFmtId="0" xfId="0" applyAlignment="1" applyBorder="1" applyFont="1">
      <alignment horizontal="left" shrinkToFit="0" wrapText="1"/>
    </xf>
    <xf borderId="1" fillId="0" fontId="5" numFmtId="0" xfId="0" applyAlignment="1" applyBorder="1" applyFont="1">
      <alignment horizontal="center"/>
    </xf>
    <xf borderId="2" fillId="0" fontId="6" numFmtId="0" xfId="0" applyAlignment="1" applyBorder="1" applyFont="1">
      <alignment horizontal="center" shrinkToFit="0" vertical="center" wrapText="1"/>
    </xf>
    <xf borderId="1" fillId="9" fontId="2" numFmtId="0" xfId="0" applyAlignment="1" applyBorder="1" applyFill="1" applyFont="1">
      <alignment horizontal="center" shrinkToFit="0" vertical="center" wrapText="1"/>
    </xf>
    <xf borderId="1" fillId="16" fontId="2" numFmtId="0" xfId="0" applyAlignment="1" applyBorder="1" applyFill="1" applyFont="1">
      <alignment horizontal="center" shrinkToFit="0" wrapText="1"/>
    </xf>
    <xf borderId="1" fillId="17" fontId="2" numFmtId="0" xfId="0" applyAlignment="1" applyBorder="1" applyFill="1" applyFont="1">
      <alignment horizontal="center" shrinkToFit="0" vertical="center" wrapText="1"/>
    </xf>
    <xf borderId="1" fillId="18" fontId="2" numFmtId="0" xfId="0" applyAlignment="1" applyBorder="1" applyFill="1" applyFont="1">
      <alignment horizontal="center" shrinkToFit="0" wrapText="1"/>
    </xf>
    <xf borderId="1" fillId="18" fontId="2" numFmtId="0" xfId="0" applyAlignment="1" applyBorder="1" applyFill="1" applyFont="1">
      <alignment horizontal="center" shrinkToFit="0" vertical="center" wrapText="1"/>
    </xf>
    <xf borderId="1" fillId="19" fontId="2" numFmtId="0" xfId="0" applyAlignment="1" applyBorder="1" applyFill="1" applyFont="1">
      <alignment horizontal="center" shrinkToFit="0" vertical="center" wrapText="1"/>
    </xf>
    <xf borderId="1" fillId="19" fontId="2" numFmtId="0" xfId="0" applyAlignment="1" applyBorder="1" applyFill="1" applyFont="1">
      <alignment horizontal="center" shrinkToFit="0" wrapText="1"/>
    </xf>
    <xf borderId="1" fillId="19" fontId="2" numFmtId="0" xfId="0" applyAlignment="1" applyBorder="1" applyFill="1" applyFont="1">
      <alignment horizontal="center" vertical="center"/>
    </xf>
    <xf borderId="5" fillId="0" fontId="4" numFmtId="0" xfId="0" applyAlignment="1" applyBorder="1" applyFont="1">
      <alignment horizontal="center" shrinkToFit="0" vertical="center" wrapText="1"/>
    </xf>
    <xf borderId="1" fillId="0" fontId="4" numFmtId="0" xfId="0" applyAlignment="1" applyBorder="1" applyFont="1">
      <alignment horizontal="left" shrinkToFit="0" vertical="center" wrapText="1"/>
    </xf>
    <xf borderId="5" fillId="0" fontId="4" numFmtId="0" xfId="0" applyAlignment="1" applyBorder="1" applyFont="1">
      <alignment shrinkToFit="0" vertical="center" wrapText="1"/>
    </xf>
    <xf borderId="1" fillId="0" fontId="4" numFmtId="0" xfId="0" applyAlignment="1" applyBorder="1" applyFont="1">
      <alignment horizontal="left" shrinkToFit="0" wrapText="1"/>
    </xf>
    <xf borderId="1" fillId="0" fontId="2" numFmtId="0" xfId="0" applyAlignment="1" applyBorder="1" applyFont="1">
      <alignment horizontal="center" shrinkToFit="0" vertical="center" wrapText="1"/>
    </xf>
    <xf borderId="1" fillId="0" fontId="7" numFmtId="0" xfId="0" applyAlignment="1" applyBorder="1" applyFont="1">
      <alignment shrinkToFit="0" vertical="center" wrapText="1"/>
    </xf>
    <xf borderId="1" fillId="0" fontId="8" numFmtId="0" xfId="0" applyAlignment="1" applyBorder="1" applyFont="1">
      <alignment horizontal="center" shrinkToFit="0" vertical="center" wrapText="1"/>
    </xf>
    <xf borderId="1" fillId="0" fontId="2" numFmtId="0" xfId="0" applyAlignment="1" applyBorder="1" applyFont="1">
      <alignment horizontal="left" shrinkToFit="0" wrapText="1"/>
    </xf>
    <xf borderId="6" fillId="0" fontId="3" numFmtId="0" xfId="0" applyBorder="1" applyFont="1"/>
    <xf borderId="0" fillId="0" fontId="4" numFmtId="0" xfId="0" applyAlignment="1" applyFont="1">
      <alignment horizontal="left" shrinkToFit="0" wrapText="1"/>
    </xf>
    <xf borderId="1" fillId="0" fontId="2" numFmtId="0" xfId="0" applyAlignment="1" applyBorder="1" applyFont="1">
      <alignment horizontal="center" shrinkToFit="0" wrapText="1"/>
    </xf>
    <xf borderId="0" fillId="0" fontId="4" numFmtId="0" xfId="0" applyAlignment="1" applyFont="1">
      <alignment horizontal="center" shrinkToFit="0" wrapText="1"/>
    </xf>
    <xf borderId="7" fillId="0" fontId="3" numFmtId="0" xfId="0" applyBorder="1" applyFont="1"/>
    <xf borderId="0" fillId="0" fontId="4" numFmtId="0" xfId="0" applyAlignment="1" applyFont="1">
      <alignment shrinkToFit="0" wrapText="1"/>
    </xf>
    <xf borderId="0" fillId="0" fontId="9" numFmtId="0" xfId="0" applyFont="1"/>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40" Type="http://schemas.openxmlformats.org/officeDocument/2006/relationships/hyperlink" Target="https://prnt.sc/kHETHzPNjmkP" TargetMode="External"/><Relationship Id="rId20" Type="http://schemas.openxmlformats.org/officeDocument/2006/relationships/hyperlink" Target="https://prnt.sc/USRn9zwkPKSZ" TargetMode="External"/><Relationship Id="rId42" Type="http://schemas.openxmlformats.org/officeDocument/2006/relationships/hyperlink" Target="https://prnt.sc/j1GHZ8hfpTJI" TargetMode="External"/><Relationship Id="rId41" Type="http://schemas.openxmlformats.org/officeDocument/2006/relationships/hyperlink" Target="https://prnt.sc/JSWW43P3LNka" TargetMode="External"/><Relationship Id="rId22" Type="http://schemas.openxmlformats.org/officeDocument/2006/relationships/hyperlink" Target="https://prnt.sc/VK92vjnKfcew" TargetMode="External"/><Relationship Id="rId44" Type="http://schemas.openxmlformats.org/officeDocument/2006/relationships/drawing" Target="../drawings/drawing1.xml"/><Relationship Id="rId21" Type="http://schemas.openxmlformats.org/officeDocument/2006/relationships/hyperlink" Target="https://prnt.sc/rfhdx-FJrECb" TargetMode="External"/><Relationship Id="rId43" Type="http://schemas.openxmlformats.org/officeDocument/2006/relationships/hyperlink" Target="https://prnt.sc/PLsOsjKP69Xa" TargetMode="External"/><Relationship Id="rId24" Type="http://schemas.openxmlformats.org/officeDocument/2006/relationships/hyperlink" Target="https://prnt.sc/EV4wdCG-8BRD" TargetMode="External"/><Relationship Id="rId23" Type="http://schemas.openxmlformats.org/officeDocument/2006/relationships/hyperlink" Target="https://prnt.sc/CXyx4VvsSBNu" TargetMode="External"/><Relationship Id="rId1" Type="http://schemas.openxmlformats.org/officeDocument/2006/relationships/hyperlink" Target="https://prnt.sc/c3X5ZOjRskJ7" TargetMode="External"/><Relationship Id="rId2" Type="http://schemas.openxmlformats.org/officeDocument/2006/relationships/hyperlink" Target="https://prnt.sc/fURNLc6ffmEO" TargetMode="External"/><Relationship Id="rId3" Type="http://schemas.openxmlformats.org/officeDocument/2006/relationships/hyperlink" Target="https://prnt.sc/LYB8s-p2A2_t" TargetMode="External"/><Relationship Id="rId4" Type="http://schemas.openxmlformats.org/officeDocument/2006/relationships/hyperlink" Target="https://prnt.sc/Vc10tKvEQAFN" TargetMode="External"/><Relationship Id="rId9" Type="http://schemas.openxmlformats.org/officeDocument/2006/relationships/hyperlink" Target="https://prnt.sc/_lay9DnqzvcP" TargetMode="External"/><Relationship Id="rId26" Type="http://schemas.openxmlformats.org/officeDocument/2006/relationships/hyperlink" Target="https://prnt.sc/ch1RZqq8vllh" TargetMode="External"/><Relationship Id="rId25" Type="http://schemas.openxmlformats.org/officeDocument/2006/relationships/hyperlink" Target="https://prnt.sc/KbbneClhx5-I" TargetMode="External"/><Relationship Id="rId28" Type="http://schemas.openxmlformats.org/officeDocument/2006/relationships/hyperlink" Target="https://prnt.sc/a58xyE-NsmBt" TargetMode="External"/><Relationship Id="rId27" Type="http://schemas.openxmlformats.org/officeDocument/2006/relationships/hyperlink" Target="https://prnt.sc/Hz3TBTV6UrmD" TargetMode="External"/><Relationship Id="rId5" Type="http://schemas.openxmlformats.org/officeDocument/2006/relationships/hyperlink" Target="https://prnt.sc/Aiv0xOr6go3j" TargetMode="External"/><Relationship Id="rId6" Type="http://schemas.openxmlformats.org/officeDocument/2006/relationships/hyperlink" Target="https://prnt.sc/AaiAe_zCtepb" TargetMode="External"/><Relationship Id="rId29" Type="http://schemas.openxmlformats.org/officeDocument/2006/relationships/hyperlink" Target="https://prnt.sc/wxyqEZV0iN5B" TargetMode="External"/><Relationship Id="rId7" Type="http://schemas.openxmlformats.org/officeDocument/2006/relationships/hyperlink" Target="https://prnt.sc/_aNr-ARIfjjq" TargetMode="External"/><Relationship Id="rId8" Type="http://schemas.openxmlformats.org/officeDocument/2006/relationships/hyperlink" Target="https://prnt.sc/oCS9nkHG8TbW" TargetMode="External"/><Relationship Id="rId31" Type="http://schemas.openxmlformats.org/officeDocument/2006/relationships/hyperlink" Target="https://prnt.sc/G7PUElAw8BDN" TargetMode="External"/><Relationship Id="rId30" Type="http://schemas.openxmlformats.org/officeDocument/2006/relationships/hyperlink" Target="https://prnt.sc/CgKUAdh1BKDS" TargetMode="External"/><Relationship Id="rId11" Type="http://schemas.openxmlformats.org/officeDocument/2006/relationships/hyperlink" Target="https://prnt.sc/8JNNxKQlO2qF" TargetMode="External"/><Relationship Id="rId33" Type="http://schemas.openxmlformats.org/officeDocument/2006/relationships/hyperlink" Target="https://prnt.sc/I0MVblWSd-E1" TargetMode="External"/><Relationship Id="rId10" Type="http://schemas.openxmlformats.org/officeDocument/2006/relationships/hyperlink" Target="https://prnt.sc/QS1i-1iHw_tr" TargetMode="External"/><Relationship Id="rId32" Type="http://schemas.openxmlformats.org/officeDocument/2006/relationships/hyperlink" Target="https://prnt.sc/NhlQKrZwGwUE" TargetMode="External"/><Relationship Id="rId13" Type="http://schemas.openxmlformats.org/officeDocument/2006/relationships/hyperlink" Target="https://prnt.sc/kmyWmKXXwMXW" TargetMode="External"/><Relationship Id="rId35" Type="http://schemas.openxmlformats.org/officeDocument/2006/relationships/hyperlink" Target="https://prnt.sc/Gpw0QWp7dSzf" TargetMode="External"/><Relationship Id="rId12" Type="http://schemas.openxmlformats.org/officeDocument/2006/relationships/hyperlink" Target="https://prnt.sc/R0t_sQr76KkK" TargetMode="External"/><Relationship Id="rId34" Type="http://schemas.openxmlformats.org/officeDocument/2006/relationships/hyperlink" Target="https://prnt.sc/CeNmvmDkUcKU" TargetMode="External"/><Relationship Id="rId15" Type="http://schemas.openxmlformats.org/officeDocument/2006/relationships/hyperlink" Target="https://prnt.sc/taiyJP8HhGqu" TargetMode="External"/><Relationship Id="rId37" Type="http://schemas.openxmlformats.org/officeDocument/2006/relationships/hyperlink" Target="https://prnt.sc/0Q_ChcsRChub" TargetMode="External"/><Relationship Id="rId14" Type="http://schemas.openxmlformats.org/officeDocument/2006/relationships/hyperlink" Target="https://prnt.sc/lx7uDBZfZsdH" TargetMode="External"/><Relationship Id="rId36" Type="http://schemas.openxmlformats.org/officeDocument/2006/relationships/hyperlink" Target="https://prnt.sc/30iysrse4AcV" TargetMode="External"/><Relationship Id="rId17" Type="http://schemas.openxmlformats.org/officeDocument/2006/relationships/hyperlink" Target="https://prnt.sc/T8WqQ8dv8qTl" TargetMode="External"/><Relationship Id="rId39" Type="http://schemas.openxmlformats.org/officeDocument/2006/relationships/hyperlink" Target="https://prnt.sc/mseMiu__ONs_" TargetMode="External"/><Relationship Id="rId16" Type="http://schemas.openxmlformats.org/officeDocument/2006/relationships/hyperlink" Target="https://prnt.sc/c0TkddfZgec-" TargetMode="External"/><Relationship Id="rId38" Type="http://schemas.openxmlformats.org/officeDocument/2006/relationships/hyperlink" Target="https://prnt.sc/kkXRRyw8lPkM" TargetMode="External"/><Relationship Id="rId19" Type="http://schemas.openxmlformats.org/officeDocument/2006/relationships/hyperlink" Target="https://prnt.sc/9BzbFwo4zEMO" TargetMode="External"/><Relationship Id="rId18" Type="http://schemas.openxmlformats.org/officeDocument/2006/relationships/hyperlink" Target="https://prnt.sc/YVgTLcEEuJa2" TargetMode="External"/></Relationships>
</file>

<file path=xl/worksheets/_rels/sheet2.xml.rels><?xml version="1.0" encoding="UTF-8" standalone="yes"?><Relationships xmlns="http://schemas.openxmlformats.org/package/2006/relationships"><Relationship Id="rId40" Type="http://schemas.openxmlformats.org/officeDocument/2006/relationships/hyperlink" Target="https://prnt.sc/nSCP-kOMwH6u" TargetMode="External"/><Relationship Id="rId42" Type="http://schemas.openxmlformats.org/officeDocument/2006/relationships/hyperlink" Target="https://prnt.sc/66tXa3aKYpyI" TargetMode="External"/><Relationship Id="rId41" Type="http://schemas.openxmlformats.org/officeDocument/2006/relationships/hyperlink" Target="https://prnt.sc/BDbCUzF5ka6E" TargetMode="External"/><Relationship Id="rId44" Type="http://schemas.openxmlformats.org/officeDocument/2006/relationships/hyperlink" Target="https://prnt.sc/VbM0Fns4x6U6" TargetMode="External"/><Relationship Id="rId43" Type="http://schemas.openxmlformats.org/officeDocument/2006/relationships/hyperlink" Target="https://prnt.sc/KtNTGGtNAMCT" TargetMode="External"/><Relationship Id="rId46" Type="http://schemas.openxmlformats.org/officeDocument/2006/relationships/hyperlink" Target="https://prnt.sc/Y_sA9LutXBSV" TargetMode="External"/><Relationship Id="rId45" Type="http://schemas.openxmlformats.org/officeDocument/2006/relationships/hyperlink" Target="https://prnt.sc/xlrLb_bWwbwX" TargetMode="External"/><Relationship Id="rId80" Type="http://schemas.openxmlformats.org/officeDocument/2006/relationships/hyperlink" Target="https://prnt.sc/JznJE0TFz8VB" TargetMode="External"/><Relationship Id="rId81" Type="http://schemas.openxmlformats.org/officeDocument/2006/relationships/drawing" Target="../drawings/drawing2.xml"/><Relationship Id="rId1" Type="http://schemas.openxmlformats.org/officeDocument/2006/relationships/hyperlink" Target="https://prnt.sc/rAtENUYYnnfz" TargetMode="External"/><Relationship Id="rId2" Type="http://schemas.openxmlformats.org/officeDocument/2006/relationships/hyperlink" Target="https://prnt.sc/nY4CcT8mA7-I" TargetMode="External"/><Relationship Id="rId3" Type="http://schemas.openxmlformats.org/officeDocument/2006/relationships/hyperlink" Target="https://prnt.sc/JO3nbGtImoch" TargetMode="External"/><Relationship Id="rId4" Type="http://schemas.openxmlformats.org/officeDocument/2006/relationships/hyperlink" Target="https://prnt.sc/ALr_tU75xIfn" TargetMode="External"/><Relationship Id="rId9" Type="http://schemas.openxmlformats.org/officeDocument/2006/relationships/hyperlink" Target="https://prnt.sc/dCCmQUvDKFr3" TargetMode="External"/><Relationship Id="rId48" Type="http://schemas.openxmlformats.org/officeDocument/2006/relationships/hyperlink" Target="https://prnt.sc/Pdn8bdH6vECz" TargetMode="External"/><Relationship Id="rId47" Type="http://schemas.openxmlformats.org/officeDocument/2006/relationships/hyperlink" Target="https://prnt.sc/UE07op5InhoQ" TargetMode="External"/><Relationship Id="rId49" Type="http://schemas.openxmlformats.org/officeDocument/2006/relationships/hyperlink" Target="https://prnt.sc/AwS5S4YMFPPw" TargetMode="External"/><Relationship Id="rId5" Type="http://schemas.openxmlformats.org/officeDocument/2006/relationships/hyperlink" Target="https://prnt.sc/13ZM3kZVysya" TargetMode="External"/><Relationship Id="rId6" Type="http://schemas.openxmlformats.org/officeDocument/2006/relationships/hyperlink" Target="https://prnt.sc/906qcgyJPX9F" TargetMode="External"/><Relationship Id="rId7" Type="http://schemas.openxmlformats.org/officeDocument/2006/relationships/hyperlink" Target="https://prnt.sc/guSnLup_SMNC" TargetMode="External"/><Relationship Id="rId8" Type="http://schemas.openxmlformats.org/officeDocument/2006/relationships/hyperlink" Target="https://prnt.sc/bCleIdy9DMkG" TargetMode="External"/><Relationship Id="rId73" Type="http://schemas.openxmlformats.org/officeDocument/2006/relationships/hyperlink" Target="https://prnt.sc/eamUkSMhKGjg" TargetMode="External"/><Relationship Id="rId72" Type="http://schemas.openxmlformats.org/officeDocument/2006/relationships/hyperlink" Target="https://prnt.sc/iqe3GIxfZDqq" TargetMode="External"/><Relationship Id="rId31" Type="http://schemas.openxmlformats.org/officeDocument/2006/relationships/hyperlink" Target="https://prnt.sc/qgbnKSihVmzh" TargetMode="External"/><Relationship Id="rId75" Type="http://schemas.openxmlformats.org/officeDocument/2006/relationships/hyperlink" Target="https://prnt.sc/SupyNswNbww3" TargetMode="External"/><Relationship Id="rId30" Type="http://schemas.openxmlformats.org/officeDocument/2006/relationships/hyperlink" Target="https://prnt.sc/wKKFzHtYLhTT" TargetMode="External"/><Relationship Id="rId74" Type="http://schemas.openxmlformats.org/officeDocument/2006/relationships/hyperlink" Target="https://prnt.sc/72zApCcQKk94" TargetMode="External"/><Relationship Id="rId33" Type="http://schemas.openxmlformats.org/officeDocument/2006/relationships/hyperlink" Target="https://prnt.sc/IQcGpinTv1YZ" TargetMode="External"/><Relationship Id="rId77" Type="http://schemas.openxmlformats.org/officeDocument/2006/relationships/hyperlink" Target="https://prnt.sc/CAfJJbH_WV1F" TargetMode="External"/><Relationship Id="rId32" Type="http://schemas.openxmlformats.org/officeDocument/2006/relationships/hyperlink" Target="https://prnt.sc/0JRRMJFAnjzo" TargetMode="External"/><Relationship Id="rId76" Type="http://schemas.openxmlformats.org/officeDocument/2006/relationships/hyperlink" Target="https://prnt.sc/ibRXN_VcpujL" TargetMode="External"/><Relationship Id="rId35" Type="http://schemas.openxmlformats.org/officeDocument/2006/relationships/hyperlink" Target="https://prnt.sc/6Ff-Ka2-zwFR" TargetMode="External"/><Relationship Id="rId79" Type="http://schemas.openxmlformats.org/officeDocument/2006/relationships/hyperlink" Target="https://prnt.sc/61UBedHU4yDh" TargetMode="External"/><Relationship Id="rId34" Type="http://schemas.openxmlformats.org/officeDocument/2006/relationships/hyperlink" Target="https://prnt.sc/KVGtX32IrayU" TargetMode="External"/><Relationship Id="rId78" Type="http://schemas.openxmlformats.org/officeDocument/2006/relationships/hyperlink" Target="https://prnt.sc/aOqvQDhsW0TY" TargetMode="External"/><Relationship Id="rId71" Type="http://schemas.openxmlformats.org/officeDocument/2006/relationships/hyperlink" Target="https://prnt.sc/cxZ__4SkjjL2" TargetMode="External"/><Relationship Id="rId70" Type="http://schemas.openxmlformats.org/officeDocument/2006/relationships/hyperlink" Target="https://prnt.sc/wtnZfLjAWH1M" TargetMode="External"/><Relationship Id="rId37" Type="http://schemas.openxmlformats.org/officeDocument/2006/relationships/hyperlink" Target="https://prnt.sc/OtQ1K26Twz1d" TargetMode="External"/><Relationship Id="rId36" Type="http://schemas.openxmlformats.org/officeDocument/2006/relationships/hyperlink" Target="https://prnt.sc/5u9vmfziLfRV" TargetMode="External"/><Relationship Id="rId39" Type="http://schemas.openxmlformats.org/officeDocument/2006/relationships/hyperlink" Target="https://prnt.sc/DkigTdDuUW7P" TargetMode="External"/><Relationship Id="rId38" Type="http://schemas.openxmlformats.org/officeDocument/2006/relationships/hyperlink" Target="https://prnt.sc/hBssXsdO7ZcG" TargetMode="External"/><Relationship Id="rId62" Type="http://schemas.openxmlformats.org/officeDocument/2006/relationships/hyperlink" Target="https://prnt.sc/FBX2k8w1sOm5" TargetMode="External"/><Relationship Id="rId61" Type="http://schemas.openxmlformats.org/officeDocument/2006/relationships/hyperlink" Target="https://prnt.sc/FBX2k8w1sOm5" TargetMode="External"/><Relationship Id="rId20" Type="http://schemas.openxmlformats.org/officeDocument/2006/relationships/hyperlink" Target="https://prnt.sc/zyDaHnDom09U" TargetMode="External"/><Relationship Id="rId64" Type="http://schemas.openxmlformats.org/officeDocument/2006/relationships/hyperlink" Target="https://prnt.sc/Xpg3pgIC18Y6" TargetMode="External"/><Relationship Id="rId63" Type="http://schemas.openxmlformats.org/officeDocument/2006/relationships/hyperlink" Target="https://prnt.sc/oEbC_RmieOL6" TargetMode="External"/><Relationship Id="rId22" Type="http://schemas.openxmlformats.org/officeDocument/2006/relationships/hyperlink" Target="https://prnt.sc/gUvbipcfvari" TargetMode="External"/><Relationship Id="rId66" Type="http://schemas.openxmlformats.org/officeDocument/2006/relationships/hyperlink" Target="https://prnt.sc/R9JIopydC5S4" TargetMode="External"/><Relationship Id="rId21" Type="http://schemas.openxmlformats.org/officeDocument/2006/relationships/hyperlink" Target="https://prnt.sc/NBBShWnvLzAr" TargetMode="External"/><Relationship Id="rId65" Type="http://schemas.openxmlformats.org/officeDocument/2006/relationships/hyperlink" Target="https://prnt.sc/FSVcbf1EwIGl" TargetMode="External"/><Relationship Id="rId24" Type="http://schemas.openxmlformats.org/officeDocument/2006/relationships/hyperlink" Target="https://prnt.sc/p_5DcuTyM6c_" TargetMode="External"/><Relationship Id="rId68" Type="http://schemas.openxmlformats.org/officeDocument/2006/relationships/hyperlink" Target="https://prnt.sc/o9BeOcdAK2Vg" TargetMode="External"/><Relationship Id="rId23" Type="http://schemas.openxmlformats.org/officeDocument/2006/relationships/hyperlink" Target="https://prnt.sc/Xlq35r9US_wu" TargetMode="External"/><Relationship Id="rId67" Type="http://schemas.openxmlformats.org/officeDocument/2006/relationships/hyperlink" Target="https://prnt.sc/EtCfUN4E_8fp" TargetMode="External"/><Relationship Id="rId60" Type="http://schemas.openxmlformats.org/officeDocument/2006/relationships/hyperlink" Target="https://prnt.sc/kUvjyu9I2jsk" TargetMode="External"/><Relationship Id="rId26" Type="http://schemas.openxmlformats.org/officeDocument/2006/relationships/hyperlink" Target="https://prnt.sc/P_QcOy-mgkuw" TargetMode="External"/><Relationship Id="rId25" Type="http://schemas.openxmlformats.org/officeDocument/2006/relationships/hyperlink" Target="https://prnt.sc/__NmrNFR-96D" TargetMode="External"/><Relationship Id="rId69" Type="http://schemas.openxmlformats.org/officeDocument/2006/relationships/hyperlink" Target="https://prnt.sc/WKRSwBGWx1YP" TargetMode="External"/><Relationship Id="rId28" Type="http://schemas.openxmlformats.org/officeDocument/2006/relationships/hyperlink" Target="https://prnt.sc/pw2UoDEEN2ug" TargetMode="External"/><Relationship Id="rId27" Type="http://schemas.openxmlformats.org/officeDocument/2006/relationships/hyperlink" Target="https://prnt.sc/va_5SC7ntQ36" TargetMode="External"/><Relationship Id="rId29" Type="http://schemas.openxmlformats.org/officeDocument/2006/relationships/hyperlink" Target="https://prnt.sc/rdckBfHhB7mH" TargetMode="External"/><Relationship Id="rId51" Type="http://schemas.openxmlformats.org/officeDocument/2006/relationships/hyperlink" Target="https://prnt.sc/3BBSpvYUHFpm" TargetMode="External"/><Relationship Id="rId50" Type="http://schemas.openxmlformats.org/officeDocument/2006/relationships/hyperlink" Target="https://prnt.sc/3BBSpvYUHFpm" TargetMode="External"/><Relationship Id="rId53" Type="http://schemas.openxmlformats.org/officeDocument/2006/relationships/hyperlink" Target="https://prnt.sc/l1LE6kEJ8C0y" TargetMode="External"/><Relationship Id="rId52" Type="http://schemas.openxmlformats.org/officeDocument/2006/relationships/hyperlink" Target="https://prnt.sc/nbKOhtYo1XeH" TargetMode="External"/><Relationship Id="rId11" Type="http://schemas.openxmlformats.org/officeDocument/2006/relationships/hyperlink" Target="https://prnt.sc/GWAtqsPiUpPC" TargetMode="External"/><Relationship Id="rId55" Type="http://schemas.openxmlformats.org/officeDocument/2006/relationships/hyperlink" Target="https://prnt.sc/VL8cZKNm2Oz3" TargetMode="External"/><Relationship Id="rId10" Type="http://schemas.openxmlformats.org/officeDocument/2006/relationships/hyperlink" Target="https://prnt.sc/tz7SeCXoAsLv" TargetMode="External"/><Relationship Id="rId54" Type="http://schemas.openxmlformats.org/officeDocument/2006/relationships/hyperlink" Target="https://prnt.sc/nSCP-kOMwH6u" TargetMode="External"/><Relationship Id="rId13" Type="http://schemas.openxmlformats.org/officeDocument/2006/relationships/hyperlink" Target="https://prnt.sc/0afdztOJBlGF" TargetMode="External"/><Relationship Id="rId57" Type="http://schemas.openxmlformats.org/officeDocument/2006/relationships/hyperlink" Target="https://prnt.sc/yIPFnJTUzjmk" TargetMode="External"/><Relationship Id="rId12" Type="http://schemas.openxmlformats.org/officeDocument/2006/relationships/hyperlink" Target="https://prnt.sc/YzSOHt4fxCx6" TargetMode="External"/><Relationship Id="rId56" Type="http://schemas.openxmlformats.org/officeDocument/2006/relationships/hyperlink" Target="https://prnt.sc/bR5B3tPD_hNV" TargetMode="External"/><Relationship Id="rId15" Type="http://schemas.openxmlformats.org/officeDocument/2006/relationships/hyperlink" Target="https://prnt.sc/JiI-ohbcC5-Q" TargetMode="External"/><Relationship Id="rId59" Type="http://schemas.openxmlformats.org/officeDocument/2006/relationships/hyperlink" Target="https://prnt.sc/_bdXD55H3xvv" TargetMode="External"/><Relationship Id="rId14" Type="http://schemas.openxmlformats.org/officeDocument/2006/relationships/hyperlink" Target="https://prnt.sc/nrvr7EZcZdQh" TargetMode="External"/><Relationship Id="rId58" Type="http://schemas.openxmlformats.org/officeDocument/2006/relationships/hyperlink" Target="https://prnt.sc/k5Z3DgV9-Kpu" TargetMode="External"/><Relationship Id="rId17" Type="http://schemas.openxmlformats.org/officeDocument/2006/relationships/hyperlink" Target="https://prnt.sc/N5JvrEvMUjBK" TargetMode="External"/><Relationship Id="rId16" Type="http://schemas.openxmlformats.org/officeDocument/2006/relationships/hyperlink" Target="https://prnt.sc/NtcLUXmA1xpn" TargetMode="External"/><Relationship Id="rId19" Type="http://schemas.openxmlformats.org/officeDocument/2006/relationships/hyperlink" Target="https://prnt.sc/-A8zhQApyOcj" TargetMode="External"/><Relationship Id="rId18" Type="http://schemas.openxmlformats.org/officeDocument/2006/relationships/hyperlink" Target="https://prnt.sc/P62WZ-A1soRR" TargetMode="Externa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6.0" topLeftCell="A7" activePane="bottomLeft" state="frozen"/>
      <selection activeCell="B8" sqref="B8" pane="bottomLeft"/>
    </sheetView>
  </sheetViews>
  <sheetFormatPr customHeight="1" defaultColWidth="12.63" defaultRowHeight="15.0"/>
  <cols>
    <col customWidth="1" min="1" max="3" width="12.63"/>
    <col customWidth="1" min="4" max="4" width="25.38"/>
    <col customWidth="1" min="5" max="5" width="12.63"/>
    <col customWidth="1" min="6" max="6" width="28.75"/>
    <col customWidth="1" min="7" max="8" width="18.0"/>
    <col customWidth="1" min="9" max="9" width="25.5"/>
    <col customWidth="1" min="15" max="15" width="9.38"/>
    <col customWidth="1" min="16" max="16" width="10.38"/>
    <col customWidth="1" min="17" max="17" width="8.88"/>
    <col customWidth="1" min="19" max="19" width="27.13"/>
  </cols>
  <sheetData>
    <row r="1" ht="15.75" customHeight="1">
      <c r="A1" s="2" t="s">
        <v>0</v>
      </c>
      <c r="B1" s="4"/>
      <c r="C1" s="8" t="s">
        <v>6</v>
      </c>
      <c r="D1" s="10" t="s">
        <v>7</v>
      </c>
      <c r="E1" s="16" t="s">
        <v>9</v>
      </c>
      <c r="F1" s="10" t="s">
        <v>8</v>
      </c>
      <c r="G1" s="18"/>
      <c r="H1" s="20"/>
      <c r="I1" s="21"/>
      <c r="J1" s="2" t="s">
        <v>14</v>
      </c>
      <c r="K1" s="17"/>
      <c r="L1" s="24" t="s">
        <v>16</v>
      </c>
      <c r="M1" s="4"/>
      <c r="N1" s="26" t="s">
        <v>20</v>
      </c>
      <c r="O1" s="4"/>
      <c r="P1" s="27"/>
      <c r="Q1" s="4"/>
      <c r="R1" s="29"/>
      <c r="S1" s="30"/>
      <c r="T1" s="31"/>
      <c r="U1" s="31"/>
      <c r="V1" s="31"/>
      <c r="W1" s="31"/>
      <c r="X1" s="31"/>
      <c r="Y1" s="31"/>
      <c r="Z1" s="31"/>
      <c r="AA1" s="31"/>
      <c r="AB1" s="31"/>
      <c r="AC1" s="31"/>
      <c r="AD1" s="31"/>
      <c r="AE1" s="31"/>
      <c r="AF1" s="31"/>
    </row>
    <row r="2" ht="15.75" customHeight="1">
      <c r="A2" s="2" t="s">
        <v>27</v>
      </c>
      <c r="B2" s="4"/>
      <c r="C2" s="29"/>
      <c r="D2" s="10" t="s">
        <v>31</v>
      </c>
      <c r="E2" s="33" t="s">
        <v>41</v>
      </c>
      <c r="F2" s="10" t="s">
        <v>32</v>
      </c>
      <c r="G2" s="18"/>
      <c r="H2" s="20"/>
      <c r="I2" s="21"/>
      <c r="J2" s="34" t="s">
        <v>35</v>
      </c>
      <c r="K2" s="38">
        <f>COUNTIF(J7:J1004, "PASS")</f>
        <v>19</v>
      </c>
      <c r="L2" s="40" t="s">
        <v>57</v>
      </c>
      <c r="M2" s="38">
        <f>COUNTIF(L7:L1004, "Critical")</f>
        <v>2</v>
      </c>
      <c r="N2" s="42" t="s">
        <v>63</v>
      </c>
      <c r="O2" s="38">
        <f>COUNTIF(M6:M1003, "High")</f>
        <v>2</v>
      </c>
      <c r="P2" s="27"/>
      <c r="Q2" s="4"/>
      <c r="R2" s="29"/>
      <c r="S2" s="30"/>
      <c r="T2" s="31"/>
      <c r="U2" s="31"/>
      <c r="V2" s="31"/>
      <c r="W2" s="31"/>
      <c r="X2" s="31"/>
      <c r="Y2" s="31"/>
      <c r="Z2" s="31"/>
      <c r="AA2" s="31"/>
      <c r="AB2" s="31"/>
      <c r="AC2" s="31"/>
      <c r="AD2" s="31"/>
      <c r="AE2" s="31"/>
      <c r="AF2" s="31"/>
    </row>
    <row r="3" ht="15.75" customHeight="1">
      <c r="A3" s="3" t="s">
        <v>67</v>
      </c>
      <c r="B3" s="4"/>
      <c r="C3" s="44" t="s">
        <v>69</v>
      </c>
      <c r="D3" s="6" t="s">
        <v>71</v>
      </c>
      <c r="E3" s="5" t="s">
        <v>72</v>
      </c>
      <c r="F3" s="13"/>
      <c r="G3" s="15"/>
      <c r="H3" s="13"/>
      <c r="I3" s="15"/>
      <c r="J3" s="39" t="s">
        <v>77</v>
      </c>
      <c r="K3" s="37">
        <f>COUNTIF(J7:J1004, "FAIL")</f>
        <v>2</v>
      </c>
      <c r="L3" s="42" t="s">
        <v>63</v>
      </c>
      <c r="M3" s="38"/>
      <c r="N3" s="49" t="s">
        <v>81</v>
      </c>
      <c r="O3" s="37">
        <f>COUNTIF(M6:M1003, "Medium")</f>
        <v>0</v>
      </c>
      <c r="P3" s="22"/>
      <c r="Q3" s="4"/>
      <c r="R3" s="15"/>
      <c r="S3" s="50"/>
      <c r="T3" s="23"/>
      <c r="U3" s="23"/>
      <c r="V3" s="23"/>
      <c r="W3" s="23"/>
      <c r="X3" s="23"/>
      <c r="Y3" s="23"/>
      <c r="Z3" s="23"/>
      <c r="AA3" s="23"/>
      <c r="AB3" s="23"/>
      <c r="AC3" s="23"/>
      <c r="AD3" s="23"/>
      <c r="AE3" s="23"/>
      <c r="AF3" s="23"/>
    </row>
    <row r="4" ht="15.75" customHeight="1">
      <c r="A4" s="2" t="s">
        <v>89</v>
      </c>
      <c r="B4" s="4"/>
      <c r="C4" s="51"/>
      <c r="D4" s="10" t="s">
        <v>91</v>
      </c>
      <c r="E4" s="29" t="s">
        <v>93</v>
      </c>
      <c r="F4" s="52"/>
      <c r="G4" s="29"/>
      <c r="H4" s="20"/>
      <c r="I4" s="21"/>
      <c r="J4" s="53" t="s">
        <v>95</v>
      </c>
      <c r="K4" s="38">
        <f>COUNTIF(J7:J1004, "NT")</f>
        <v>0</v>
      </c>
      <c r="L4" s="56" t="s">
        <v>81</v>
      </c>
      <c r="M4" s="38">
        <f>COUNTIF(L7:L1004, "Medium")</f>
        <v>0</v>
      </c>
      <c r="N4" s="57" t="s">
        <v>101</v>
      </c>
      <c r="O4" s="38">
        <f>COUNTIF(M6:M1004, "Low")</f>
        <v>0</v>
      </c>
      <c r="P4" s="27"/>
      <c r="Q4" s="4"/>
      <c r="R4" s="29"/>
      <c r="S4" s="30"/>
      <c r="T4" s="31"/>
      <c r="U4" s="31"/>
      <c r="V4" s="31"/>
      <c r="W4" s="31"/>
      <c r="X4" s="31"/>
      <c r="Y4" s="31"/>
      <c r="Z4" s="31"/>
      <c r="AA4" s="31"/>
      <c r="AB4" s="31"/>
      <c r="AC4" s="31"/>
      <c r="AD4" s="31"/>
      <c r="AE4" s="31"/>
      <c r="AF4" s="31"/>
    </row>
    <row r="5" ht="15.75" customHeight="1">
      <c r="A5" s="2" t="s">
        <v>105</v>
      </c>
      <c r="B5" s="4"/>
      <c r="C5" s="51"/>
      <c r="D5" s="10" t="s">
        <v>106</v>
      </c>
      <c r="E5" s="60" t="s">
        <v>107</v>
      </c>
      <c r="F5" s="52"/>
      <c r="G5" s="29"/>
      <c r="H5" s="20"/>
      <c r="I5" s="16"/>
      <c r="J5" s="62" t="s">
        <v>109</v>
      </c>
      <c r="K5" s="38">
        <f>SUM(K2,K3,K4)</f>
        <v>21</v>
      </c>
      <c r="L5" s="63" t="s">
        <v>101</v>
      </c>
      <c r="M5" s="38">
        <f>COUNTIF(L7:L1005, "Low")</f>
        <v>0</v>
      </c>
      <c r="N5" s="64" t="s">
        <v>110</v>
      </c>
      <c r="O5" s="38">
        <f>COUNTIF(O7:O1004, "Accepted")</f>
        <v>0</v>
      </c>
      <c r="P5" s="27"/>
      <c r="Q5" s="4"/>
      <c r="R5" s="29"/>
      <c r="S5" s="30"/>
      <c r="T5" s="31"/>
      <c r="U5" s="31"/>
      <c r="V5" s="31"/>
      <c r="W5" s="31"/>
      <c r="X5" s="31"/>
      <c r="Y5" s="31"/>
      <c r="Z5" s="31"/>
      <c r="AA5" s="31"/>
      <c r="AB5" s="31"/>
      <c r="AC5" s="31"/>
      <c r="AD5" s="31"/>
      <c r="AE5" s="31"/>
      <c r="AF5" s="31"/>
    </row>
    <row r="6" ht="15.75" customHeight="1">
      <c r="A6" s="65" t="s">
        <v>111</v>
      </c>
      <c r="B6" s="65" t="s">
        <v>112</v>
      </c>
      <c r="C6" s="66" t="s">
        <v>113</v>
      </c>
      <c r="D6" s="66" t="s">
        <v>114</v>
      </c>
      <c r="E6" s="66" t="s">
        <v>115</v>
      </c>
      <c r="F6" s="66" t="s">
        <v>116</v>
      </c>
      <c r="G6" s="66" t="s">
        <v>117</v>
      </c>
      <c r="H6" s="66" t="s">
        <v>118</v>
      </c>
      <c r="I6" s="66" t="s">
        <v>119</v>
      </c>
      <c r="J6" s="67" t="s">
        <v>120</v>
      </c>
      <c r="K6" s="68" t="s">
        <v>122</v>
      </c>
      <c r="L6" s="65" t="s">
        <v>16</v>
      </c>
      <c r="M6" s="65" t="s">
        <v>20</v>
      </c>
      <c r="N6" s="66" t="s">
        <v>123</v>
      </c>
      <c r="O6" s="68" t="s">
        <v>124</v>
      </c>
      <c r="P6" s="68" t="s">
        <v>125</v>
      </c>
      <c r="Q6" s="68" t="s">
        <v>126</v>
      </c>
      <c r="R6" s="68" t="s">
        <v>127</v>
      </c>
      <c r="S6" s="69" t="s">
        <v>129</v>
      </c>
      <c r="T6" s="31"/>
      <c r="U6" s="31"/>
      <c r="V6" s="31"/>
      <c r="W6" s="31"/>
      <c r="X6" s="31"/>
      <c r="Y6" s="31"/>
      <c r="Z6" s="31"/>
      <c r="AA6" s="31"/>
      <c r="AB6" s="31"/>
      <c r="AC6" s="31"/>
      <c r="AD6" s="31"/>
      <c r="AE6" s="31"/>
      <c r="AF6" s="31"/>
    </row>
    <row r="7" ht="15.75" customHeight="1">
      <c r="A7" s="70" t="s">
        <v>130</v>
      </c>
      <c r="B7" s="70" t="s">
        <v>131</v>
      </c>
      <c r="C7" s="5" t="s">
        <v>133</v>
      </c>
      <c r="D7" s="71" t="s">
        <v>134</v>
      </c>
      <c r="E7" s="5" t="s">
        <v>135</v>
      </c>
      <c r="F7" s="71" t="s">
        <v>136</v>
      </c>
      <c r="G7" s="71" t="s">
        <v>137</v>
      </c>
      <c r="H7" s="71" t="s">
        <v>138</v>
      </c>
      <c r="I7" s="73" t="s">
        <v>139</v>
      </c>
      <c r="J7" s="39" t="s">
        <v>77</v>
      </c>
      <c r="K7" s="73"/>
      <c r="L7" s="39" t="s">
        <v>57</v>
      </c>
      <c r="M7" s="42" t="s">
        <v>63</v>
      </c>
      <c r="N7" s="76" t="s">
        <v>142</v>
      </c>
      <c r="O7" s="77"/>
      <c r="P7" s="73"/>
      <c r="Q7" s="73"/>
      <c r="R7" s="28" t="s">
        <v>35</v>
      </c>
      <c r="S7" s="76" t="s">
        <v>150</v>
      </c>
      <c r="T7" s="79"/>
      <c r="U7" s="79"/>
      <c r="V7" s="79"/>
      <c r="W7" s="79"/>
      <c r="X7" s="79"/>
      <c r="Y7" s="79"/>
      <c r="Z7" s="79"/>
      <c r="AA7" s="79"/>
      <c r="AB7" s="79"/>
      <c r="AC7" s="79"/>
      <c r="AD7" s="79"/>
      <c r="AE7" s="79"/>
      <c r="AF7" s="79"/>
    </row>
    <row r="8" ht="15.75" customHeight="1">
      <c r="A8" s="78"/>
      <c r="B8" s="78"/>
      <c r="C8" s="5" t="s">
        <v>156</v>
      </c>
      <c r="D8" s="71" t="s">
        <v>157</v>
      </c>
      <c r="E8" s="5" t="s">
        <v>135</v>
      </c>
      <c r="F8" s="71" t="s">
        <v>158</v>
      </c>
      <c r="G8" s="71" t="s">
        <v>159</v>
      </c>
      <c r="H8" s="71" t="s">
        <v>160</v>
      </c>
      <c r="I8" s="73" t="s">
        <v>161</v>
      </c>
      <c r="J8" s="28" t="s">
        <v>35</v>
      </c>
      <c r="K8" s="73"/>
      <c r="L8" s="77"/>
      <c r="M8" s="77"/>
      <c r="N8" s="76" t="s">
        <v>163</v>
      </c>
      <c r="O8" s="77"/>
      <c r="P8" s="73"/>
      <c r="Q8" s="73"/>
      <c r="R8" s="28" t="s">
        <v>35</v>
      </c>
      <c r="S8" s="76" t="s">
        <v>170</v>
      </c>
      <c r="T8" s="79"/>
      <c r="U8" s="79"/>
      <c r="V8" s="79"/>
      <c r="W8" s="79"/>
      <c r="X8" s="79"/>
      <c r="Y8" s="79"/>
      <c r="Z8" s="79"/>
      <c r="AA8" s="79"/>
      <c r="AB8" s="79"/>
      <c r="AC8" s="79"/>
      <c r="AD8" s="79"/>
      <c r="AE8" s="79"/>
      <c r="AF8" s="79"/>
    </row>
    <row r="9" ht="15.75" customHeight="1">
      <c r="A9" s="78"/>
      <c r="B9" s="78"/>
      <c r="C9" s="5" t="s">
        <v>171</v>
      </c>
      <c r="D9" s="71" t="s">
        <v>173</v>
      </c>
      <c r="E9" s="5" t="s">
        <v>135</v>
      </c>
      <c r="F9" s="71" t="s">
        <v>177</v>
      </c>
      <c r="G9" s="71" t="s">
        <v>179</v>
      </c>
      <c r="H9" s="71" t="s">
        <v>181</v>
      </c>
      <c r="I9" s="73" t="s">
        <v>182</v>
      </c>
      <c r="J9" s="28" t="s">
        <v>35</v>
      </c>
      <c r="K9" s="8"/>
      <c r="L9" s="80"/>
      <c r="M9" s="80"/>
      <c r="N9" s="76" t="s">
        <v>184</v>
      </c>
      <c r="O9" s="8"/>
      <c r="P9" s="8"/>
      <c r="Q9" s="8"/>
      <c r="R9" s="28" t="s">
        <v>35</v>
      </c>
      <c r="S9" s="76" t="s">
        <v>194</v>
      </c>
      <c r="T9" s="81"/>
      <c r="U9" s="81"/>
      <c r="V9" s="81"/>
      <c r="W9" s="81"/>
      <c r="X9" s="81"/>
      <c r="Y9" s="81"/>
      <c r="Z9" s="81"/>
      <c r="AA9" s="81"/>
      <c r="AB9" s="81"/>
      <c r="AC9" s="81"/>
      <c r="AD9" s="81"/>
      <c r="AE9" s="81"/>
      <c r="AF9" s="81"/>
    </row>
    <row r="10" ht="15.75" customHeight="1">
      <c r="A10" s="78"/>
      <c r="B10" s="78"/>
      <c r="C10" s="5" t="s">
        <v>200</v>
      </c>
      <c r="D10" s="71" t="s">
        <v>201</v>
      </c>
      <c r="E10" s="5" t="s">
        <v>135</v>
      </c>
      <c r="F10" s="71" t="s">
        <v>202</v>
      </c>
      <c r="G10" s="71" t="s">
        <v>203</v>
      </c>
      <c r="H10" s="71" t="s">
        <v>205</v>
      </c>
      <c r="I10" s="71" t="s">
        <v>206</v>
      </c>
      <c r="J10" s="28" t="s">
        <v>35</v>
      </c>
      <c r="K10" s="73"/>
      <c r="L10" s="77"/>
      <c r="M10" s="73"/>
      <c r="N10" s="76" t="s">
        <v>210</v>
      </c>
      <c r="O10" s="73"/>
      <c r="P10" s="73"/>
      <c r="Q10" s="73"/>
      <c r="R10" s="28" t="s">
        <v>35</v>
      </c>
      <c r="S10" s="76" t="s">
        <v>212</v>
      </c>
      <c r="T10" s="79"/>
      <c r="U10" s="79"/>
      <c r="V10" s="79"/>
      <c r="W10" s="79"/>
      <c r="X10" s="79"/>
      <c r="Y10" s="79"/>
      <c r="Z10" s="79"/>
      <c r="AA10" s="79"/>
      <c r="AB10" s="79"/>
      <c r="AC10" s="79"/>
      <c r="AD10" s="79"/>
      <c r="AE10" s="79"/>
      <c r="AF10" s="79"/>
    </row>
    <row r="11" ht="15.75" customHeight="1">
      <c r="A11" s="78"/>
      <c r="B11" s="78"/>
      <c r="C11" s="5" t="s">
        <v>217</v>
      </c>
      <c r="D11" s="71" t="s">
        <v>218</v>
      </c>
      <c r="E11" s="5" t="s">
        <v>135</v>
      </c>
      <c r="F11" s="71" t="s">
        <v>219</v>
      </c>
      <c r="G11" s="71" t="s">
        <v>220</v>
      </c>
      <c r="H11" s="71" t="s">
        <v>221</v>
      </c>
      <c r="I11" s="71" t="s">
        <v>222</v>
      </c>
      <c r="J11" s="28" t="s">
        <v>35</v>
      </c>
      <c r="K11" s="73"/>
      <c r="L11" s="77"/>
      <c r="M11" s="73"/>
      <c r="N11" s="76" t="s">
        <v>223</v>
      </c>
      <c r="O11" s="73"/>
      <c r="P11" s="73"/>
      <c r="Q11" s="73"/>
      <c r="R11" s="28" t="s">
        <v>35</v>
      </c>
      <c r="S11" s="76" t="s">
        <v>228</v>
      </c>
      <c r="T11" s="79"/>
      <c r="U11" s="79"/>
      <c r="V11" s="79"/>
      <c r="W11" s="79"/>
      <c r="X11" s="79"/>
      <c r="Y11" s="79"/>
      <c r="Z11" s="79"/>
      <c r="AA11" s="79"/>
      <c r="AB11" s="79"/>
      <c r="AC11" s="79"/>
      <c r="AD11" s="79"/>
      <c r="AE11" s="79"/>
      <c r="AF11" s="79"/>
    </row>
    <row r="12" ht="15.75" customHeight="1">
      <c r="A12" s="78"/>
      <c r="B12" s="78"/>
      <c r="C12" s="5" t="s">
        <v>234</v>
      </c>
      <c r="D12" s="71" t="s">
        <v>236</v>
      </c>
      <c r="E12" s="5" t="s">
        <v>135</v>
      </c>
      <c r="F12" s="71" t="s">
        <v>237</v>
      </c>
      <c r="G12" s="71" t="s">
        <v>238</v>
      </c>
      <c r="H12" s="71" t="s">
        <v>239</v>
      </c>
      <c r="I12" s="71" t="s">
        <v>240</v>
      </c>
      <c r="J12" s="28" t="s">
        <v>35</v>
      </c>
      <c r="K12" s="8"/>
      <c r="L12" s="8"/>
      <c r="M12" s="8"/>
      <c r="N12" s="76" t="s">
        <v>241</v>
      </c>
      <c r="O12" s="8"/>
      <c r="P12" s="8"/>
      <c r="Q12" s="8"/>
      <c r="R12" s="28" t="s">
        <v>35</v>
      </c>
      <c r="S12" s="76" t="s">
        <v>247</v>
      </c>
      <c r="T12" s="81"/>
      <c r="U12" s="81"/>
      <c r="V12" s="81"/>
      <c r="W12" s="81"/>
      <c r="X12" s="81"/>
      <c r="Y12" s="81"/>
      <c r="Z12" s="81"/>
      <c r="AA12" s="81"/>
      <c r="AB12" s="81"/>
      <c r="AC12" s="81"/>
      <c r="AD12" s="81"/>
      <c r="AE12" s="81"/>
      <c r="AF12" s="81"/>
    </row>
    <row r="13" ht="15.75" customHeight="1">
      <c r="A13" s="78"/>
      <c r="B13" s="78"/>
      <c r="C13" s="5" t="s">
        <v>249</v>
      </c>
      <c r="D13" s="71" t="s">
        <v>250</v>
      </c>
      <c r="E13" s="5" t="s">
        <v>135</v>
      </c>
      <c r="F13" s="71" t="s">
        <v>251</v>
      </c>
      <c r="G13" s="71" t="s">
        <v>252</v>
      </c>
      <c r="H13" s="71" t="s">
        <v>253</v>
      </c>
      <c r="I13" s="71" t="s">
        <v>254</v>
      </c>
      <c r="J13" s="28" t="s">
        <v>35</v>
      </c>
      <c r="K13" s="8"/>
      <c r="L13" s="8"/>
      <c r="M13" s="8"/>
      <c r="N13" s="76" t="s">
        <v>259</v>
      </c>
      <c r="O13" s="8"/>
      <c r="P13" s="8"/>
      <c r="Q13" s="8"/>
      <c r="R13" s="28" t="s">
        <v>35</v>
      </c>
      <c r="S13" s="76" t="s">
        <v>261</v>
      </c>
      <c r="T13" s="81"/>
      <c r="U13" s="81"/>
      <c r="V13" s="81"/>
      <c r="W13" s="81"/>
      <c r="X13" s="81"/>
      <c r="Y13" s="81"/>
      <c r="Z13" s="81"/>
      <c r="AA13" s="81"/>
      <c r="AB13" s="81"/>
      <c r="AC13" s="81"/>
      <c r="AD13" s="81"/>
      <c r="AE13" s="81"/>
      <c r="AF13" s="81"/>
    </row>
    <row r="14" ht="15.75" customHeight="1">
      <c r="A14" s="78"/>
      <c r="B14" s="78"/>
      <c r="C14" s="5" t="s">
        <v>269</v>
      </c>
      <c r="D14" s="71" t="s">
        <v>270</v>
      </c>
      <c r="E14" s="5" t="s">
        <v>135</v>
      </c>
      <c r="F14" s="71" t="s">
        <v>271</v>
      </c>
      <c r="G14" s="71" t="s">
        <v>272</v>
      </c>
      <c r="H14" s="71" t="s">
        <v>273</v>
      </c>
      <c r="I14" s="71" t="s">
        <v>274</v>
      </c>
      <c r="J14" s="28" t="s">
        <v>35</v>
      </c>
      <c r="K14" s="8"/>
      <c r="L14" s="8"/>
      <c r="M14" s="8"/>
      <c r="N14" s="76" t="s">
        <v>275</v>
      </c>
      <c r="O14" s="8"/>
      <c r="P14" s="8"/>
      <c r="Q14" s="8"/>
      <c r="R14" s="28" t="s">
        <v>35</v>
      </c>
      <c r="S14" s="76" t="s">
        <v>276</v>
      </c>
      <c r="T14" s="81"/>
      <c r="U14" s="81"/>
      <c r="V14" s="81"/>
      <c r="W14" s="81"/>
      <c r="X14" s="81"/>
      <c r="Y14" s="81"/>
      <c r="Z14" s="81"/>
      <c r="AA14" s="81"/>
      <c r="AB14" s="81"/>
      <c r="AC14" s="81"/>
      <c r="AD14" s="81"/>
      <c r="AE14" s="81"/>
      <c r="AF14" s="81"/>
    </row>
    <row r="15" ht="15.75" customHeight="1">
      <c r="A15" s="78"/>
      <c r="B15" s="78"/>
      <c r="C15" s="5" t="s">
        <v>283</v>
      </c>
      <c r="D15" s="71" t="s">
        <v>284</v>
      </c>
      <c r="E15" s="5" t="s">
        <v>135</v>
      </c>
      <c r="F15" s="71" t="s">
        <v>285</v>
      </c>
      <c r="G15" s="71" t="s">
        <v>286</v>
      </c>
      <c r="H15" s="71" t="s">
        <v>287</v>
      </c>
      <c r="I15" s="71" t="s">
        <v>288</v>
      </c>
      <c r="J15" s="28" t="s">
        <v>35</v>
      </c>
      <c r="K15" s="8"/>
      <c r="L15" s="8"/>
      <c r="M15" s="8"/>
      <c r="N15" s="76" t="s">
        <v>291</v>
      </c>
      <c r="O15" s="8"/>
      <c r="P15" s="8"/>
      <c r="Q15" s="8"/>
      <c r="R15" s="28" t="s">
        <v>35</v>
      </c>
      <c r="S15" s="76" t="s">
        <v>297</v>
      </c>
      <c r="T15" s="81"/>
      <c r="U15" s="81"/>
      <c r="V15" s="81"/>
      <c r="W15" s="81"/>
      <c r="X15" s="81"/>
      <c r="Y15" s="81"/>
      <c r="Z15" s="81"/>
      <c r="AA15" s="81"/>
      <c r="AB15" s="81"/>
      <c r="AC15" s="81"/>
      <c r="AD15" s="81"/>
      <c r="AE15" s="81"/>
      <c r="AF15" s="81"/>
    </row>
    <row r="16" ht="15.75" customHeight="1">
      <c r="A16" s="78"/>
      <c r="B16" s="78"/>
      <c r="C16" s="5" t="s">
        <v>300</v>
      </c>
      <c r="D16" s="71" t="s">
        <v>301</v>
      </c>
      <c r="E16" s="5" t="s">
        <v>135</v>
      </c>
      <c r="F16" s="71" t="s">
        <v>285</v>
      </c>
      <c r="G16" s="71" t="s">
        <v>305</v>
      </c>
      <c r="H16" s="71" t="s">
        <v>287</v>
      </c>
      <c r="I16" s="71" t="s">
        <v>307</v>
      </c>
      <c r="J16" s="28" t="s">
        <v>35</v>
      </c>
      <c r="K16" s="8"/>
      <c r="L16" s="8"/>
      <c r="M16" s="8"/>
      <c r="N16" s="76" t="s">
        <v>308</v>
      </c>
      <c r="O16" s="8"/>
      <c r="P16" s="8"/>
      <c r="Q16" s="8"/>
      <c r="R16" s="28" t="s">
        <v>35</v>
      </c>
      <c r="S16" s="76" t="s">
        <v>312</v>
      </c>
      <c r="T16" s="81"/>
      <c r="U16" s="81"/>
      <c r="V16" s="81"/>
      <c r="W16" s="81"/>
      <c r="X16" s="81"/>
      <c r="Y16" s="81"/>
      <c r="Z16" s="81"/>
      <c r="AA16" s="81"/>
      <c r="AB16" s="81"/>
      <c r="AC16" s="81"/>
      <c r="AD16" s="81"/>
      <c r="AE16" s="81"/>
      <c r="AF16" s="81"/>
    </row>
    <row r="17" ht="15.75" customHeight="1">
      <c r="A17" s="78"/>
      <c r="B17" s="78"/>
      <c r="C17" s="5" t="s">
        <v>319</v>
      </c>
      <c r="D17" s="71" t="s">
        <v>320</v>
      </c>
      <c r="E17" s="5" t="s">
        <v>135</v>
      </c>
      <c r="F17" s="71" t="s">
        <v>323</v>
      </c>
      <c r="G17" s="71" t="s">
        <v>324</v>
      </c>
      <c r="H17" s="71" t="s">
        <v>325</v>
      </c>
      <c r="I17" s="71" t="s">
        <v>326</v>
      </c>
      <c r="J17" s="28" t="s">
        <v>35</v>
      </c>
      <c r="K17" s="8"/>
      <c r="L17" s="8"/>
      <c r="M17" s="8"/>
      <c r="N17" s="76" t="s">
        <v>329</v>
      </c>
      <c r="O17" s="8"/>
      <c r="P17" s="8"/>
      <c r="Q17" s="8"/>
      <c r="R17" s="28" t="s">
        <v>35</v>
      </c>
      <c r="S17" s="76" t="s">
        <v>331</v>
      </c>
      <c r="T17" s="81"/>
      <c r="U17" s="81"/>
      <c r="V17" s="81"/>
      <c r="W17" s="81"/>
      <c r="X17" s="81"/>
      <c r="Y17" s="81"/>
      <c r="Z17" s="81"/>
      <c r="AA17" s="81"/>
      <c r="AB17" s="81"/>
      <c r="AC17" s="81"/>
      <c r="AD17" s="81"/>
      <c r="AE17" s="81"/>
      <c r="AF17" s="81"/>
    </row>
    <row r="18" ht="15.75" customHeight="1">
      <c r="A18" s="78"/>
      <c r="B18" s="78"/>
      <c r="C18" s="5" t="s">
        <v>339</v>
      </c>
      <c r="D18" s="71" t="s">
        <v>340</v>
      </c>
      <c r="E18" s="5" t="s">
        <v>135</v>
      </c>
      <c r="F18" s="71" t="s">
        <v>341</v>
      </c>
      <c r="G18" s="71" t="s">
        <v>342</v>
      </c>
      <c r="H18" s="71" t="s">
        <v>138</v>
      </c>
      <c r="I18" s="73" t="s">
        <v>343</v>
      </c>
      <c r="J18" s="39" t="s">
        <v>77</v>
      </c>
      <c r="K18" s="8"/>
      <c r="L18" s="39" t="s">
        <v>57</v>
      </c>
      <c r="M18" s="42" t="s">
        <v>63</v>
      </c>
      <c r="N18" s="76" t="s">
        <v>344</v>
      </c>
      <c r="O18" s="8"/>
      <c r="P18" s="8"/>
      <c r="Q18" s="8"/>
      <c r="R18" s="28" t="s">
        <v>35</v>
      </c>
      <c r="S18" s="76" t="s">
        <v>351</v>
      </c>
      <c r="T18" s="81"/>
      <c r="U18" s="81"/>
      <c r="V18" s="81"/>
      <c r="W18" s="81"/>
      <c r="X18" s="81"/>
      <c r="Y18" s="81"/>
      <c r="Z18" s="81"/>
      <c r="AA18" s="81"/>
      <c r="AB18" s="81"/>
      <c r="AC18" s="81"/>
      <c r="AD18" s="81"/>
      <c r="AE18" s="81"/>
      <c r="AF18" s="81"/>
    </row>
    <row r="19" ht="15.75" customHeight="1">
      <c r="A19" s="78"/>
      <c r="B19" s="78"/>
      <c r="C19" s="5" t="s">
        <v>354</v>
      </c>
      <c r="D19" s="71" t="s">
        <v>157</v>
      </c>
      <c r="E19" s="5" t="s">
        <v>135</v>
      </c>
      <c r="F19" s="71" t="s">
        <v>356</v>
      </c>
      <c r="G19" s="71" t="s">
        <v>357</v>
      </c>
      <c r="H19" s="71" t="s">
        <v>160</v>
      </c>
      <c r="I19" s="73" t="s">
        <v>358</v>
      </c>
      <c r="J19" s="28" t="s">
        <v>35</v>
      </c>
      <c r="K19" s="8"/>
      <c r="L19" s="8"/>
      <c r="M19" s="8"/>
      <c r="N19" s="76" t="s">
        <v>360</v>
      </c>
      <c r="O19" s="8"/>
      <c r="P19" s="8"/>
      <c r="Q19" s="8"/>
      <c r="R19" s="28" t="s">
        <v>35</v>
      </c>
      <c r="S19" s="76" t="s">
        <v>361</v>
      </c>
      <c r="T19" s="81"/>
      <c r="U19" s="81"/>
      <c r="V19" s="81"/>
      <c r="W19" s="81"/>
      <c r="X19" s="81"/>
      <c r="Y19" s="81"/>
      <c r="Z19" s="81"/>
      <c r="AA19" s="81"/>
      <c r="AB19" s="81"/>
      <c r="AC19" s="81"/>
      <c r="AD19" s="81"/>
      <c r="AE19" s="81"/>
      <c r="AF19" s="81"/>
    </row>
    <row r="20" ht="15.75" customHeight="1">
      <c r="A20" s="78"/>
      <c r="B20" s="78"/>
      <c r="C20" s="5" t="s">
        <v>366</v>
      </c>
      <c r="D20" s="71" t="s">
        <v>173</v>
      </c>
      <c r="E20" s="5" t="s">
        <v>135</v>
      </c>
      <c r="F20" s="71" t="s">
        <v>367</v>
      </c>
      <c r="G20" s="71" t="s">
        <v>368</v>
      </c>
      <c r="H20" s="71" t="s">
        <v>369</v>
      </c>
      <c r="I20" s="73" t="s">
        <v>182</v>
      </c>
      <c r="J20" s="28" t="s">
        <v>35</v>
      </c>
      <c r="K20" s="8"/>
      <c r="L20" s="8"/>
      <c r="M20" s="8"/>
      <c r="N20" s="76" t="s">
        <v>370</v>
      </c>
      <c r="O20" s="8"/>
      <c r="P20" s="8"/>
      <c r="Q20" s="8"/>
      <c r="R20" s="28" t="s">
        <v>35</v>
      </c>
      <c r="S20" s="76" t="s">
        <v>374</v>
      </c>
      <c r="T20" s="81"/>
      <c r="U20" s="81"/>
      <c r="V20" s="81"/>
      <c r="W20" s="81"/>
      <c r="X20" s="81"/>
      <c r="Y20" s="81"/>
      <c r="Z20" s="81"/>
      <c r="AA20" s="81"/>
      <c r="AB20" s="81"/>
      <c r="AC20" s="81"/>
      <c r="AD20" s="81"/>
      <c r="AE20" s="81"/>
      <c r="AF20" s="81"/>
    </row>
    <row r="21" ht="15.75" customHeight="1">
      <c r="A21" s="78"/>
      <c r="B21" s="78"/>
      <c r="C21" s="5" t="s">
        <v>376</v>
      </c>
      <c r="D21" s="71" t="s">
        <v>201</v>
      </c>
      <c r="E21" s="5" t="s">
        <v>135</v>
      </c>
      <c r="F21" s="71" t="s">
        <v>377</v>
      </c>
      <c r="G21" s="71" t="s">
        <v>368</v>
      </c>
      <c r="H21" s="71" t="s">
        <v>205</v>
      </c>
      <c r="I21" s="71" t="s">
        <v>379</v>
      </c>
      <c r="J21" s="28" t="s">
        <v>35</v>
      </c>
      <c r="K21" s="73"/>
      <c r="L21" s="8"/>
      <c r="M21" s="8"/>
      <c r="N21" s="76" t="s">
        <v>382</v>
      </c>
      <c r="O21" s="8"/>
      <c r="P21" s="8"/>
      <c r="Q21" s="8"/>
      <c r="R21" s="28" t="s">
        <v>35</v>
      </c>
      <c r="S21" s="76" t="s">
        <v>384</v>
      </c>
      <c r="T21" s="81"/>
      <c r="U21" s="81"/>
      <c r="V21" s="81"/>
      <c r="W21" s="81"/>
      <c r="X21" s="81"/>
      <c r="Y21" s="81"/>
      <c r="Z21" s="81"/>
      <c r="AA21" s="81"/>
      <c r="AB21" s="81"/>
      <c r="AC21" s="81"/>
      <c r="AD21" s="81"/>
      <c r="AE21" s="81"/>
      <c r="AF21" s="81"/>
    </row>
    <row r="22" ht="15.75" customHeight="1">
      <c r="A22" s="78"/>
      <c r="B22" s="78"/>
      <c r="C22" s="5" t="s">
        <v>389</v>
      </c>
      <c r="D22" s="71" t="s">
        <v>218</v>
      </c>
      <c r="E22" s="5" t="s">
        <v>135</v>
      </c>
      <c r="F22" s="71" t="s">
        <v>390</v>
      </c>
      <c r="G22" s="71" t="s">
        <v>391</v>
      </c>
      <c r="H22" s="71" t="s">
        <v>221</v>
      </c>
      <c r="I22" s="73" t="s">
        <v>222</v>
      </c>
      <c r="J22" s="28" t="s">
        <v>35</v>
      </c>
      <c r="K22" s="8"/>
      <c r="L22" s="8"/>
      <c r="M22" s="8"/>
      <c r="N22" s="76" t="s">
        <v>393</v>
      </c>
      <c r="O22" s="8"/>
      <c r="P22" s="8"/>
      <c r="Q22" s="8"/>
      <c r="R22" s="28" t="s">
        <v>35</v>
      </c>
      <c r="S22" s="76" t="s">
        <v>397</v>
      </c>
      <c r="T22" s="81"/>
      <c r="U22" s="81"/>
      <c r="V22" s="81"/>
      <c r="W22" s="81"/>
      <c r="X22" s="81"/>
      <c r="Y22" s="81"/>
      <c r="Z22" s="81"/>
      <c r="AA22" s="81"/>
      <c r="AB22" s="81"/>
      <c r="AC22" s="81"/>
      <c r="AD22" s="81"/>
      <c r="AE22" s="81"/>
      <c r="AF22" s="81"/>
    </row>
    <row r="23" ht="15.75" customHeight="1">
      <c r="A23" s="78"/>
      <c r="B23" s="78"/>
      <c r="C23" s="5" t="s">
        <v>399</v>
      </c>
      <c r="D23" s="71" t="s">
        <v>236</v>
      </c>
      <c r="E23" s="5" t="s">
        <v>135</v>
      </c>
      <c r="F23" s="71" t="s">
        <v>400</v>
      </c>
      <c r="G23" s="71" t="s">
        <v>401</v>
      </c>
      <c r="H23" s="71" t="s">
        <v>239</v>
      </c>
      <c r="I23" s="73" t="s">
        <v>402</v>
      </c>
      <c r="J23" s="28" t="s">
        <v>35</v>
      </c>
      <c r="K23" s="8"/>
      <c r="L23" s="8"/>
      <c r="M23" s="8"/>
      <c r="N23" s="76" t="s">
        <v>403</v>
      </c>
      <c r="O23" s="8"/>
      <c r="P23" s="8"/>
      <c r="Q23" s="8"/>
      <c r="R23" s="28" t="s">
        <v>35</v>
      </c>
      <c r="S23" s="76" t="s">
        <v>407</v>
      </c>
      <c r="T23" s="81"/>
      <c r="U23" s="81"/>
      <c r="V23" s="81"/>
      <c r="W23" s="81"/>
      <c r="X23" s="81"/>
      <c r="Y23" s="81"/>
      <c r="Z23" s="81"/>
      <c r="AA23" s="81"/>
      <c r="AB23" s="81"/>
      <c r="AC23" s="81"/>
      <c r="AD23" s="81"/>
      <c r="AE23" s="81"/>
      <c r="AF23" s="81"/>
    </row>
    <row r="24" ht="15.75" customHeight="1">
      <c r="A24" s="78"/>
      <c r="B24" s="78"/>
      <c r="C24" s="5" t="s">
        <v>409</v>
      </c>
      <c r="D24" s="71" t="s">
        <v>410</v>
      </c>
      <c r="E24" s="5" t="s">
        <v>135</v>
      </c>
      <c r="F24" s="71" t="s">
        <v>285</v>
      </c>
      <c r="G24" s="71" t="s">
        <v>411</v>
      </c>
      <c r="H24" s="71" t="s">
        <v>412</v>
      </c>
      <c r="I24" s="71" t="s">
        <v>288</v>
      </c>
      <c r="J24" s="28" t="s">
        <v>35</v>
      </c>
      <c r="K24" s="8"/>
      <c r="L24" s="8"/>
      <c r="M24" s="8"/>
      <c r="N24" s="76" t="s">
        <v>413</v>
      </c>
      <c r="O24" s="8"/>
      <c r="P24" s="8"/>
      <c r="Q24" s="8"/>
      <c r="R24" s="28" t="s">
        <v>35</v>
      </c>
      <c r="S24" s="76" t="s">
        <v>418</v>
      </c>
      <c r="T24" s="81"/>
      <c r="U24" s="81"/>
      <c r="V24" s="81"/>
      <c r="W24" s="81"/>
      <c r="X24" s="81"/>
      <c r="Y24" s="81"/>
      <c r="Z24" s="81"/>
      <c r="AA24" s="81"/>
      <c r="AB24" s="81"/>
      <c r="AC24" s="81"/>
      <c r="AD24" s="81"/>
      <c r="AE24" s="81"/>
      <c r="AF24" s="81"/>
    </row>
    <row r="25" ht="15.75" customHeight="1">
      <c r="A25" s="78"/>
      <c r="B25" s="78"/>
      <c r="C25" s="5" t="s">
        <v>419</v>
      </c>
      <c r="D25" s="71" t="s">
        <v>420</v>
      </c>
      <c r="E25" s="5" t="s">
        <v>135</v>
      </c>
      <c r="F25" s="71" t="s">
        <v>285</v>
      </c>
      <c r="G25" s="71" t="s">
        <v>421</v>
      </c>
      <c r="H25" s="71" t="s">
        <v>287</v>
      </c>
      <c r="I25" s="71" t="s">
        <v>307</v>
      </c>
      <c r="J25" s="28" t="s">
        <v>35</v>
      </c>
      <c r="K25" s="8"/>
      <c r="L25" s="8"/>
      <c r="M25" s="8"/>
      <c r="N25" s="76" t="s">
        <v>424</v>
      </c>
      <c r="O25" s="8"/>
      <c r="P25" s="8"/>
      <c r="Q25" s="8"/>
      <c r="R25" s="28" t="s">
        <v>35</v>
      </c>
      <c r="S25" s="76" t="s">
        <v>428</v>
      </c>
      <c r="T25" s="81"/>
      <c r="U25" s="81"/>
      <c r="V25" s="81"/>
      <c r="W25" s="81"/>
      <c r="X25" s="81"/>
      <c r="Y25" s="81"/>
      <c r="Z25" s="81"/>
      <c r="AA25" s="81"/>
      <c r="AB25" s="81"/>
      <c r="AC25" s="81"/>
      <c r="AD25" s="81"/>
      <c r="AE25" s="81"/>
      <c r="AF25" s="81"/>
    </row>
    <row r="26" ht="15.75" customHeight="1">
      <c r="A26" s="78"/>
      <c r="B26" s="78"/>
      <c r="C26" s="5" t="s">
        <v>431</v>
      </c>
      <c r="D26" s="71" t="s">
        <v>250</v>
      </c>
      <c r="E26" s="5" t="s">
        <v>135</v>
      </c>
      <c r="F26" s="71" t="s">
        <v>434</v>
      </c>
      <c r="G26" s="71" t="s">
        <v>435</v>
      </c>
      <c r="H26" s="71" t="s">
        <v>253</v>
      </c>
      <c r="I26" s="71" t="s">
        <v>254</v>
      </c>
      <c r="J26" s="28" t="s">
        <v>35</v>
      </c>
      <c r="K26" s="8"/>
      <c r="L26" s="8"/>
      <c r="M26" s="8"/>
      <c r="N26" s="76" t="s">
        <v>438</v>
      </c>
      <c r="O26" s="8"/>
      <c r="P26" s="8"/>
      <c r="Q26" s="8"/>
      <c r="R26" s="28" t="s">
        <v>35</v>
      </c>
      <c r="S26" s="76" t="s">
        <v>439</v>
      </c>
      <c r="T26" s="81"/>
      <c r="U26" s="81"/>
      <c r="V26" s="81"/>
      <c r="W26" s="81"/>
      <c r="X26" s="81"/>
      <c r="Y26" s="81"/>
      <c r="Z26" s="81"/>
      <c r="AA26" s="81"/>
      <c r="AB26" s="81"/>
      <c r="AC26" s="81"/>
      <c r="AD26" s="81"/>
      <c r="AE26" s="81"/>
      <c r="AF26" s="81"/>
    </row>
    <row r="27" ht="15.75" customHeight="1">
      <c r="A27" s="78"/>
      <c r="B27" s="78"/>
      <c r="C27" s="5" t="s">
        <v>445</v>
      </c>
      <c r="D27" s="71" t="s">
        <v>320</v>
      </c>
      <c r="E27" s="5" t="s">
        <v>135</v>
      </c>
      <c r="F27" s="71" t="s">
        <v>323</v>
      </c>
      <c r="G27" s="71" t="s">
        <v>446</v>
      </c>
      <c r="H27" s="71" t="s">
        <v>325</v>
      </c>
      <c r="I27" s="71" t="s">
        <v>447</v>
      </c>
      <c r="J27" s="28" t="s">
        <v>35</v>
      </c>
      <c r="K27" s="8"/>
      <c r="L27" s="8"/>
      <c r="M27" s="8"/>
      <c r="N27" s="76" t="s">
        <v>451</v>
      </c>
      <c r="O27" s="8"/>
      <c r="P27" s="8"/>
      <c r="Q27" s="8"/>
      <c r="R27" s="28" t="s">
        <v>35</v>
      </c>
      <c r="S27" s="76" t="s">
        <v>453</v>
      </c>
      <c r="T27" s="81"/>
      <c r="U27" s="81"/>
      <c r="V27" s="81"/>
      <c r="W27" s="81"/>
      <c r="X27" s="81"/>
      <c r="Y27" s="81"/>
      <c r="Z27" s="81"/>
      <c r="AA27" s="81"/>
      <c r="AB27" s="81"/>
      <c r="AC27" s="81"/>
      <c r="AD27" s="81"/>
      <c r="AE27" s="81"/>
      <c r="AF27" s="81"/>
    </row>
    <row r="28" ht="15.75" customHeight="1">
      <c r="A28" s="82"/>
      <c r="B28" s="82"/>
      <c r="C28" s="5" t="s">
        <v>456</v>
      </c>
      <c r="D28" s="73" t="s">
        <v>458</v>
      </c>
      <c r="E28" s="5" t="s">
        <v>135</v>
      </c>
      <c r="F28" s="73" t="s">
        <v>461</v>
      </c>
      <c r="G28" s="73" t="s">
        <v>462</v>
      </c>
      <c r="H28" s="73" t="s">
        <v>463</v>
      </c>
      <c r="I28" s="73" t="s">
        <v>464</v>
      </c>
      <c r="J28" s="8"/>
      <c r="K28" s="8"/>
      <c r="L28" s="8"/>
      <c r="M28" s="8"/>
      <c r="N28" s="5"/>
      <c r="O28" s="8"/>
      <c r="P28" s="8"/>
      <c r="Q28" s="8"/>
      <c r="R28" s="28" t="s">
        <v>35</v>
      </c>
      <c r="S28" s="76" t="s">
        <v>466</v>
      </c>
      <c r="T28" s="81"/>
      <c r="U28" s="81"/>
      <c r="V28" s="81"/>
      <c r="W28" s="81"/>
      <c r="X28" s="81"/>
      <c r="Y28" s="81"/>
      <c r="Z28" s="81"/>
      <c r="AA28" s="81"/>
      <c r="AB28" s="81"/>
      <c r="AC28" s="81"/>
      <c r="AD28" s="81"/>
      <c r="AE28" s="81"/>
      <c r="AF28" s="81"/>
    </row>
    <row r="29" ht="15.75" customHeight="1">
      <c r="A29" s="8"/>
      <c r="B29" s="8"/>
      <c r="C29" s="8"/>
      <c r="D29" s="8"/>
      <c r="E29" s="8"/>
      <c r="F29" s="8"/>
      <c r="G29" s="8"/>
      <c r="H29" s="8"/>
      <c r="I29" s="8"/>
      <c r="J29" s="8"/>
      <c r="K29" s="8"/>
      <c r="L29" s="8"/>
      <c r="M29" s="8"/>
      <c r="N29" s="5"/>
      <c r="O29" s="8"/>
      <c r="P29" s="8"/>
      <c r="Q29" s="8"/>
      <c r="R29" s="8"/>
      <c r="S29" s="50"/>
      <c r="T29" s="81"/>
      <c r="U29" s="81"/>
      <c r="V29" s="81"/>
      <c r="W29" s="81"/>
      <c r="X29" s="81"/>
      <c r="Y29" s="81"/>
      <c r="Z29" s="81"/>
      <c r="AA29" s="81"/>
      <c r="AB29" s="81"/>
      <c r="AC29" s="81"/>
      <c r="AD29" s="81"/>
      <c r="AE29" s="81"/>
      <c r="AF29" s="81"/>
    </row>
    <row r="30" ht="15.75" customHeight="1">
      <c r="A30" s="8"/>
      <c r="B30" s="8"/>
      <c r="C30" s="8"/>
      <c r="D30" s="8"/>
      <c r="E30" s="8"/>
      <c r="F30" s="8"/>
      <c r="G30" s="8"/>
      <c r="H30" s="8"/>
      <c r="I30" s="8"/>
      <c r="J30" s="8"/>
      <c r="K30" s="8"/>
      <c r="L30" s="8"/>
      <c r="M30" s="8"/>
      <c r="N30" s="5"/>
      <c r="O30" s="8"/>
      <c r="P30" s="8"/>
      <c r="Q30" s="8"/>
      <c r="R30" s="8"/>
      <c r="S30" s="50"/>
      <c r="T30" s="81"/>
      <c r="U30" s="81"/>
      <c r="V30" s="81"/>
      <c r="W30" s="81"/>
      <c r="X30" s="81"/>
      <c r="Y30" s="81"/>
      <c r="Z30" s="81"/>
      <c r="AA30" s="81"/>
      <c r="AB30" s="81"/>
      <c r="AC30" s="81"/>
      <c r="AD30" s="81"/>
      <c r="AE30" s="81"/>
      <c r="AF30" s="81"/>
    </row>
    <row r="31" ht="15.75" customHeight="1">
      <c r="A31" s="8"/>
      <c r="B31" s="8"/>
      <c r="C31" s="8"/>
      <c r="D31" s="8"/>
      <c r="E31" s="8"/>
      <c r="F31" s="8"/>
      <c r="G31" s="8"/>
      <c r="H31" s="8"/>
      <c r="I31" s="8"/>
      <c r="J31" s="8"/>
      <c r="K31" s="8"/>
      <c r="L31" s="8"/>
      <c r="M31" s="8"/>
      <c r="N31" s="5"/>
      <c r="O31" s="8"/>
      <c r="P31" s="8"/>
      <c r="Q31" s="8"/>
      <c r="R31" s="8"/>
      <c r="S31" s="50"/>
      <c r="T31" s="81"/>
      <c r="U31" s="81"/>
      <c r="V31" s="81"/>
      <c r="W31" s="81"/>
      <c r="X31" s="81"/>
      <c r="Y31" s="81"/>
      <c r="Z31" s="81"/>
      <c r="AA31" s="81"/>
      <c r="AB31" s="81"/>
      <c r="AC31" s="81"/>
      <c r="AD31" s="81"/>
      <c r="AE31" s="81"/>
      <c r="AF31" s="81"/>
    </row>
    <row r="32" ht="15.75" customHeight="1">
      <c r="A32" s="8"/>
      <c r="B32" s="8"/>
      <c r="C32" s="8"/>
      <c r="D32" s="8"/>
      <c r="E32" s="8"/>
      <c r="F32" s="8"/>
      <c r="G32" s="8"/>
      <c r="H32" s="8"/>
      <c r="I32" s="8"/>
      <c r="J32" s="8"/>
      <c r="K32" s="8"/>
      <c r="L32" s="8"/>
      <c r="M32" s="8"/>
      <c r="N32" s="5"/>
      <c r="O32" s="8"/>
      <c r="P32" s="8"/>
      <c r="Q32" s="8"/>
      <c r="R32" s="8"/>
      <c r="S32" s="50"/>
      <c r="T32" s="81"/>
      <c r="U32" s="81"/>
      <c r="V32" s="81"/>
      <c r="W32" s="81"/>
      <c r="X32" s="81"/>
      <c r="Y32" s="81"/>
      <c r="Z32" s="81"/>
      <c r="AA32" s="81"/>
      <c r="AB32" s="81"/>
      <c r="AC32" s="81"/>
      <c r="AD32" s="81"/>
      <c r="AE32" s="81"/>
      <c r="AF32" s="81"/>
    </row>
    <row r="33" ht="15.75" customHeight="1">
      <c r="A33" s="8"/>
      <c r="B33" s="8"/>
      <c r="C33" s="8"/>
      <c r="D33" s="8"/>
      <c r="E33" s="8"/>
      <c r="F33" s="8"/>
      <c r="G33" s="8"/>
      <c r="H33" s="8"/>
      <c r="I33" s="8"/>
      <c r="J33" s="8"/>
      <c r="K33" s="8"/>
      <c r="L33" s="8"/>
      <c r="M33" s="8"/>
      <c r="N33" s="5"/>
      <c r="O33" s="8"/>
      <c r="P33" s="8"/>
      <c r="Q33" s="8"/>
      <c r="R33" s="8"/>
      <c r="S33" s="50"/>
      <c r="T33" s="81"/>
      <c r="U33" s="81"/>
      <c r="V33" s="81"/>
      <c r="W33" s="81"/>
      <c r="X33" s="81"/>
      <c r="Y33" s="81"/>
      <c r="Z33" s="81"/>
      <c r="AA33" s="81"/>
      <c r="AB33" s="81"/>
      <c r="AC33" s="81"/>
      <c r="AD33" s="81"/>
      <c r="AE33" s="81"/>
      <c r="AF33" s="81"/>
    </row>
    <row r="34" ht="15.75" customHeight="1">
      <c r="A34" s="8"/>
      <c r="B34" s="8"/>
      <c r="C34" s="8"/>
      <c r="D34" s="8"/>
      <c r="E34" s="8"/>
      <c r="F34" s="8"/>
      <c r="G34" s="8"/>
      <c r="H34" s="8"/>
      <c r="I34" s="8"/>
      <c r="J34" s="8"/>
      <c r="K34" s="8"/>
      <c r="L34" s="8"/>
      <c r="M34" s="8"/>
      <c r="N34" s="5"/>
      <c r="O34" s="8"/>
      <c r="P34" s="8"/>
      <c r="Q34" s="8"/>
      <c r="R34" s="8"/>
      <c r="S34" s="50"/>
      <c r="T34" s="81"/>
      <c r="U34" s="81"/>
      <c r="V34" s="81"/>
      <c r="W34" s="81"/>
      <c r="X34" s="81"/>
      <c r="Y34" s="81"/>
      <c r="Z34" s="81"/>
      <c r="AA34" s="81"/>
      <c r="AB34" s="81"/>
      <c r="AC34" s="81"/>
      <c r="AD34" s="81"/>
      <c r="AE34" s="81"/>
      <c r="AF34" s="81"/>
    </row>
    <row r="35" ht="15.75" customHeight="1">
      <c r="A35" s="8"/>
      <c r="B35" s="8"/>
      <c r="C35" s="8"/>
      <c r="D35" s="8"/>
      <c r="E35" s="8"/>
      <c r="F35" s="8"/>
      <c r="G35" s="8"/>
      <c r="H35" s="8"/>
      <c r="I35" s="8"/>
      <c r="J35" s="8"/>
      <c r="K35" s="8"/>
      <c r="L35" s="8"/>
      <c r="M35" s="8"/>
      <c r="N35" s="5"/>
      <c r="O35" s="8"/>
      <c r="P35" s="8"/>
      <c r="Q35" s="8"/>
      <c r="R35" s="8"/>
      <c r="S35" s="50"/>
      <c r="T35" s="81"/>
      <c r="U35" s="81"/>
      <c r="V35" s="81"/>
      <c r="W35" s="81"/>
      <c r="X35" s="81"/>
      <c r="Y35" s="81"/>
      <c r="Z35" s="81"/>
      <c r="AA35" s="81"/>
      <c r="AB35" s="81"/>
      <c r="AC35" s="81"/>
      <c r="AD35" s="81"/>
      <c r="AE35" s="81"/>
      <c r="AF35" s="81"/>
    </row>
    <row r="36" ht="15.75" customHeight="1">
      <c r="A36" s="8"/>
      <c r="B36" s="8"/>
      <c r="C36" s="8"/>
      <c r="D36" s="8"/>
      <c r="E36" s="8"/>
      <c r="F36" s="8"/>
      <c r="G36" s="8"/>
      <c r="H36" s="8"/>
      <c r="I36" s="8"/>
      <c r="J36" s="8"/>
      <c r="K36" s="8"/>
      <c r="L36" s="8"/>
      <c r="M36" s="8"/>
      <c r="N36" s="5"/>
      <c r="O36" s="8"/>
      <c r="P36" s="8"/>
      <c r="Q36" s="8"/>
      <c r="R36" s="8"/>
      <c r="S36" s="50"/>
      <c r="T36" s="81"/>
      <c r="U36" s="81"/>
      <c r="V36" s="81"/>
      <c r="W36" s="81"/>
      <c r="X36" s="81"/>
      <c r="Y36" s="81"/>
      <c r="Z36" s="81"/>
      <c r="AA36" s="81"/>
      <c r="AB36" s="81"/>
      <c r="AC36" s="81"/>
      <c r="AD36" s="81"/>
      <c r="AE36" s="81"/>
      <c r="AF36" s="81"/>
    </row>
    <row r="37" ht="15.75" customHeight="1">
      <c r="A37" s="8"/>
      <c r="B37" s="8"/>
      <c r="C37" s="8"/>
      <c r="D37" s="8"/>
      <c r="E37" s="8"/>
      <c r="F37" s="8"/>
      <c r="G37" s="8"/>
      <c r="H37" s="8"/>
      <c r="I37" s="8"/>
      <c r="J37" s="8"/>
      <c r="K37" s="8"/>
      <c r="L37" s="8"/>
      <c r="M37" s="8"/>
      <c r="N37" s="5"/>
      <c r="O37" s="8"/>
      <c r="P37" s="8"/>
      <c r="Q37" s="8"/>
      <c r="R37" s="8"/>
      <c r="S37" s="50"/>
      <c r="T37" s="81"/>
      <c r="U37" s="81"/>
      <c r="V37" s="81"/>
      <c r="W37" s="81"/>
      <c r="X37" s="81"/>
      <c r="Y37" s="81"/>
      <c r="Z37" s="81"/>
      <c r="AA37" s="81"/>
      <c r="AB37" s="81"/>
      <c r="AC37" s="81"/>
      <c r="AD37" s="81"/>
      <c r="AE37" s="81"/>
      <c r="AF37" s="81"/>
    </row>
    <row r="38" ht="15.75" customHeight="1">
      <c r="A38" s="8"/>
      <c r="B38" s="8"/>
      <c r="C38" s="8"/>
      <c r="D38" s="8"/>
      <c r="E38" s="8"/>
      <c r="F38" s="8"/>
      <c r="G38" s="8"/>
      <c r="H38" s="8"/>
      <c r="I38" s="8"/>
      <c r="J38" s="8"/>
      <c r="K38" s="8"/>
      <c r="L38" s="8"/>
      <c r="M38" s="8"/>
      <c r="N38" s="5"/>
      <c r="O38" s="8"/>
      <c r="P38" s="8"/>
      <c r="Q38" s="8"/>
      <c r="R38" s="8"/>
      <c r="S38" s="50"/>
      <c r="T38" s="81"/>
      <c r="U38" s="81"/>
      <c r="V38" s="81"/>
      <c r="W38" s="81"/>
      <c r="X38" s="81"/>
      <c r="Y38" s="81"/>
      <c r="Z38" s="81"/>
      <c r="AA38" s="81"/>
      <c r="AB38" s="81"/>
      <c r="AC38" s="81"/>
      <c r="AD38" s="81"/>
      <c r="AE38" s="81"/>
      <c r="AF38" s="81"/>
    </row>
    <row r="39" ht="15.75" customHeight="1">
      <c r="A39" s="8"/>
      <c r="B39" s="8"/>
      <c r="C39" s="8"/>
      <c r="D39" s="8"/>
      <c r="E39" s="8"/>
      <c r="F39" s="8"/>
      <c r="G39" s="8"/>
      <c r="H39" s="8"/>
      <c r="I39" s="8"/>
      <c r="J39" s="8"/>
      <c r="K39" s="8"/>
      <c r="L39" s="8"/>
      <c r="M39" s="8"/>
      <c r="N39" s="5"/>
      <c r="O39" s="8"/>
      <c r="P39" s="8"/>
      <c r="Q39" s="8"/>
      <c r="R39" s="8"/>
      <c r="S39" s="50"/>
      <c r="T39" s="81"/>
      <c r="U39" s="81"/>
      <c r="V39" s="81"/>
      <c r="W39" s="81"/>
      <c r="X39" s="81"/>
      <c r="Y39" s="81"/>
      <c r="Z39" s="81"/>
      <c r="AA39" s="81"/>
      <c r="AB39" s="81"/>
      <c r="AC39" s="81"/>
      <c r="AD39" s="81"/>
      <c r="AE39" s="81"/>
      <c r="AF39" s="81"/>
    </row>
    <row r="40" ht="15.75" customHeight="1">
      <c r="A40" s="8"/>
      <c r="B40" s="8"/>
      <c r="C40" s="8"/>
      <c r="D40" s="8"/>
      <c r="E40" s="8"/>
      <c r="F40" s="8"/>
      <c r="G40" s="8"/>
      <c r="H40" s="8"/>
      <c r="I40" s="8"/>
      <c r="J40" s="8"/>
      <c r="K40" s="8"/>
      <c r="L40" s="8"/>
      <c r="M40" s="8"/>
      <c r="N40" s="5"/>
      <c r="O40" s="8"/>
      <c r="P40" s="8"/>
      <c r="Q40" s="8"/>
      <c r="R40" s="8"/>
      <c r="S40" s="50"/>
      <c r="T40" s="81"/>
      <c r="U40" s="81"/>
      <c r="V40" s="81"/>
      <c r="W40" s="81"/>
      <c r="X40" s="81"/>
      <c r="Y40" s="81"/>
      <c r="Z40" s="81"/>
      <c r="AA40" s="81"/>
      <c r="AB40" s="81"/>
      <c r="AC40" s="81"/>
      <c r="AD40" s="81"/>
      <c r="AE40" s="81"/>
      <c r="AF40" s="81"/>
    </row>
    <row r="41" ht="15.75" customHeight="1">
      <c r="A41" s="8"/>
      <c r="B41" s="8"/>
      <c r="C41" s="8"/>
      <c r="D41" s="8"/>
      <c r="E41" s="8"/>
      <c r="F41" s="8"/>
      <c r="G41" s="8"/>
      <c r="H41" s="8"/>
      <c r="I41" s="8"/>
      <c r="J41" s="8"/>
      <c r="K41" s="8"/>
      <c r="L41" s="8"/>
      <c r="M41" s="8"/>
      <c r="N41" s="5"/>
      <c r="O41" s="8"/>
      <c r="P41" s="8"/>
      <c r="Q41" s="8"/>
      <c r="R41" s="8"/>
      <c r="S41" s="50"/>
      <c r="T41" s="81"/>
      <c r="U41" s="81"/>
      <c r="V41" s="81"/>
      <c r="W41" s="81"/>
      <c r="X41" s="81"/>
      <c r="Y41" s="81"/>
      <c r="Z41" s="81"/>
      <c r="AA41" s="81"/>
      <c r="AB41" s="81"/>
      <c r="AC41" s="81"/>
      <c r="AD41" s="81"/>
      <c r="AE41" s="81"/>
      <c r="AF41" s="81"/>
    </row>
    <row r="42" ht="15.75" customHeight="1">
      <c r="A42" s="8"/>
      <c r="B42" s="8"/>
      <c r="C42" s="8"/>
      <c r="D42" s="8"/>
      <c r="E42" s="8"/>
      <c r="F42" s="8"/>
      <c r="G42" s="8"/>
      <c r="H42" s="8"/>
      <c r="I42" s="8"/>
      <c r="J42" s="8"/>
      <c r="K42" s="8"/>
      <c r="L42" s="8"/>
      <c r="M42" s="8"/>
      <c r="N42" s="5"/>
      <c r="O42" s="8"/>
      <c r="P42" s="8"/>
      <c r="Q42" s="8"/>
      <c r="R42" s="8"/>
      <c r="S42" s="50"/>
      <c r="T42" s="81"/>
      <c r="U42" s="81"/>
      <c r="V42" s="81"/>
      <c r="W42" s="81"/>
      <c r="X42" s="81"/>
      <c r="Y42" s="81"/>
      <c r="Z42" s="81"/>
      <c r="AA42" s="81"/>
      <c r="AB42" s="81"/>
      <c r="AC42" s="81"/>
      <c r="AD42" s="81"/>
      <c r="AE42" s="81"/>
      <c r="AF42" s="81"/>
    </row>
    <row r="43" ht="15.75" customHeight="1">
      <c r="A43" s="8"/>
      <c r="B43" s="8"/>
      <c r="C43" s="8"/>
      <c r="D43" s="8"/>
      <c r="E43" s="8"/>
      <c r="F43" s="8"/>
      <c r="G43" s="8"/>
      <c r="H43" s="8"/>
      <c r="I43" s="8"/>
      <c r="J43" s="8"/>
      <c r="K43" s="8"/>
      <c r="L43" s="8"/>
      <c r="M43" s="8"/>
      <c r="N43" s="5"/>
      <c r="O43" s="8"/>
      <c r="P43" s="8"/>
      <c r="Q43" s="8"/>
      <c r="R43" s="8"/>
      <c r="S43" s="50"/>
      <c r="T43" s="81"/>
      <c r="U43" s="81"/>
      <c r="V43" s="81"/>
      <c r="W43" s="81"/>
      <c r="X43" s="81"/>
      <c r="Y43" s="81"/>
      <c r="Z43" s="81"/>
      <c r="AA43" s="81"/>
      <c r="AB43" s="81"/>
      <c r="AC43" s="81"/>
      <c r="AD43" s="81"/>
      <c r="AE43" s="81"/>
      <c r="AF43" s="81"/>
    </row>
    <row r="44" ht="15.75" customHeight="1">
      <c r="A44" s="8"/>
      <c r="B44" s="8"/>
      <c r="C44" s="8"/>
      <c r="D44" s="8"/>
      <c r="E44" s="8"/>
      <c r="F44" s="8"/>
      <c r="G44" s="8"/>
      <c r="H44" s="8"/>
      <c r="I44" s="8"/>
      <c r="J44" s="8"/>
      <c r="K44" s="8"/>
      <c r="L44" s="8"/>
      <c r="M44" s="8"/>
      <c r="N44" s="5"/>
      <c r="O44" s="8"/>
      <c r="P44" s="8"/>
      <c r="Q44" s="8"/>
      <c r="R44" s="8"/>
      <c r="S44" s="50"/>
      <c r="T44" s="81"/>
      <c r="U44" s="81"/>
      <c r="V44" s="81"/>
      <c r="W44" s="81"/>
      <c r="X44" s="81"/>
      <c r="Y44" s="81"/>
      <c r="Z44" s="81"/>
      <c r="AA44" s="81"/>
      <c r="AB44" s="81"/>
      <c r="AC44" s="81"/>
      <c r="AD44" s="81"/>
      <c r="AE44" s="81"/>
      <c r="AF44" s="81"/>
    </row>
    <row r="45" ht="15.75" customHeight="1">
      <c r="A45" s="8"/>
      <c r="B45" s="8"/>
      <c r="C45" s="8"/>
      <c r="D45" s="8"/>
      <c r="E45" s="8"/>
      <c r="F45" s="8"/>
      <c r="G45" s="8"/>
      <c r="H45" s="8"/>
      <c r="I45" s="8"/>
      <c r="J45" s="8"/>
      <c r="K45" s="8"/>
      <c r="L45" s="8"/>
      <c r="M45" s="8"/>
      <c r="N45" s="5"/>
      <c r="O45" s="8"/>
      <c r="P45" s="8"/>
      <c r="Q45" s="8"/>
      <c r="R45" s="8"/>
      <c r="S45" s="50"/>
      <c r="T45" s="81"/>
      <c r="U45" s="81"/>
      <c r="V45" s="81"/>
      <c r="W45" s="81"/>
      <c r="X45" s="81"/>
      <c r="Y45" s="81"/>
      <c r="Z45" s="81"/>
      <c r="AA45" s="81"/>
      <c r="AB45" s="81"/>
      <c r="AC45" s="81"/>
      <c r="AD45" s="81"/>
      <c r="AE45" s="81"/>
      <c r="AF45" s="81"/>
    </row>
    <row r="46" ht="15.75" customHeight="1">
      <c r="A46" s="8"/>
      <c r="B46" s="8"/>
      <c r="C46" s="8"/>
      <c r="D46" s="8"/>
      <c r="E46" s="8"/>
      <c r="F46" s="8"/>
      <c r="G46" s="8"/>
      <c r="H46" s="8"/>
      <c r="I46" s="8"/>
      <c r="J46" s="8"/>
      <c r="K46" s="8"/>
      <c r="L46" s="8"/>
      <c r="M46" s="8"/>
      <c r="N46" s="5"/>
      <c r="O46" s="8"/>
      <c r="P46" s="8"/>
      <c r="Q46" s="8"/>
      <c r="R46" s="8"/>
      <c r="S46" s="50"/>
      <c r="T46" s="81"/>
      <c r="U46" s="81"/>
      <c r="V46" s="81"/>
      <c r="W46" s="81"/>
      <c r="X46" s="81"/>
      <c r="Y46" s="81"/>
      <c r="Z46" s="81"/>
      <c r="AA46" s="81"/>
      <c r="AB46" s="81"/>
      <c r="AC46" s="81"/>
      <c r="AD46" s="81"/>
      <c r="AE46" s="81"/>
      <c r="AF46" s="81"/>
    </row>
    <row r="47" ht="15.75" customHeight="1">
      <c r="A47" s="8"/>
      <c r="B47" s="8"/>
      <c r="C47" s="8"/>
      <c r="D47" s="8"/>
      <c r="E47" s="8"/>
      <c r="F47" s="8"/>
      <c r="G47" s="8"/>
      <c r="H47" s="8"/>
      <c r="I47" s="8"/>
      <c r="J47" s="8"/>
      <c r="K47" s="8"/>
      <c r="L47" s="8"/>
      <c r="M47" s="8"/>
      <c r="N47" s="5"/>
      <c r="O47" s="8"/>
      <c r="P47" s="8"/>
      <c r="Q47" s="8"/>
      <c r="R47" s="8"/>
      <c r="S47" s="50"/>
      <c r="T47" s="81"/>
      <c r="U47" s="81"/>
      <c r="V47" s="81"/>
      <c r="W47" s="81"/>
      <c r="X47" s="81"/>
      <c r="Y47" s="81"/>
      <c r="Z47" s="81"/>
      <c r="AA47" s="81"/>
      <c r="AB47" s="81"/>
      <c r="AC47" s="81"/>
      <c r="AD47" s="81"/>
      <c r="AE47" s="81"/>
      <c r="AF47" s="81"/>
    </row>
    <row r="48" ht="15.75" customHeight="1">
      <c r="A48" s="8"/>
      <c r="B48" s="8"/>
      <c r="C48" s="8"/>
      <c r="D48" s="8"/>
      <c r="E48" s="8"/>
      <c r="F48" s="8"/>
      <c r="G48" s="8"/>
      <c r="H48" s="8"/>
      <c r="I48" s="8"/>
      <c r="J48" s="8"/>
      <c r="K48" s="8"/>
      <c r="L48" s="8"/>
      <c r="M48" s="8"/>
      <c r="N48" s="5"/>
      <c r="O48" s="8"/>
      <c r="P48" s="8"/>
      <c r="Q48" s="8"/>
      <c r="R48" s="8"/>
      <c r="S48" s="50"/>
      <c r="T48" s="81"/>
      <c r="U48" s="81"/>
      <c r="V48" s="81"/>
      <c r="W48" s="81"/>
      <c r="X48" s="81"/>
      <c r="Y48" s="81"/>
      <c r="Z48" s="81"/>
      <c r="AA48" s="81"/>
      <c r="AB48" s="81"/>
      <c r="AC48" s="81"/>
      <c r="AD48" s="81"/>
      <c r="AE48" s="81"/>
      <c r="AF48" s="81"/>
    </row>
    <row r="49" ht="15.75" customHeight="1">
      <c r="A49" s="8"/>
      <c r="B49" s="8"/>
      <c r="C49" s="8"/>
      <c r="D49" s="8"/>
      <c r="E49" s="8"/>
      <c r="F49" s="8"/>
      <c r="G49" s="8"/>
      <c r="H49" s="8"/>
      <c r="I49" s="8"/>
      <c r="J49" s="8"/>
      <c r="K49" s="8"/>
      <c r="L49" s="8"/>
      <c r="M49" s="8"/>
      <c r="N49" s="5"/>
      <c r="O49" s="8"/>
      <c r="P49" s="8"/>
      <c r="Q49" s="8"/>
      <c r="R49" s="8"/>
      <c r="S49" s="50"/>
      <c r="T49" s="81"/>
      <c r="U49" s="81"/>
      <c r="V49" s="81"/>
      <c r="W49" s="81"/>
      <c r="X49" s="81"/>
      <c r="Y49" s="81"/>
      <c r="Z49" s="81"/>
      <c r="AA49" s="81"/>
      <c r="AB49" s="81"/>
      <c r="AC49" s="81"/>
      <c r="AD49" s="81"/>
      <c r="AE49" s="81"/>
      <c r="AF49" s="81"/>
    </row>
    <row r="50" ht="15.75" customHeight="1">
      <c r="A50" s="8"/>
      <c r="B50" s="8"/>
      <c r="C50" s="8"/>
      <c r="D50" s="8"/>
      <c r="E50" s="8"/>
      <c r="F50" s="8"/>
      <c r="G50" s="8"/>
      <c r="H50" s="8"/>
      <c r="I50" s="8"/>
      <c r="J50" s="8"/>
      <c r="K50" s="8"/>
      <c r="L50" s="8"/>
      <c r="M50" s="8"/>
      <c r="N50" s="5"/>
      <c r="O50" s="8"/>
      <c r="P50" s="8"/>
      <c r="Q50" s="8"/>
      <c r="R50" s="8"/>
      <c r="S50" s="50"/>
      <c r="T50" s="81"/>
      <c r="U50" s="81"/>
      <c r="V50" s="81"/>
      <c r="W50" s="81"/>
      <c r="X50" s="81"/>
      <c r="Y50" s="81"/>
      <c r="Z50" s="81"/>
      <c r="AA50" s="81"/>
      <c r="AB50" s="81"/>
      <c r="AC50" s="81"/>
      <c r="AD50" s="81"/>
      <c r="AE50" s="81"/>
      <c r="AF50" s="81"/>
    </row>
    <row r="51" ht="15.75" customHeight="1">
      <c r="A51" s="8"/>
      <c r="B51" s="8"/>
      <c r="C51" s="8"/>
      <c r="D51" s="8"/>
      <c r="E51" s="8"/>
      <c r="F51" s="8"/>
      <c r="G51" s="8"/>
      <c r="H51" s="8"/>
      <c r="I51" s="8"/>
      <c r="J51" s="8"/>
      <c r="K51" s="8"/>
      <c r="L51" s="8"/>
      <c r="M51" s="8"/>
      <c r="N51" s="5"/>
      <c r="O51" s="8"/>
      <c r="P51" s="8"/>
      <c r="Q51" s="8"/>
      <c r="R51" s="8"/>
      <c r="S51" s="50"/>
      <c r="T51" s="81"/>
      <c r="U51" s="81"/>
      <c r="V51" s="81"/>
      <c r="W51" s="81"/>
      <c r="X51" s="81"/>
      <c r="Y51" s="81"/>
      <c r="Z51" s="81"/>
      <c r="AA51" s="81"/>
      <c r="AB51" s="81"/>
      <c r="AC51" s="81"/>
      <c r="AD51" s="81"/>
      <c r="AE51" s="81"/>
      <c r="AF51" s="81"/>
    </row>
    <row r="52" ht="15.75" customHeight="1">
      <c r="A52" s="8"/>
      <c r="B52" s="8"/>
      <c r="C52" s="8"/>
      <c r="D52" s="8"/>
      <c r="E52" s="8"/>
      <c r="F52" s="8"/>
      <c r="G52" s="8"/>
      <c r="H52" s="8"/>
      <c r="I52" s="8"/>
      <c r="J52" s="8"/>
      <c r="K52" s="8"/>
      <c r="L52" s="8"/>
      <c r="M52" s="8"/>
      <c r="N52" s="5"/>
      <c r="O52" s="8"/>
      <c r="P52" s="8"/>
      <c r="Q52" s="8"/>
      <c r="R52" s="8"/>
      <c r="S52" s="50"/>
      <c r="T52" s="81"/>
      <c r="U52" s="81"/>
      <c r="V52" s="81"/>
      <c r="W52" s="81"/>
      <c r="X52" s="81"/>
      <c r="Y52" s="81"/>
      <c r="Z52" s="81"/>
      <c r="AA52" s="81"/>
      <c r="AB52" s="81"/>
      <c r="AC52" s="81"/>
      <c r="AD52" s="81"/>
      <c r="AE52" s="81"/>
      <c r="AF52" s="81"/>
    </row>
    <row r="53" ht="15.75" customHeight="1">
      <c r="A53" s="8"/>
      <c r="B53" s="8"/>
      <c r="C53" s="8"/>
      <c r="D53" s="8"/>
      <c r="E53" s="8"/>
      <c r="F53" s="8"/>
      <c r="G53" s="8"/>
      <c r="H53" s="8"/>
      <c r="I53" s="8"/>
      <c r="J53" s="8"/>
      <c r="K53" s="8"/>
      <c r="L53" s="8"/>
      <c r="M53" s="8"/>
      <c r="N53" s="5"/>
      <c r="O53" s="8"/>
      <c r="P53" s="8"/>
      <c r="Q53" s="8"/>
      <c r="R53" s="8"/>
      <c r="S53" s="50"/>
      <c r="T53" s="81"/>
      <c r="U53" s="81"/>
      <c r="V53" s="81"/>
      <c r="W53" s="81"/>
      <c r="X53" s="81"/>
      <c r="Y53" s="81"/>
      <c r="Z53" s="81"/>
      <c r="AA53" s="81"/>
      <c r="AB53" s="81"/>
      <c r="AC53" s="81"/>
      <c r="AD53" s="81"/>
      <c r="AE53" s="81"/>
      <c r="AF53" s="81"/>
    </row>
    <row r="54" ht="15.75" customHeight="1">
      <c r="A54" s="8"/>
      <c r="B54" s="8"/>
      <c r="C54" s="8"/>
      <c r="D54" s="8"/>
      <c r="E54" s="8"/>
      <c r="F54" s="8"/>
      <c r="G54" s="8"/>
      <c r="H54" s="8"/>
      <c r="I54" s="8"/>
      <c r="J54" s="8"/>
      <c r="K54" s="8"/>
      <c r="L54" s="8"/>
      <c r="M54" s="8"/>
      <c r="N54" s="5"/>
      <c r="O54" s="8"/>
      <c r="P54" s="8"/>
      <c r="Q54" s="8"/>
      <c r="R54" s="8"/>
      <c r="S54" s="50"/>
      <c r="T54" s="81"/>
      <c r="U54" s="81"/>
      <c r="V54" s="81"/>
      <c r="W54" s="81"/>
      <c r="X54" s="81"/>
      <c r="Y54" s="81"/>
      <c r="Z54" s="81"/>
      <c r="AA54" s="81"/>
      <c r="AB54" s="81"/>
      <c r="AC54" s="81"/>
      <c r="AD54" s="81"/>
      <c r="AE54" s="81"/>
      <c r="AF54" s="81"/>
    </row>
    <row r="55" ht="15.75" customHeight="1">
      <c r="A55" s="8"/>
      <c r="B55" s="8"/>
      <c r="C55" s="8"/>
      <c r="D55" s="8"/>
      <c r="E55" s="8"/>
      <c r="F55" s="8"/>
      <c r="G55" s="8"/>
      <c r="H55" s="8"/>
      <c r="I55" s="8"/>
      <c r="J55" s="8"/>
      <c r="K55" s="8"/>
      <c r="L55" s="8"/>
      <c r="M55" s="8"/>
      <c r="N55" s="5"/>
      <c r="O55" s="8"/>
      <c r="P55" s="8"/>
      <c r="Q55" s="8"/>
      <c r="R55" s="8"/>
      <c r="S55" s="50"/>
      <c r="T55" s="81"/>
      <c r="U55" s="81"/>
      <c r="V55" s="81"/>
      <c r="W55" s="81"/>
      <c r="X55" s="81"/>
      <c r="Y55" s="81"/>
      <c r="Z55" s="81"/>
      <c r="AA55" s="81"/>
      <c r="AB55" s="81"/>
      <c r="AC55" s="81"/>
      <c r="AD55" s="81"/>
      <c r="AE55" s="81"/>
      <c r="AF55" s="81"/>
    </row>
    <row r="56" ht="15.75" customHeight="1">
      <c r="A56" s="8"/>
      <c r="B56" s="8"/>
      <c r="C56" s="8"/>
      <c r="D56" s="8"/>
      <c r="E56" s="8"/>
      <c r="F56" s="8"/>
      <c r="G56" s="8"/>
      <c r="H56" s="8"/>
      <c r="I56" s="8"/>
      <c r="J56" s="8"/>
      <c r="K56" s="8"/>
      <c r="L56" s="8"/>
      <c r="M56" s="8"/>
      <c r="N56" s="5"/>
      <c r="O56" s="8"/>
      <c r="P56" s="8"/>
      <c r="Q56" s="8"/>
      <c r="R56" s="8"/>
      <c r="S56" s="50"/>
      <c r="T56" s="81"/>
      <c r="U56" s="81"/>
      <c r="V56" s="81"/>
      <c r="W56" s="81"/>
      <c r="X56" s="81"/>
      <c r="Y56" s="81"/>
      <c r="Z56" s="81"/>
      <c r="AA56" s="81"/>
      <c r="AB56" s="81"/>
      <c r="AC56" s="81"/>
      <c r="AD56" s="81"/>
      <c r="AE56" s="81"/>
      <c r="AF56" s="81"/>
    </row>
    <row r="57" ht="15.75" customHeight="1">
      <c r="A57" s="8"/>
      <c r="B57" s="8"/>
      <c r="C57" s="8"/>
      <c r="D57" s="8"/>
      <c r="E57" s="8"/>
      <c r="F57" s="8"/>
      <c r="G57" s="8"/>
      <c r="H57" s="8"/>
      <c r="I57" s="8"/>
      <c r="J57" s="8"/>
      <c r="K57" s="8"/>
      <c r="L57" s="8"/>
      <c r="M57" s="8"/>
      <c r="N57" s="5"/>
      <c r="O57" s="8"/>
      <c r="P57" s="8"/>
      <c r="Q57" s="8"/>
      <c r="R57" s="8"/>
      <c r="S57" s="50"/>
      <c r="T57" s="81"/>
      <c r="U57" s="81"/>
      <c r="V57" s="81"/>
      <c r="W57" s="81"/>
      <c r="X57" s="81"/>
      <c r="Y57" s="81"/>
      <c r="Z57" s="81"/>
      <c r="AA57" s="81"/>
      <c r="AB57" s="81"/>
      <c r="AC57" s="81"/>
      <c r="AD57" s="81"/>
      <c r="AE57" s="81"/>
      <c r="AF57" s="81"/>
    </row>
    <row r="58" ht="15.75" customHeight="1">
      <c r="A58" s="8"/>
      <c r="B58" s="8"/>
      <c r="C58" s="8"/>
      <c r="D58" s="8"/>
      <c r="E58" s="8"/>
      <c r="F58" s="8"/>
      <c r="G58" s="8"/>
      <c r="H58" s="8"/>
      <c r="I58" s="8"/>
      <c r="J58" s="8"/>
      <c r="K58" s="8"/>
      <c r="L58" s="8"/>
      <c r="M58" s="8"/>
      <c r="N58" s="5"/>
      <c r="O58" s="8"/>
      <c r="P58" s="8"/>
      <c r="Q58" s="8"/>
      <c r="R58" s="8"/>
      <c r="S58" s="50"/>
      <c r="T58" s="81"/>
      <c r="U58" s="81"/>
      <c r="V58" s="81"/>
      <c r="W58" s="81"/>
      <c r="X58" s="81"/>
      <c r="Y58" s="81"/>
      <c r="Z58" s="81"/>
      <c r="AA58" s="81"/>
      <c r="AB58" s="81"/>
      <c r="AC58" s="81"/>
      <c r="AD58" s="81"/>
      <c r="AE58" s="81"/>
      <c r="AF58" s="81"/>
    </row>
    <row r="59" ht="15.75" customHeight="1">
      <c r="A59" s="83"/>
      <c r="B59" s="83"/>
      <c r="C59" s="83"/>
      <c r="D59" s="83"/>
      <c r="E59" s="83"/>
      <c r="F59" s="83"/>
      <c r="G59" s="83"/>
      <c r="H59" s="83"/>
      <c r="I59" s="83"/>
      <c r="J59" s="83"/>
      <c r="K59" s="83"/>
      <c r="L59" s="83"/>
      <c r="M59" s="83"/>
      <c r="N59" s="50"/>
      <c r="O59" s="83"/>
      <c r="P59" s="83"/>
      <c r="Q59" s="83"/>
      <c r="R59" s="83"/>
      <c r="S59" s="50"/>
      <c r="T59" s="83"/>
      <c r="U59" s="83"/>
      <c r="V59" s="83"/>
      <c r="W59" s="83"/>
      <c r="X59" s="83"/>
      <c r="Y59" s="83"/>
      <c r="Z59" s="83"/>
      <c r="AA59" s="83"/>
      <c r="AB59" s="83"/>
      <c r="AC59" s="83"/>
      <c r="AD59" s="83"/>
      <c r="AE59" s="83"/>
      <c r="AF59" s="83"/>
    </row>
    <row r="60" ht="15.75" customHeight="1">
      <c r="A60" s="83"/>
      <c r="B60" s="83"/>
      <c r="C60" s="83"/>
      <c r="D60" s="83"/>
      <c r="E60" s="83"/>
      <c r="F60" s="83"/>
      <c r="G60" s="83"/>
      <c r="H60" s="83"/>
      <c r="I60" s="83"/>
      <c r="J60" s="83"/>
      <c r="K60" s="83"/>
      <c r="L60" s="83"/>
      <c r="M60" s="83"/>
      <c r="N60" s="50"/>
      <c r="O60" s="83"/>
      <c r="P60" s="83"/>
      <c r="Q60" s="83"/>
      <c r="R60" s="83"/>
      <c r="S60" s="50"/>
      <c r="T60" s="83"/>
      <c r="U60" s="83"/>
      <c r="V60" s="83"/>
      <c r="W60" s="83"/>
      <c r="X60" s="83"/>
      <c r="Y60" s="83"/>
      <c r="Z60" s="83"/>
      <c r="AA60" s="83"/>
      <c r="AB60" s="83"/>
      <c r="AC60" s="83"/>
      <c r="AD60" s="83"/>
      <c r="AE60" s="83"/>
      <c r="AF60" s="83"/>
    </row>
    <row r="61" ht="15.75" customHeight="1">
      <c r="A61" s="83"/>
      <c r="B61" s="83"/>
      <c r="C61" s="83"/>
      <c r="D61" s="83"/>
      <c r="E61" s="83"/>
      <c r="F61" s="83"/>
      <c r="G61" s="83"/>
      <c r="H61" s="83"/>
      <c r="I61" s="83"/>
      <c r="J61" s="83"/>
      <c r="K61" s="83"/>
      <c r="L61" s="83"/>
      <c r="M61" s="83"/>
      <c r="N61" s="50"/>
      <c r="O61" s="83"/>
      <c r="P61" s="83"/>
      <c r="Q61" s="83"/>
      <c r="R61" s="83"/>
      <c r="S61" s="50"/>
      <c r="T61" s="83"/>
      <c r="U61" s="83"/>
      <c r="V61" s="83"/>
      <c r="W61" s="83"/>
      <c r="X61" s="83"/>
      <c r="Y61" s="83"/>
      <c r="Z61" s="83"/>
      <c r="AA61" s="83"/>
      <c r="AB61" s="83"/>
      <c r="AC61" s="83"/>
      <c r="AD61" s="83"/>
      <c r="AE61" s="83"/>
      <c r="AF61" s="83"/>
    </row>
    <row r="62" ht="15.75" customHeight="1">
      <c r="A62" s="31"/>
      <c r="B62" s="31"/>
      <c r="C62" s="31"/>
      <c r="D62" s="31"/>
      <c r="E62" s="31"/>
      <c r="F62" s="31"/>
      <c r="G62" s="31"/>
      <c r="H62" s="31"/>
      <c r="I62" s="31"/>
      <c r="J62" s="31"/>
      <c r="K62" s="31"/>
      <c r="L62" s="31"/>
      <c r="M62" s="31"/>
      <c r="N62" s="30"/>
      <c r="O62" s="31"/>
      <c r="P62" s="31"/>
      <c r="Q62" s="31"/>
      <c r="R62" s="31"/>
      <c r="S62" s="30"/>
      <c r="T62" s="31"/>
      <c r="U62" s="31"/>
      <c r="V62" s="31"/>
      <c r="W62" s="31"/>
      <c r="X62" s="31"/>
      <c r="Y62" s="31"/>
      <c r="Z62" s="31"/>
      <c r="AA62" s="31"/>
      <c r="AB62" s="31"/>
      <c r="AC62" s="31"/>
      <c r="AD62" s="31"/>
      <c r="AE62" s="31"/>
      <c r="AF62" s="31"/>
    </row>
    <row r="63" ht="15.75" customHeight="1">
      <c r="A63" s="31"/>
      <c r="B63" s="31"/>
      <c r="C63" s="31"/>
      <c r="D63" s="31"/>
      <c r="E63" s="31"/>
      <c r="F63" s="31"/>
      <c r="G63" s="31"/>
      <c r="H63" s="31"/>
      <c r="I63" s="31"/>
      <c r="J63" s="31"/>
      <c r="K63" s="31"/>
      <c r="L63" s="31"/>
      <c r="M63" s="31"/>
      <c r="N63" s="30"/>
      <c r="O63" s="31"/>
      <c r="P63" s="31"/>
      <c r="Q63" s="31"/>
      <c r="R63" s="31"/>
      <c r="S63" s="30"/>
      <c r="T63" s="31"/>
      <c r="U63" s="31"/>
      <c r="V63" s="31"/>
      <c r="W63" s="31"/>
      <c r="X63" s="31"/>
      <c r="Y63" s="31"/>
      <c r="Z63" s="31"/>
      <c r="AA63" s="31"/>
      <c r="AB63" s="31"/>
      <c r="AC63" s="31"/>
      <c r="AD63" s="31"/>
      <c r="AE63" s="31"/>
      <c r="AF63" s="31"/>
    </row>
    <row r="64" ht="15.75" customHeight="1">
      <c r="A64" s="31"/>
      <c r="B64" s="31"/>
      <c r="C64" s="31"/>
      <c r="D64" s="31"/>
      <c r="E64" s="31"/>
      <c r="F64" s="31"/>
      <c r="G64" s="31"/>
      <c r="H64" s="31"/>
      <c r="I64" s="31"/>
      <c r="J64" s="31"/>
      <c r="K64" s="31"/>
      <c r="L64" s="31"/>
      <c r="M64" s="31"/>
      <c r="N64" s="30"/>
      <c r="O64" s="31"/>
      <c r="P64" s="31"/>
      <c r="Q64" s="31"/>
      <c r="R64" s="31"/>
      <c r="S64" s="30"/>
      <c r="T64" s="31"/>
      <c r="U64" s="31"/>
      <c r="V64" s="31"/>
      <c r="W64" s="31"/>
      <c r="X64" s="31"/>
      <c r="Y64" s="31"/>
      <c r="Z64" s="31"/>
      <c r="AA64" s="31"/>
      <c r="AB64" s="31"/>
      <c r="AC64" s="31"/>
      <c r="AD64" s="31"/>
      <c r="AE64" s="31"/>
      <c r="AF64" s="31"/>
    </row>
    <row r="65" ht="15.75" customHeight="1">
      <c r="A65" s="31"/>
      <c r="B65" s="31"/>
      <c r="C65" s="31"/>
      <c r="D65" s="31"/>
      <c r="E65" s="31"/>
      <c r="F65" s="31"/>
      <c r="G65" s="31"/>
      <c r="H65" s="31"/>
      <c r="I65" s="31"/>
      <c r="J65" s="31"/>
      <c r="K65" s="31"/>
      <c r="L65" s="31"/>
      <c r="M65" s="31"/>
      <c r="N65" s="30"/>
      <c r="O65" s="31"/>
      <c r="P65" s="31"/>
      <c r="Q65" s="31"/>
      <c r="R65" s="31"/>
      <c r="S65" s="30"/>
      <c r="T65" s="31"/>
      <c r="U65" s="31"/>
      <c r="V65" s="31"/>
      <c r="W65" s="31"/>
      <c r="X65" s="31"/>
      <c r="Y65" s="31"/>
      <c r="Z65" s="31"/>
      <c r="AA65" s="31"/>
      <c r="AB65" s="31"/>
      <c r="AC65" s="31"/>
      <c r="AD65" s="31"/>
      <c r="AE65" s="31"/>
      <c r="AF65" s="31"/>
    </row>
    <row r="66" ht="15.75" customHeight="1">
      <c r="A66" s="31"/>
      <c r="B66" s="31"/>
      <c r="C66" s="31"/>
      <c r="D66" s="31"/>
      <c r="E66" s="31"/>
      <c r="F66" s="31"/>
      <c r="G66" s="31"/>
      <c r="H66" s="31"/>
      <c r="I66" s="31"/>
      <c r="J66" s="31"/>
      <c r="K66" s="31"/>
      <c r="L66" s="31"/>
      <c r="M66" s="31"/>
      <c r="N66" s="30"/>
      <c r="O66" s="31"/>
      <c r="P66" s="31"/>
      <c r="Q66" s="31"/>
      <c r="R66" s="31"/>
      <c r="S66" s="30"/>
      <c r="T66" s="31"/>
      <c r="U66" s="31"/>
      <c r="V66" s="31"/>
      <c r="W66" s="31"/>
      <c r="X66" s="31"/>
      <c r="Y66" s="31"/>
      <c r="Z66" s="31"/>
      <c r="AA66" s="31"/>
      <c r="AB66" s="31"/>
      <c r="AC66" s="31"/>
      <c r="AD66" s="31"/>
      <c r="AE66" s="31"/>
      <c r="AF66" s="31"/>
    </row>
    <row r="67" ht="15.75" customHeight="1">
      <c r="A67" s="31"/>
      <c r="B67" s="31"/>
      <c r="C67" s="31"/>
      <c r="D67" s="31"/>
      <c r="E67" s="31"/>
      <c r="F67" s="31"/>
      <c r="G67" s="31"/>
      <c r="H67" s="31"/>
      <c r="I67" s="31"/>
      <c r="J67" s="31"/>
      <c r="K67" s="31"/>
      <c r="L67" s="31"/>
      <c r="M67" s="31"/>
      <c r="N67" s="30"/>
      <c r="O67" s="31"/>
      <c r="P67" s="31"/>
      <c r="Q67" s="31"/>
      <c r="R67" s="31"/>
      <c r="S67" s="30"/>
      <c r="T67" s="31"/>
      <c r="U67" s="31"/>
      <c r="V67" s="31"/>
      <c r="W67" s="31"/>
      <c r="X67" s="31"/>
      <c r="Y67" s="31"/>
      <c r="Z67" s="31"/>
      <c r="AA67" s="31"/>
      <c r="AB67" s="31"/>
      <c r="AC67" s="31"/>
      <c r="AD67" s="31"/>
      <c r="AE67" s="31"/>
      <c r="AF67" s="31"/>
    </row>
    <row r="68" ht="15.75" customHeight="1">
      <c r="A68" s="31"/>
      <c r="B68" s="31"/>
      <c r="C68" s="31"/>
      <c r="D68" s="31"/>
      <c r="E68" s="31"/>
      <c r="F68" s="31"/>
      <c r="G68" s="31"/>
      <c r="H68" s="31"/>
      <c r="I68" s="31"/>
      <c r="J68" s="31"/>
      <c r="K68" s="31"/>
      <c r="L68" s="31"/>
      <c r="M68" s="31"/>
      <c r="N68" s="30"/>
      <c r="O68" s="31"/>
      <c r="P68" s="31"/>
      <c r="Q68" s="31"/>
      <c r="R68" s="31"/>
      <c r="S68" s="30"/>
      <c r="T68" s="31"/>
      <c r="U68" s="31"/>
      <c r="V68" s="31"/>
      <c r="W68" s="31"/>
      <c r="X68" s="31"/>
      <c r="Y68" s="31"/>
      <c r="Z68" s="31"/>
      <c r="AA68" s="31"/>
      <c r="AB68" s="31"/>
      <c r="AC68" s="31"/>
      <c r="AD68" s="31"/>
      <c r="AE68" s="31"/>
      <c r="AF68" s="31"/>
    </row>
    <row r="69" ht="15.75" customHeight="1">
      <c r="A69" s="31"/>
      <c r="B69" s="31"/>
      <c r="C69" s="31"/>
      <c r="D69" s="31"/>
      <c r="E69" s="31"/>
      <c r="F69" s="31"/>
      <c r="G69" s="31"/>
      <c r="H69" s="31"/>
      <c r="I69" s="31"/>
      <c r="J69" s="31"/>
      <c r="K69" s="31"/>
      <c r="L69" s="31"/>
      <c r="M69" s="31"/>
      <c r="N69" s="30"/>
      <c r="O69" s="31"/>
      <c r="P69" s="31"/>
      <c r="Q69" s="31"/>
      <c r="R69" s="31"/>
      <c r="S69" s="30"/>
      <c r="T69" s="31"/>
      <c r="U69" s="31"/>
      <c r="V69" s="31"/>
      <c r="W69" s="31"/>
      <c r="X69" s="31"/>
      <c r="Y69" s="31"/>
      <c r="Z69" s="31"/>
      <c r="AA69" s="31"/>
      <c r="AB69" s="31"/>
      <c r="AC69" s="31"/>
      <c r="AD69" s="31"/>
      <c r="AE69" s="31"/>
      <c r="AF69" s="31"/>
    </row>
    <row r="70" ht="15.75" customHeight="1">
      <c r="A70" s="31"/>
      <c r="B70" s="31"/>
      <c r="C70" s="31"/>
      <c r="D70" s="31"/>
      <c r="E70" s="31"/>
      <c r="F70" s="31"/>
      <c r="G70" s="31"/>
      <c r="H70" s="31"/>
      <c r="I70" s="31"/>
      <c r="J70" s="31"/>
      <c r="K70" s="31"/>
      <c r="L70" s="31"/>
      <c r="M70" s="31"/>
      <c r="N70" s="30"/>
      <c r="O70" s="31"/>
      <c r="P70" s="31"/>
      <c r="Q70" s="31"/>
      <c r="R70" s="31"/>
      <c r="S70" s="30"/>
      <c r="T70" s="31"/>
      <c r="U70" s="31"/>
      <c r="V70" s="31"/>
      <c r="W70" s="31"/>
      <c r="X70" s="31"/>
      <c r="Y70" s="31"/>
      <c r="Z70" s="31"/>
      <c r="AA70" s="31"/>
      <c r="AB70" s="31"/>
      <c r="AC70" s="31"/>
      <c r="AD70" s="31"/>
      <c r="AE70" s="31"/>
      <c r="AF70" s="31"/>
    </row>
    <row r="71" ht="15.75" customHeight="1">
      <c r="A71" s="31"/>
      <c r="B71" s="31"/>
      <c r="C71" s="31"/>
      <c r="D71" s="31"/>
      <c r="E71" s="31"/>
      <c r="F71" s="31"/>
      <c r="G71" s="31"/>
      <c r="H71" s="31"/>
      <c r="I71" s="31"/>
      <c r="J71" s="31"/>
      <c r="K71" s="31"/>
      <c r="L71" s="31"/>
      <c r="M71" s="31"/>
      <c r="N71" s="30"/>
      <c r="O71" s="31"/>
      <c r="P71" s="31"/>
      <c r="Q71" s="31"/>
      <c r="R71" s="31"/>
      <c r="S71" s="30"/>
      <c r="T71" s="31"/>
      <c r="U71" s="31"/>
      <c r="V71" s="31"/>
      <c r="W71" s="31"/>
      <c r="X71" s="31"/>
      <c r="Y71" s="31"/>
      <c r="Z71" s="31"/>
      <c r="AA71" s="31"/>
      <c r="AB71" s="31"/>
      <c r="AC71" s="31"/>
      <c r="AD71" s="31"/>
      <c r="AE71" s="31"/>
      <c r="AF71" s="31"/>
    </row>
    <row r="72" ht="15.75" customHeight="1">
      <c r="A72" s="31"/>
      <c r="B72" s="31"/>
      <c r="C72" s="31"/>
      <c r="D72" s="31"/>
      <c r="E72" s="31"/>
      <c r="F72" s="31"/>
      <c r="G72" s="31"/>
      <c r="H72" s="31"/>
      <c r="I72" s="31"/>
      <c r="J72" s="31"/>
      <c r="K72" s="31"/>
      <c r="L72" s="31"/>
      <c r="M72" s="31"/>
      <c r="N72" s="30"/>
      <c r="O72" s="31"/>
      <c r="P72" s="31"/>
      <c r="Q72" s="31"/>
      <c r="R72" s="31"/>
      <c r="S72" s="30"/>
      <c r="T72" s="31"/>
      <c r="U72" s="31"/>
      <c r="V72" s="31"/>
      <c r="W72" s="31"/>
      <c r="X72" s="31"/>
      <c r="Y72" s="31"/>
      <c r="Z72" s="31"/>
      <c r="AA72" s="31"/>
      <c r="AB72" s="31"/>
      <c r="AC72" s="31"/>
      <c r="AD72" s="31"/>
      <c r="AE72" s="31"/>
      <c r="AF72" s="31"/>
    </row>
    <row r="73" ht="15.75" customHeight="1">
      <c r="A73" s="31"/>
      <c r="B73" s="31"/>
      <c r="C73" s="31"/>
      <c r="D73" s="31"/>
      <c r="E73" s="31"/>
      <c r="F73" s="31"/>
      <c r="G73" s="31"/>
      <c r="H73" s="31"/>
      <c r="I73" s="31"/>
      <c r="J73" s="31"/>
      <c r="K73" s="31"/>
      <c r="L73" s="31"/>
      <c r="M73" s="31"/>
      <c r="N73" s="30"/>
      <c r="O73" s="31"/>
      <c r="P73" s="31"/>
      <c r="Q73" s="31"/>
      <c r="R73" s="31"/>
      <c r="S73" s="30"/>
      <c r="T73" s="31"/>
      <c r="U73" s="31"/>
      <c r="V73" s="31"/>
      <c r="W73" s="31"/>
      <c r="X73" s="31"/>
      <c r="Y73" s="31"/>
      <c r="Z73" s="31"/>
      <c r="AA73" s="31"/>
      <c r="AB73" s="31"/>
      <c r="AC73" s="31"/>
      <c r="AD73" s="31"/>
      <c r="AE73" s="31"/>
      <c r="AF73" s="31"/>
    </row>
    <row r="74" ht="15.75" customHeight="1">
      <c r="A74" s="31"/>
      <c r="B74" s="31"/>
      <c r="C74" s="31"/>
      <c r="D74" s="31"/>
      <c r="E74" s="31"/>
      <c r="F74" s="31"/>
      <c r="G74" s="31"/>
      <c r="H74" s="31"/>
      <c r="I74" s="31"/>
      <c r="J74" s="31"/>
      <c r="K74" s="31"/>
      <c r="L74" s="31"/>
      <c r="M74" s="31"/>
      <c r="N74" s="30"/>
      <c r="O74" s="31"/>
      <c r="P74" s="31"/>
      <c r="Q74" s="31"/>
      <c r="R74" s="31"/>
      <c r="S74" s="30"/>
      <c r="T74" s="31"/>
      <c r="U74" s="31"/>
      <c r="V74" s="31"/>
      <c r="W74" s="31"/>
      <c r="X74" s="31"/>
      <c r="Y74" s="31"/>
      <c r="Z74" s="31"/>
      <c r="AA74" s="31"/>
      <c r="AB74" s="31"/>
      <c r="AC74" s="31"/>
      <c r="AD74" s="31"/>
      <c r="AE74" s="31"/>
      <c r="AF74" s="31"/>
    </row>
    <row r="75" ht="15.75" customHeight="1">
      <c r="A75" s="31"/>
      <c r="B75" s="31"/>
      <c r="C75" s="31"/>
      <c r="D75" s="31"/>
      <c r="E75" s="31"/>
      <c r="F75" s="31"/>
      <c r="G75" s="31"/>
      <c r="H75" s="31"/>
      <c r="I75" s="31"/>
      <c r="J75" s="31"/>
      <c r="K75" s="31"/>
      <c r="L75" s="31"/>
      <c r="M75" s="31"/>
      <c r="N75" s="30"/>
      <c r="O75" s="31"/>
      <c r="P75" s="31"/>
      <c r="Q75" s="31"/>
      <c r="R75" s="31"/>
      <c r="S75" s="30"/>
      <c r="T75" s="31"/>
      <c r="U75" s="31"/>
      <c r="V75" s="31"/>
      <c r="W75" s="31"/>
      <c r="X75" s="31"/>
      <c r="Y75" s="31"/>
      <c r="Z75" s="31"/>
      <c r="AA75" s="31"/>
      <c r="AB75" s="31"/>
      <c r="AC75" s="31"/>
      <c r="AD75" s="31"/>
      <c r="AE75" s="31"/>
      <c r="AF75" s="31"/>
    </row>
    <row r="76" ht="15.75" customHeight="1">
      <c r="A76" s="31"/>
      <c r="B76" s="31"/>
      <c r="C76" s="31"/>
      <c r="D76" s="31"/>
      <c r="E76" s="31"/>
      <c r="F76" s="31"/>
      <c r="G76" s="31"/>
      <c r="H76" s="31"/>
      <c r="I76" s="31"/>
      <c r="J76" s="31"/>
      <c r="K76" s="31"/>
      <c r="L76" s="31"/>
      <c r="M76" s="31"/>
      <c r="N76" s="30"/>
      <c r="O76" s="31"/>
      <c r="P76" s="31"/>
      <c r="Q76" s="31"/>
      <c r="R76" s="31"/>
      <c r="S76" s="30"/>
      <c r="T76" s="31"/>
      <c r="U76" s="31"/>
      <c r="V76" s="31"/>
      <c r="W76" s="31"/>
      <c r="X76" s="31"/>
      <c r="Y76" s="31"/>
      <c r="Z76" s="31"/>
      <c r="AA76" s="31"/>
      <c r="AB76" s="31"/>
      <c r="AC76" s="31"/>
      <c r="AD76" s="31"/>
      <c r="AE76" s="31"/>
      <c r="AF76" s="31"/>
    </row>
    <row r="77" ht="15.75" customHeight="1">
      <c r="A77" s="31"/>
      <c r="B77" s="31"/>
      <c r="C77" s="31"/>
      <c r="D77" s="31"/>
      <c r="E77" s="31"/>
      <c r="F77" s="31"/>
      <c r="G77" s="31"/>
      <c r="H77" s="31"/>
      <c r="I77" s="31"/>
      <c r="J77" s="31"/>
      <c r="K77" s="31"/>
      <c r="L77" s="31"/>
      <c r="M77" s="31"/>
      <c r="N77" s="30"/>
      <c r="O77" s="31"/>
      <c r="P77" s="31"/>
      <c r="Q77" s="31"/>
      <c r="R77" s="31"/>
      <c r="S77" s="30"/>
      <c r="T77" s="31"/>
      <c r="U77" s="31"/>
      <c r="V77" s="31"/>
      <c r="W77" s="31"/>
      <c r="X77" s="31"/>
      <c r="Y77" s="31"/>
      <c r="Z77" s="31"/>
      <c r="AA77" s="31"/>
      <c r="AB77" s="31"/>
      <c r="AC77" s="31"/>
      <c r="AD77" s="31"/>
      <c r="AE77" s="31"/>
      <c r="AF77" s="31"/>
    </row>
    <row r="78" ht="15.75" customHeight="1">
      <c r="A78" s="31"/>
      <c r="B78" s="31"/>
      <c r="C78" s="31"/>
      <c r="D78" s="31"/>
      <c r="E78" s="31"/>
      <c r="F78" s="31"/>
      <c r="G78" s="31"/>
      <c r="H78" s="31"/>
      <c r="I78" s="31"/>
      <c r="J78" s="31"/>
      <c r="K78" s="31"/>
      <c r="L78" s="31"/>
      <c r="M78" s="31"/>
      <c r="N78" s="30"/>
      <c r="O78" s="31"/>
      <c r="P78" s="31"/>
      <c r="Q78" s="31"/>
      <c r="R78" s="31"/>
      <c r="S78" s="30"/>
      <c r="T78" s="31"/>
      <c r="U78" s="31"/>
      <c r="V78" s="31"/>
      <c r="W78" s="31"/>
      <c r="X78" s="31"/>
      <c r="Y78" s="31"/>
      <c r="Z78" s="31"/>
      <c r="AA78" s="31"/>
      <c r="AB78" s="31"/>
      <c r="AC78" s="31"/>
      <c r="AD78" s="31"/>
      <c r="AE78" s="31"/>
      <c r="AF78" s="31"/>
    </row>
    <row r="79" ht="15.75" customHeight="1">
      <c r="A79" s="31"/>
      <c r="B79" s="31"/>
      <c r="C79" s="31"/>
      <c r="D79" s="31"/>
      <c r="E79" s="31"/>
      <c r="F79" s="31"/>
      <c r="G79" s="31"/>
      <c r="H79" s="31"/>
      <c r="I79" s="31"/>
      <c r="J79" s="31"/>
      <c r="K79" s="31"/>
      <c r="L79" s="31"/>
      <c r="M79" s="31"/>
      <c r="N79" s="30"/>
      <c r="O79" s="31"/>
      <c r="P79" s="31"/>
      <c r="Q79" s="31"/>
      <c r="R79" s="31"/>
      <c r="S79" s="30"/>
      <c r="T79" s="31"/>
      <c r="U79" s="31"/>
      <c r="V79" s="31"/>
      <c r="W79" s="31"/>
      <c r="X79" s="31"/>
      <c r="Y79" s="31"/>
      <c r="Z79" s="31"/>
      <c r="AA79" s="31"/>
      <c r="AB79" s="31"/>
      <c r="AC79" s="31"/>
      <c r="AD79" s="31"/>
      <c r="AE79" s="31"/>
      <c r="AF79" s="31"/>
    </row>
    <row r="80" ht="15.75" customHeight="1">
      <c r="A80" s="31"/>
      <c r="B80" s="31"/>
      <c r="C80" s="31"/>
      <c r="D80" s="31"/>
      <c r="E80" s="31"/>
      <c r="F80" s="31"/>
      <c r="G80" s="31"/>
      <c r="H80" s="31"/>
      <c r="I80" s="31"/>
      <c r="J80" s="31"/>
      <c r="K80" s="31"/>
      <c r="L80" s="31"/>
      <c r="M80" s="31"/>
      <c r="N80" s="30"/>
      <c r="O80" s="31"/>
      <c r="P80" s="31"/>
      <c r="Q80" s="31"/>
      <c r="R80" s="31"/>
      <c r="S80" s="30"/>
      <c r="T80" s="31"/>
      <c r="U80" s="31"/>
      <c r="V80" s="31"/>
      <c r="W80" s="31"/>
      <c r="X80" s="31"/>
      <c r="Y80" s="31"/>
      <c r="Z80" s="31"/>
      <c r="AA80" s="31"/>
      <c r="AB80" s="31"/>
      <c r="AC80" s="31"/>
      <c r="AD80" s="31"/>
      <c r="AE80" s="31"/>
      <c r="AF80" s="31"/>
    </row>
    <row r="81" ht="15.75" customHeight="1">
      <c r="A81" s="31"/>
      <c r="B81" s="31"/>
      <c r="C81" s="31"/>
      <c r="D81" s="31"/>
      <c r="E81" s="31"/>
      <c r="F81" s="31"/>
      <c r="G81" s="31"/>
      <c r="H81" s="31"/>
      <c r="I81" s="31"/>
      <c r="J81" s="31"/>
      <c r="K81" s="31"/>
      <c r="L81" s="31"/>
      <c r="M81" s="31"/>
      <c r="N81" s="30"/>
      <c r="O81" s="31"/>
      <c r="P81" s="31"/>
      <c r="Q81" s="31"/>
      <c r="R81" s="31"/>
      <c r="S81" s="30"/>
      <c r="T81" s="31"/>
      <c r="U81" s="31"/>
      <c r="V81" s="31"/>
      <c r="W81" s="31"/>
      <c r="X81" s="31"/>
      <c r="Y81" s="31"/>
      <c r="Z81" s="31"/>
      <c r="AA81" s="31"/>
      <c r="AB81" s="31"/>
      <c r="AC81" s="31"/>
      <c r="AD81" s="31"/>
      <c r="AE81" s="31"/>
      <c r="AF81" s="31"/>
    </row>
    <row r="82" ht="15.75" customHeight="1">
      <c r="A82" s="31"/>
      <c r="B82" s="31"/>
      <c r="C82" s="31"/>
      <c r="D82" s="31"/>
      <c r="E82" s="31"/>
      <c r="F82" s="31"/>
      <c r="G82" s="31"/>
      <c r="H82" s="31"/>
      <c r="I82" s="31"/>
      <c r="J82" s="31"/>
      <c r="K82" s="31"/>
      <c r="L82" s="31"/>
      <c r="M82" s="31"/>
      <c r="N82" s="30"/>
      <c r="O82" s="31"/>
      <c r="P82" s="31"/>
      <c r="Q82" s="31"/>
      <c r="R82" s="31"/>
      <c r="S82" s="30"/>
      <c r="T82" s="31"/>
      <c r="U82" s="31"/>
      <c r="V82" s="31"/>
      <c r="W82" s="31"/>
      <c r="X82" s="31"/>
      <c r="Y82" s="31"/>
      <c r="Z82" s="31"/>
      <c r="AA82" s="31"/>
      <c r="AB82" s="31"/>
      <c r="AC82" s="31"/>
      <c r="AD82" s="31"/>
      <c r="AE82" s="31"/>
      <c r="AF82" s="31"/>
    </row>
    <row r="83" ht="15.75" customHeight="1">
      <c r="A83" s="31"/>
      <c r="B83" s="31"/>
      <c r="C83" s="31"/>
      <c r="D83" s="31"/>
      <c r="E83" s="31"/>
      <c r="F83" s="31"/>
      <c r="G83" s="31"/>
      <c r="H83" s="31"/>
      <c r="I83" s="31"/>
      <c r="J83" s="31"/>
      <c r="K83" s="31"/>
      <c r="L83" s="31"/>
      <c r="M83" s="31"/>
      <c r="N83" s="30"/>
      <c r="O83" s="31"/>
      <c r="P83" s="31"/>
      <c r="Q83" s="31"/>
      <c r="R83" s="31"/>
      <c r="S83" s="30"/>
      <c r="T83" s="31"/>
      <c r="U83" s="31"/>
      <c r="V83" s="31"/>
      <c r="W83" s="31"/>
      <c r="X83" s="31"/>
      <c r="Y83" s="31"/>
      <c r="Z83" s="31"/>
      <c r="AA83" s="31"/>
      <c r="AB83" s="31"/>
      <c r="AC83" s="31"/>
      <c r="AD83" s="31"/>
      <c r="AE83" s="31"/>
      <c r="AF83" s="31"/>
    </row>
    <row r="84" ht="15.75" customHeight="1">
      <c r="A84" s="31"/>
      <c r="B84" s="31"/>
      <c r="C84" s="31"/>
      <c r="D84" s="31"/>
      <c r="E84" s="31"/>
      <c r="F84" s="31"/>
      <c r="G84" s="31"/>
      <c r="H84" s="31"/>
      <c r="I84" s="31"/>
      <c r="J84" s="31"/>
      <c r="K84" s="31"/>
      <c r="L84" s="31"/>
      <c r="M84" s="31"/>
      <c r="N84" s="30"/>
      <c r="O84" s="31"/>
      <c r="P84" s="31"/>
      <c r="Q84" s="31"/>
      <c r="R84" s="31"/>
      <c r="S84" s="30"/>
      <c r="T84" s="31"/>
      <c r="U84" s="31"/>
      <c r="V84" s="31"/>
      <c r="W84" s="31"/>
      <c r="X84" s="31"/>
      <c r="Y84" s="31"/>
      <c r="Z84" s="31"/>
      <c r="AA84" s="31"/>
      <c r="AB84" s="31"/>
      <c r="AC84" s="31"/>
      <c r="AD84" s="31"/>
      <c r="AE84" s="31"/>
      <c r="AF84" s="31"/>
    </row>
    <row r="85" ht="15.75" customHeight="1">
      <c r="A85" s="31"/>
      <c r="B85" s="31"/>
      <c r="C85" s="31"/>
      <c r="D85" s="31"/>
      <c r="E85" s="31"/>
      <c r="F85" s="31"/>
      <c r="G85" s="31"/>
      <c r="H85" s="31"/>
      <c r="I85" s="31"/>
      <c r="J85" s="31"/>
      <c r="K85" s="31"/>
      <c r="L85" s="31"/>
      <c r="M85" s="31"/>
      <c r="N85" s="30"/>
      <c r="O85" s="31"/>
      <c r="P85" s="31"/>
      <c r="Q85" s="31"/>
      <c r="R85" s="31"/>
      <c r="S85" s="30"/>
      <c r="T85" s="31"/>
      <c r="U85" s="31"/>
      <c r="V85" s="31"/>
      <c r="W85" s="31"/>
      <c r="X85" s="31"/>
      <c r="Y85" s="31"/>
      <c r="Z85" s="31"/>
      <c r="AA85" s="31"/>
      <c r="AB85" s="31"/>
      <c r="AC85" s="31"/>
      <c r="AD85" s="31"/>
      <c r="AE85" s="31"/>
      <c r="AF85" s="31"/>
    </row>
    <row r="86" ht="15.75" customHeight="1">
      <c r="A86" s="31"/>
      <c r="B86" s="31"/>
      <c r="C86" s="31"/>
      <c r="D86" s="31"/>
      <c r="E86" s="31"/>
      <c r="F86" s="31"/>
      <c r="G86" s="31"/>
      <c r="H86" s="31"/>
      <c r="I86" s="31"/>
      <c r="J86" s="31"/>
      <c r="K86" s="31"/>
      <c r="L86" s="31"/>
      <c r="M86" s="31"/>
      <c r="N86" s="30"/>
      <c r="O86" s="31"/>
      <c r="P86" s="31"/>
      <c r="Q86" s="31"/>
      <c r="R86" s="31"/>
      <c r="S86" s="30"/>
      <c r="T86" s="31"/>
      <c r="U86" s="31"/>
      <c r="V86" s="31"/>
      <c r="W86" s="31"/>
      <c r="X86" s="31"/>
      <c r="Y86" s="31"/>
      <c r="Z86" s="31"/>
      <c r="AA86" s="31"/>
      <c r="AB86" s="31"/>
      <c r="AC86" s="31"/>
      <c r="AD86" s="31"/>
      <c r="AE86" s="31"/>
      <c r="AF86" s="31"/>
    </row>
    <row r="87" ht="15.75" customHeight="1">
      <c r="A87" s="31"/>
      <c r="B87" s="31"/>
      <c r="C87" s="31"/>
      <c r="D87" s="31"/>
      <c r="E87" s="31"/>
      <c r="F87" s="31"/>
      <c r="G87" s="31"/>
      <c r="H87" s="31"/>
      <c r="I87" s="31"/>
      <c r="J87" s="31"/>
      <c r="K87" s="31"/>
      <c r="L87" s="31"/>
      <c r="M87" s="31"/>
      <c r="N87" s="30"/>
      <c r="O87" s="31"/>
      <c r="P87" s="31"/>
      <c r="Q87" s="31"/>
      <c r="R87" s="31"/>
      <c r="S87" s="30"/>
      <c r="T87" s="31"/>
      <c r="U87" s="31"/>
      <c r="V87" s="31"/>
      <c r="W87" s="31"/>
      <c r="X87" s="31"/>
      <c r="Y87" s="31"/>
      <c r="Z87" s="31"/>
      <c r="AA87" s="31"/>
      <c r="AB87" s="31"/>
      <c r="AC87" s="31"/>
      <c r="AD87" s="31"/>
      <c r="AE87" s="31"/>
      <c r="AF87" s="31"/>
    </row>
    <row r="88" ht="15.75" customHeight="1">
      <c r="A88" s="31"/>
      <c r="B88" s="31"/>
      <c r="C88" s="31"/>
      <c r="D88" s="31"/>
      <c r="E88" s="31"/>
      <c r="F88" s="31"/>
      <c r="G88" s="31"/>
      <c r="H88" s="31"/>
      <c r="I88" s="31"/>
      <c r="J88" s="31"/>
      <c r="K88" s="31"/>
      <c r="L88" s="31"/>
      <c r="M88" s="31"/>
      <c r="N88" s="30"/>
      <c r="O88" s="31"/>
      <c r="P88" s="31"/>
      <c r="Q88" s="31"/>
      <c r="R88" s="31"/>
      <c r="S88" s="30"/>
      <c r="T88" s="31"/>
      <c r="U88" s="31"/>
      <c r="V88" s="31"/>
      <c r="W88" s="31"/>
      <c r="X88" s="31"/>
      <c r="Y88" s="31"/>
      <c r="Z88" s="31"/>
      <c r="AA88" s="31"/>
      <c r="AB88" s="31"/>
      <c r="AC88" s="31"/>
      <c r="AD88" s="31"/>
      <c r="AE88" s="31"/>
      <c r="AF88" s="31"/>
    </row>
    <row r="89" ht="15.75" customHeight="1">
      <c r="A89" s="31"/>
      <c r="B89" s="31"/>
      <c r="C89" s="31"/>
      <c r="D89" s="31"/>
      <c r="E89" s="31"/>
      <c r="F89" s="31"/>
      <c r="G89" s="31"/>
      <c r="H89" s="31"/>
      <c r="I89" s="31"/>
      <c r="J89" s="31"/>
      <c r="K89" s="31"/>
      <c r="L89" s="31"/>
      <c r="M89" s="31"/>
      <c r="N89" s="30"/>
      <c r="O89" s="31"/>
      <c r="P89" s="31"/>
      <c r="Q89" s="31"/>
      <c r="R89" s="31"/>
      <c r="S89" s="30"/>
      <c r="T89" s="31"/>
      <c r="U89" s="31"/>
      <c r="V89" s="31"/>
      <c r="W89" s="31"/>
      <c r="X89" s="31"/>
      <c r="Y89" s="31"/>
      <c r="Z89" s="31"/>
      <c r="AA89" s="31"/>
      <c r="AB89" s="31"/>
      <c r="AC89" s="31"/>
      <c r="AD89" s="31"/>
      <c r="AE89" s="31"/>
      <c r="AF89" s="31"/>
    </row>
    <row r="90" ht="15.75" customHeight="1">
      <c r="A90" s="31"/>
      <c r="B90" s="31"/>
      <c r="C90" s="31"/>
      <c r="D90" s="31"/>
      <c r="E90" s="31"/>
      <c r="F90" s="31"/>
      <c r="G90" s="31"/>
      <c r="H90" s="31"/>
      <c r="I90" s="31"/>
      <c r="J90" s="31"/>
      <c r="K90" s="31"/>
      <c r="L90" s="31"/>
      <c r="M90" s="31"/>
      <c r="N90" s="30"/>
      <c r="O90" s="31"/>
      <c r="P90" s="31"/>
      <c r="Q90" s="31"/>
      <c r="R90" s="31"/>
      <c r="S90" s="30"/>
      <c r="T90" s="31"/>
      <c r="U90" s="31"/>
      <c r="V90" s="31"/>
      <c r="W90" s="31"/>
      <c r="X90" s="31"/>
      <c r="Y90" s="31"/>
      <c r="Z90" s="31"/>
      <c r="AA90" s="31"/>
      <c r="AB90" s="31"/>
      <c r="AC90" s="31"/>
      <c r="AD90" s="31"/>
      <c r="AE90" s="31"/>
      <c r="AF90" s="31"/>
    </row>
    <row r="91" ht="15.75" customHeight="1">
      <c r="A91" s="31"/>
      <c r="B91" s="31"/>
      <c r="C91" s="31"/>
      <c r="D91" s="31"/>
      <c r="E91" s="31"/>
      <c r="F91" s="31"/>
      <c r="G91" s="31"/>
      <c r="H91" s="31"/>
      <c r="I91" s="31"/>
      <c r="J91" s="31"/>
      <c r="K91" s="31"/>
      <c r="L91" s="31"/>
      <c r="M91" s="31"/>
      <c r="N91" s="30"/>
      <c r="O91" s="31"/>
      <c r="P91" s="31"/>
      <c r="Q91" s="31"/>
      <c r="R91" s="31"/>
      <c r="S91" s="30"/>
      <c r="T91" s="31"/>
      <c r="U91" s="31"/>
      <c r="V91" s="31"/>
      <c r="W91" s="31"/>
      <c r="X91" s="31"/>
      <c r="Y91" s="31"/>
      <c r="Z91" s="31"/>
      <c r="AA91" s="31"/>
      <c r="AB91" s="31"/>
      <c r="AC91" s="31"/>
      <c r="AD91" s="31"/>
      <c r="AE91" s="31"/>
      <c r="AF91" s="31"/>
    </row>
    <row r="92" ht="15.75" customHeight="1">
      <c r="A92" s="31"/>
      <c r="B92" s="31"/>
      <c r="C92" s="31"/>
      <c r="D92" s="31"/>
      <c r="E92" s="31"/>
      <c r="F92" s="31"/>
      <c r="G92" s="31"/>
      <c r="H92" s="31"/>
      <c r="I92" s="31"/>
      <c r="J92" s="31"/>
      <c r="K92" s="31"/>
      <c r="L92" s="31"/>
      <c r="M92" s="31"/>
      <c r="N92" s="30"/>
      <c r="O92" s="31"/>
      <c r="P92" s="31"/>
      <c r="Q92" s="31"/>
      <c r="R92" s="31"/>
      <c r="S92" s="30"/>
      <c r="T92" s="31"/>
      <c r="U92" s="31"/>
      <c r="V92" s="31"/>
      <c r="W92" s="31"/>
      <c r="X92" s="31"/>
      <c r="Y92" s="31"/>
      <c r="Z92" s="31"/>
      <c r="AA92" s="31"/>
      <c r="AB92" s="31"/>
      <c r="AC92" s="31"/>
      <c r="AD92" s="31"/>
      <c r="AE92" s="31"/>
      <c r="AF92" s="31"/>
    </row>
    <row r="93" ht="15.75" customHeight="1">
      <c r="A93" s="31"/>
      <c r="B93" s="31"/>
      <c r="C93" s="31"/>
      <c r="D93" s="31"/>
      <c r="E93" s="31"/>
      <c r="F93" s="31"/>
      <c r="G93" s="31"/>
      <c r="H93" s="31"/>
      <c r="I93" s="31"/>
      <c r="J93" s="31"/>
      <c r="K93" s="31"/>
      <c r="L93" s="31"/>
      <c r="M93" s="31"/>
      <c r="N93" s="30"/>
      <c r="O93" s="31"/>
      <c r="P93" s="31"/>
      <c r="Q93" s="31"/>
      <c r="R93" s="31"/>
      <c r="S93" s="30"/>
      <c r="T93" s="31"/>
      <c r="U93" s="31"/>
      <c r="V93" s="31"/>
      <c r="W93" s="31"/>
      <c r="X93" s="31"/>
      <c r="Y93" s="31"/>
      <c r="Z93" s="31"/>
      <c r="AA93" s="31"/>
      <c r="AB93" s="31"/>
      <c r="AC93" s="31"/>
      <c r="AD93" s="31"/>
      <c r="AE93" s="31"/>
      <c r="AF93" s="31"/>
    </row>
    <row r="94" ht="15.75" customHeight="1">
      <c r="A94" s="31"/>
      <c r="B94" s="31"/>
      <c r="C94" s="31"/>
      <c r="D94" s="31"/>
      <c r="E94" s="31"/>
      <c r="F94" s="31"/>
      <c r="G94" s="31"/>
      <c r="H94" s="31"/>
      <c r="I94" s="31"/>
      <c r="J94" s="31"/>
      <c r="K94" s="31"/>
      <c r="L94" s="31"/>
      <c r="M94" s="31"/>
      <c r="N94" s="30"/>
      <c r="O94" s="31"/>
      <c r="P94" s="31"/>
      <c r="Q94" s="31"/>
      <c r="R94" s="31"/>
      <c r="S94" s="30"/>
      <c r="T94" s="31"/>
      <c r="U94" s="31"/>
      <c r="V94" s="31"/>
      <c r="W94" s="31"/>
      <c r="X94" s="31"/>
      <c r="Y94" s="31"/>
      <c r="Z94" s="31"/>
      <c r="AA94" s="31"/>
      <c r="AB94" s="31"/>
      <c r="AC94" s="31"/>
      <c r="AD94" s="31"/>
      <c r="AE94" s="31"/>
      <c r="AF94" s="31"/>
    </row>
    <row r="95" ht="15.75" customHeight="1">
      <c r="A95" s="31"/>
      <c r="B95" s="31"/>
      <c r="C95" s="31"/>
      <c r="D95" s="31"/>
      <c r="E95" s="31"/>
      <c r="F95" s="31"/>
      <c r="G95" s="31"/>
      <c r="H95" s="31"/>
      <c r="I95" s="31"/>
      <c r="J95" s="31"/>
      <c r="K95" s="31"/>
      <c r="L95" s="31"/>
      <c r="M95" s="31"/>
      <c r="N95" s="30"/>
      <c r="O95" s="31"/>
      <c r="P95" s="31"/>
      <c r="Q95" s="31"/>
      <c r="R95" s="31"/>
      <c r="S95" s="30"/>
      <c r="T95" s="31"/>
      <c r="U95" s="31"/>
      <c r="V95" s="31"/>
      <c r="W95" s="31"/>
      <c r="X95" s="31"/>
      <c r="Y95" s="31"/>
      <c r="Z95" s="31"/>
      <c r="AA95" s="31"/>
      <c r="AB95" s="31"/>
      <c r="AC95" s="31"/>
      <c r="AD95" s="31"/>
      <c r="AE95" s="31"/>
      <c r="AF95" s="31"/>
    </row>
    <row r="96" ht="15.75" customHeight="1">
      <c r="A96" s="31"/>
      <c r="B96" s="31"/>
      <c r="C96" s="31"/>
      <c r="D96" s="31"/>
      <c r="E96" s="31"/>
      <c r="F96" s="31"/>
      <c r="G96" s="31"/>
      <c r="H96" s="31"/>
      <c r="I96" s="31"/>
      <c r="J96" s="31"/>
      <c r="K96" s="31"/>
      <c r="L96" s="31"/>
      <c r="M96" s="31"/>
      <c r="N96" s="30"/>
      <c r="O96" s="31"/>
      <c r="P96" s="31"/>
      <c r="Q96" s="31"/>
      <c r="R96" s="31"/>
      <c r="S96" s="30"/>
      <c r="T96" s="31"/>
      <c r="U96" s="31"/>
      <c r="V96" s="31"/>
      <c r="W96" s="31"/>
      <c r="X96" s="31"/>
      <c r="Y96" s="31"/>
      <c r="Z96" s="31"/>
      <c r="AA96" s="31"/>
      <c r="AB96" s="31"/>
      <c r="AC96" s="31"/>
      <c r="AD96" s="31"/>
      <c r="AE96" s="31"/>
      <c r="AF96" s="31"/>
    </row>
    <row r="97" ht="15.75" customHeight="1">
      <c r="A97" s="31"/>
      <c r="B97" s="31"/>
      <c r="C97" s="31"/>
      <c r="D97" s="31"/>
      <c r="E97" s="31"/>
      <c r="F97" s="31"/>
      <c r="G97" s="31"/>
      <c r="H97" s="31"/>
      <c r="I97" s="31"/>
      <c r="J97" s="31"/>
      <c r="K97" s="31"/>
      <c r="L97" s="31"/>
      <c r="M97" s="31"/>
      <c r="N97" s="30"/>
      <c r="O97" s="31"/>
      <c r="P97" s="31"/>
      <c r="Q97" s="31"/>
      <c r="R97" s="31"/>
      <c r="S97" s="30"/>
      <c r="T97" s="31"/>
      <c r="U97" s="31"/>
      <c r="V97" s="31"/>
      <c r="W97" s="31"/>
      <c r="X97" s="31"/>
      <c r="Y97" s="31"/>
      <c r="Z97" s="31"/>
      <c r="AA97" s="31"/>
      <c r="AB97" s="31"/>
      <c r="AC97" s="31"/>
      <c r="AD97" s="31"/>
      <c r="AE97" s="31"/>
      <c r="AF97" s="31"/>
    </row>
    <row r="98" ht="15.75" customHeight="1">
      <c r="A98" s="31"/>
      <c r="B98" s="31"/>
      <c r="C98" s="31"/>
      <c r="D98" s="31"/>
      <c r="E98" s="31"/>
      <c r="F98" s="31"/>
      <c r="G98" s="31"/>
      <c r="H98" s="31"/>
      <c r="I98" s="31"/>
      <c r="J98" s="31"/>
      <c r="K98" s="31"/>
      <c r="L98" s="31"/>
      <c r="M98" s="31"/>
      <c r="N98" s="30"/>
      <c r="O98" s="31"/>
      <c r="P98" s="31"/>
      <c r="Q98" s="31"/>
      <c r="R98" s="31"/>
      <c r="S98" s="30"/>
      <c r="T98" s="31"/>
      <c r="U98" s="31"/>
      <c r="V98" s="31"/>
      <c r="W98" s="31"/>
      <c r="X98" s="31"/>
      <c r="Y98" s="31"/>
      <c r="Z98" s="31"/>
      <c r="AA98" s="31"/>
      <c r="AB98" s="31"/>
      <c r="AC98" s="31"/>
      <c r="AD98" s="31"/>
      <c r="AE98" s="31"/>
      <c r="AF98" s="31"/>
    </row>
    <row r="99" ht="15.75" customHeight="1">
      <c r="A99" s="31"/>
      <c r="B99" s="31"/>
      <c r="C99" s="31"/>
      <c r="D99" s="31"/>
      <c r="E99" s="31"/>
      <c r="F99" s="31"/>
      <c r="G99" s="31"/>
      <c r="H99" s="31"/>
      <c r="I99" s="31"/>
      <c r="J99" s="31"/>
      <c r="K99" s="31"/>
      <c r="L99" s="31"/>
      <c r="M99" s="31"/>
      <c r="N99" s="30"/>
      <c r="O99" s="31"/>
      <c r="P99" s="31"/>
      <c r="Q99" s="31"/>
      <c r="R99" s="31"/>
      <c r="S99" s="30"/>
      <c r="T99" s="31"/>
      <c r="U99" s="31"/>
      <c r="V99" s="31"/>
      <c r="W99" s="31"/>
      <c r="X99" s="31"/>
      <c r="Y99" s="31"/>
      <c r="Z99" s="31"/>
      <c r="AA99" s="31"/>
      <c r="AB99" s="31"/>
      <c r="AC99" s="31"/>
      <c r="AD99" s="31"/>
      <c r="AE99" s="31"/>
      <c r="AF99" s="31"/>
    </row>
    <row r="100" ht="15.75" customHeight="1">
      <c r="A100" s="31"/>
      <c r="B100" s="31"/>
      <c r="C100" s="31"/>
      <c r="D100" s="31"/>
      <c r="E100" s="31"/>
      <c r="F100" s="31"/>
      <c r="G100" s="31"/>
      <c r="H100" s="31"/>
      <c r="I100" s="31"/>
      <c r="J100" s="31"/>
      <c r="K100" s="31"/>
      <c r="L100" s="31"/>
      <c r="M100" s="31"/>
      <c r="N100" s="30"/>
      <c r="O100" s="31"/>
      <c r="P100" s="31"/>
      <c r="Q100" s="31"/>
      <c r="R100" s="31"/>
      <c r="S100" s="30"/>
      <c r="T100" s="31"/>
      <c r="U100" s="31"/>
      <c r="V100" s="31"/>
      <c r="W100" s="31"/>
      <c r="X100" s="31"/>
      <c r="Y100" s="31"/>
      <c r="Z100" s="31"/>
      <c r="AA100" s="31"/>
      <c r="AB100" s="31"/>
      <c r="AC100" s="31"/>
      <c r="AD100" s="31"/>
      <c r="AE100" s="31"/>
      <c r="AF100" s="31"/>
    </row>
    <row r="101" ht="15.75" customHeight="1">
      <c r="A101" s="31"/>
      <c r="B101" s="31"/>
      <c r="C101" s="31"/>
      <c r="D101" s="31"/>
      <c r="E101" s="31"/>
      <c r="F101" s="31"/>
      <c r="G101" s="31"/>
      <c r="H101" s="31"/>
      <c r="I101" s="31"/>
      <c r="J101" s="31"/>
      <c r="K101" s="31"/>
      <c r="L101" s="31"/>
      <c r="M101" s="31"/>
      <c r="N101" s="30"/>
      <c r="O101" s="31"/>
      <c r="P101" s="31"/>
      <c r="Q101" s="31"/>
      <c r="R101" s="31"/>
      <c r="S101" s="30"/>
      <c r="T101" s="31"/>
      <c r="U101" s="31"/>
      <c r="V101" s="31"/>
      <c r="W101" s="31"/>
      <c r="X101" s="31"/>
      <c r="Y101" s="31"/>
      <c r="Z101" s="31"/>
      <c r="AA101" s="31"/>
      <c r="AB101" s="31"/>
      <c r="AC101" s="31"/>
      <c r="AD101" s="31"/>
      <c r="AE101" s="31"/>
      <c r="AF101" s="31"/>
    </row>
    <row r="102" ht="15.75" customHeight="1">
      <c r="A102" s="31"/>
      <c r="B102" s="31"/>
      <c r="C102" s="31"/>
      <c r="D102" s="31"/>
      <c r="E102" s="31"/>
      <c r="F102" s="31"/>
      <c r="G102" s="31"/>
      <c r="H102" s="31"/>
      <c r="I102" s="31"/>
      <c r="J102" s="31"/>
      <c r="K102" s="31"/>
      <c r="L102" s="31"/>
      <c r="M102" s="31"/>
      <c r="N102" s="30"/>
      <c r="O102" s="31"/>
      <c r="P102" s="31"/>
      <c r="Q102" s="31"/>
      <c r="R102" s="31"/>
      <c r="S102" s="30"/>
      <c r="T102" s="31"/>
      <c r="U102" s="31"/>
      <c r="V102" s="31"/>
      <c r="W102" s="31"/>
      <c r="X102" s="31"/>
      <c r="Y102" s="31"/>
      <c r="Z102" s="31"/>
      <c r="AA102" s="31"/>
      <c r="AB102" s="31"/>
      <c r="AC102" s="31"/>
      <c r="AD102" s="31"/>
      <c r="AE102" s="31"/>
      <c r="AF102" s="31"/>
    </row>
    <row r="103" ht="15.75" customHeight="1">
      <c r="A103" s="31"/>
      <c r="B103" s="31"/>
      <c r="C103" s="31"/>
      <c r="D103" s="31"/>
      <c r="E103" s="31"/>
      <c r="F103" s="31"/>
      <c r="G103" s="31"/>
      <c r="H103" s="31"/>
      <c r="I103" s="31"/>
      <c r="J103" s="31"/>
      <c r="K103" s="31"/>
      <c r="L103" s="31"/>
      <c r="M103" s="31"/>
      <c r="N103" s="30"/>
      <c r="O103" s="31"/>
      <c r="P103" s="31"/>
      <c r="Q103" s="31"/>
      <c r="R103" s="31"/>
      <c r="S103" s="30"/>
      <c r="T103" s="31"/>
      <c r="U103" s="31"/>
      <c r="V103" s="31"/>
      <c r="W103" s="31"/>
      <c r="X103" s="31"/>
      <c r="Y103" s="31"/>
      <c r="Z103" s="31"/>
      <c r="AA103" s="31"/>
      <c r="AB103" s="31"/>
      <c r="AC103" s="31"/>
      <c r="AD103" s="31"/>
      <c r="AE103" s="31"/>
      <c r="AF103" s="31"/>
    </row>
    <row r="104" ht="15.75" customHeight="1">
      <c r="A104" s="31"/>
      <c r="B104" s="31"/>
      <c r="C104" s="31"/>
      <c r="D104" s="31"/>
      <c r="E104" s="31"/>
      <c r="F104" s="31"/>
      <c r="G104" s="31"/>
      <c r="H104" s="31"/>
      <c r="I104" s="31"/>
      <c r="J104" s="31"/>
      <c r="K104" s="31"/>
      <c r="L104" s="31"/>
      <c r="M104" s="31"/>
      <c r="N104" s="30"/>
      <c r="O104" s="31"/>
      <c r="P104" s="31"/>
      <c r="Q104" s="31"/>
      <c r="R104" s="31"/>
      <c r="S104" s="30"/>
      <c r="T104" s="31"/>
      <c r="U104" s="31"/>
      <c r="V104" s="31"/>
      <c r="W104" s="31"/>
      <c r="X104" s="31"/>
      <c r="Y104" s="31"/>
      <c r="Z104" s="31"/>
      <c r="AA104" s="31"/>
      <c r="AB104" s="31"/>
      <c r="AC104" s="31"/>
      <c r="AD104" s="31"/>
      <c r="AE104" s="31"/>
      <c r="AF104" s="31"/>
    </row>
    <row r="105" ht="15.75" customHeight="1">
      <c r="A105" s="31"/>
      <c r="B105" s="31"/>
      <c r="C105" s="31"/>
      <c r="D105" s="31"/>
      <c r="E105" s="31"/>
      <c r="F105" s="31"/>
      <c r="G105" s="31"/>
      <c r="H105" s="31"/>
      <c r="I105" s="31"/>
      <c r="J105" s="31"/>
      <c r="K105" s="31"/>
      <c r="L105" s="31"/>
      <c r="M105" s="31"/>
      <c r="N105" s="30"/>
      <c r="O105" s="31"/>
      <c r="P105" s="31"/>
      <c r="Q105" s="31"/>
      <c r="R105" s="31"/>
      <c r="S105" s="30"/>
      <c r="T105" s="31"/>
      <c r="U105" s="31"/>
      <c r="V105" s="31"/>
      <c r="W105" s="31"/>
      <c r="X105" s="31"/>
      <c r="Y105" s="31"/>
      <c r="Z105" s="31"/>
      <c r="AA105" s="31"/>
      <c r="AB105" s="31"/>
      <c r="AC105" s="31"/>
      <c r="AD105" s="31"/>
      <c r="AE105" s="31"/>
      <c r="AF105" s="31"/>
    </row>
    <row r="106" ht="15.75" customHeight="1">
      <c r="A106" s="31"/>
      <c r="B106" s="31"/>
      <c r="C106" s="31"/>
      <c r="D106" s="31"/>
      <c r="E106" s="31"/>
      <c r="F106" s="31"/>
      <c r="G106" s="31"/>
      <c r="H106" s="31"/>
      <c r="I106" s="31"/>
      <c r="J106" s="31"/>
      <c r="K106" s="31"/>
      <c r="L106" s="31"/>
      <c r="M106" s="31"/>
      <c r="N106" s="30"/>
      <c r="O106" s="31"/>
      <c r="P106" s="31"/>
      <c r="Q106" s="31"/>
      <c r="R106" s="31"/>
      <c r="S106" s="30"/>
      <c r="T106" s="31"/>
      <c r="U106" s="31"/>
      <c r="V106" s="31"/>
      <c r="W106" s="31"/>
      <c r="X106" s="31"/>
      <c r="Y106" s="31"/>
      <c r="Z106" s="31"/>
      <c r="AA106" s="31"/>
      <c r="AB106" s="31"/>
      <c r="AC106" s="31"/>
      <c r="AD106" s="31"/>
      <c r="AE106" s="31"/>
      <c r="AF106" s="31"/>
    </row>
    <row r="107" ht="15.75" customHeight="1">
      <c r="A107" s="31"/>
      <c r="B107" s="31"/>
      <c r="C107" s="31"/>
      <c r="D107" s="31"/>
      <c r="E107" s="31"/>
      <c r="F107" s="31"/>
      <c r="G107" s="31"/>
      <c r="H107" s="31"/>
      <c r="I107" s="31"/>
      <c r="J107" s="31"/>
      <c r="K107" s="31"/>
      <c r="L107" s="31"/>
      <c r="M107" s="31"/>
      <c r="N107" s="30"/>
      <c r="O107" s="31"/>
      <c r="P107" s="31"/>
      <c r="Q107" s="31"/>
      <c r="R107" s="31"/>
      <c r="S107" s="30"/>
      <c r="T107" s="31"/>
      <c r="U107" s="31"/>
      <c r="V107" s="31"/>
      <c r="W107" s="31"/>
      <c r="X107" s="31"/>
      <c r="Y107" s="31"/>
      <c r="Z107" s="31"/>
      <c r="AA107" s="31"/>
      <c r="AB107" s="31"/>
      <c r="AC107" s="31"/>
      <c r="AD107" s="31"/>
      <c r="AE107" s="31"/>
      <c r="AF107" s="31"/>
    </row>
    <row r="108" ht="15.75" customHeight="1">
      <c r="A108" s="31"/>
      <c r="B108" s="31"/>
      <c r="C108" s="31"/>
      <c r="D108" s="31"/>
      <c r="E108" s="31"/>
      <c r="F108" s="31"/>
      <c r="G108" s="31"/>
      <c r="H108" s="31"/>
      <c r="I108" s="31"/>
      <c r="J108" s="31"/>
      <c r="K108" s="31"/>
      <c r="L108" s="31"/>
      <c r="M108" s="31"/>
      <c r="N108" s="30"/>
      <c r="O108" s="31"/>
      <c r="P108" s="31"/>
      <c r="Q108" s="31"/>
      <c r="R108" s="31"/>
      <c r="S108" s="30"/>
      <c r="T108" s="31"/>
      <c r="U108" s="31"/>
      <c r="V108" s="31"/>
      <c r="W108" s="31"/>
      <c r="X108" s="31"/>
      <c r="Y108" s="31"/>
      <c r="Z108" s="31"/>
      <c r="AA108" s="31"/>
      <c r="AB108" s="31"/>
      <c r="AC108" s="31"/>
      <c r="AD108" s="31"/>
      <c r="AE108" s="31"/>
      <c r="AF108" s="31"/>
    </row>
    <row r="109" ht="15.75" customHeight="1">
      <c r="A109" s="31"/>
      <c r="B109" s="31"/>
      <c r="C109" s="31"/>
      <c r="D109" s="31"/>
      <c r="E109" s="31"/>
      <c r="F109" s="31"/>
      <c r="G109" s="31"/>
      <c r="H109" s="31"/>
      <c r="I109" s="31"/>
      <c r="J109" s="31"/>
      <c r="K109" s="31"/>
      <c r="L109" s="31"/>
      <c r="M109" s="31"/>
      <c r="N109" s="30"/>
      <c r="O109" s="31"/>
      <c r="P109" s="31"/>
      <c r="Q109" s="31"/>
      <c r="R109" s="31"/>
      <c r="S109" s="30"/>
      <c r="T109" s="31"/>
      <c r="U109" s="31"/>
      <c r="V109" s="31"/>
      <c r="W109" s="31"/>
      <c r="X109" s="31"/>
      <c r="Y109" s="31"/>
      <c r="Z109" s="31"/>
      <c r="AA109" s="31"/>
      <c r="AB109" s="31"/>
      <c r="AC109" s="31"/>
      <c r="AD109" s="31"/>
      <c r="AE109" s="31"/>
      <c r="AF109" s="31"/>
    </row>
    <row r="110" ht="15.75" customHeight="1">
      <c r="A110" s="31"/>
      <c r="B110" s="31"/>
      <c r="C110" s="31"/>
      <c r="D110" s="31"/>
      <c r="E110" s="31"/>
      <c r="F110" s="31"/>
      <c r="G110" s="31"/>
      <c r="H110" s="31"/>
      <c r="I110" s="31"/>
      <c r="J110" s="31"/>
      <c r="K110" s="31"/>
      <c r="L110" s="31"/>
      <c r="M110" s="31"/>
      <c r="N110" s="30"/>
      <c r="O110" s="31"/>
      <c r="P110" s="31"/>
      <c r="Q110" s="31"/>
      <c r="R110" s="31"/>
      <c r="S110" s="30"/>
      <c r="T110" s="31"/>
      <c r="U110" s="31"/>
      <c r="V110" s="31"/>
      <c r="W110" s="31"/>
      <c r="X110" s="31"/>
      <c r="Y110" s="31"/>
      <c r="Z110" s="31"/>
      <c r="AA110" s="31"/>
      <c r="AB110" s="31"/>
      <c r="AC110" s="31"/>
      <c r="AD110" s="31"/>
      <c r="AE110" s="31"/>
      <c r="AF110" s="31"/>
    </row>
    <row r="111" ht="15.75" customHeight="1">
      <c r="A111" s="31"/>
      <c r="B111" s="31"/>
      <c r="C111" s="31"/>
      <c r="D111" s="31"/>
      <c r="E111" s="31"/>
      <c r="F111" s="31"/>
      <c r="G111" s="31"/>
      <c r="H111" s="31"/>
      <c r="I111" s="31"/>
      <c r="J111" s="31"/>
      <c r="K111" s="31"/>
      <c r="L111" s="31"/>
      <c r="M111" s="31"/>
      <c r="N111" s="30"/>
      <c r="O111" s="31"/>
      <c r="P111" s="31"/>
      <c r="Q111" s="31"/>
      <c r="R111" s="31"/>
      <c r="S111" s="30"/>
      <c r="T111" s="31"/>
      <c r="U111" s="31"/>
      <c r="V111" s="31"/>
      <c r="W111" s="31"/>
      <c r="X111" s="31"/>
      <c r="Y111" s="31"/>
      <c r="Z111" s="31"/>
      <c r="AA111" s="31"/>
      <c r="AB111" s="31"/>
      <c r="AC111" s="31"/>
      <c r="AD111" s="31"/>
      <c r="AE111" s="31"/>
      <c r="AF111" s="31"/>
    </row>
    <row r="112" ht="15.75" customHeight="1">
      <c r="A112" s="31"/>
      <c r="B112" s="31"/>
      <c r="C112" s="31"/>
      <c r="D112" s="31"/>
      <c r="E112" s="31"/>
      <c r="F112" s="31"/>
      <c r="G112" s="31"/>
      <c r="H112" s="31"/>
      <c r="I112" s="31"/>
      <c r="J112" s="31"/>
      <c r="K112" s="31"/>
      <c r="L112" s="31"/>
      <c r="M112" s="31"/>
      <c r="N112" s="30"/>
      <c r="O112" s="31"/>
      <c r="P112" s="31"/>
      <c r="Q112" s="31"/>
      <c r="R112" s="31"/>
      <c r="S112" s="30"/>
      <c r="T112" s="31"/>
      <c r="U112" s="31"/>
      <c r="V112" s="31"/>
      <c r="W112" s="31"/>
      <c r="X112" s="31"/>
      <c r="Y112" s="31"/>
      <c r="Z112" s="31"/>
      <c r="AA112" s="31"/>
      <c r="AB112" s="31"/>
      <c r="AC112" s="31"/>
      <c r="AD112" s="31"/>
      <c r="AE112" s="31"/>
      <c r="AF112" s="31"/>
    </row>
    <row r="113" ht="15.75" customHeight="1">
      <c r="A113" s="31"/>
      <c r="B113" s="31"/>
      <c r="C113" s="31"/>
      <c r="D113" s="31"/>
      <c r="E113" s="31"/>
      <c r="F113" s="31"/>
      <c r="G113" s="31"/>
      <c r="H113" s="31"/>
      <c r="I113" s="31"/>
      <c r="J113" s="31"/>
      <c r="K113" s="31"/>
      <c r="L113" s="31"/>
      <c r="M113" s="31"/>
      <c r="N113" s="30"/>
      <c r="O113" s="31"/>
      <c r="P113" s="31"/>
      <c r="Q113" s="31"/>
      <c r="R113" s="31"/>
      <c r="S113" s="30"/>
      <c r="T113" s="31"/>
      <c r="U113" s="31"/>
      <c r="V113" s="31"/>
      <c r="W113" s="31"/>
      <c r="X113" s="31"/>
      <c r="Y113" s="31"/>
      <c r="Z113" s="31"/>
      <c r="AA113" s="31"/>
      <c r="AB113" s="31"/>
      <c r="AC113" s="31"/>
      <c r="AD113" s="31"/>
      <c r="AE113" s="31"/>
      <c r="AF113" s="31"/>
    </row>
    <row r="114" ht="15.75" customHeight="1">
      <c r="A114" s="31"/>
      <c r="B114" s="31"/>
      <c r="C114" s="31"/>
      <c r="D114" s="31"/>
      <c r="E114" s="31"/>
      <c r="F114" s="31"/>
      <c r="G114" s="31"/>
      <c r="H114" s="31"/>
      <c r="I114" s="31"/>
      <c r="J114" s="31"/>
      <c r="K114" s="31"/>
      <c r="L114" s="31"/>
      <c r="M114" s="31"/>
      <c r="N114" s="30"/>
      <c r="O114" s="31"/>
      <c r="P114" s="31"/>
      <c r="Q114" s="31"/>
      <c r="R114" s="31"/>
      <c r="S114" s="30"/>
      <c r="T114" s="31"/>
      <c r="U114" s="31"/>
      <c r="V114" s="31"/>
      <c r="W114" s="31"/>
      <c r="X114" s="31"/>
      <c r="Y114" s="31"/>
      <c r="Z114" s="31"/>
      <c r="AA114" s="31"/>
      <c r="AB114" s="31"/>
      <c r="AC114" s="31"/>
      <c r="AD114" s="31"/>
      <c r="AE114" s="31"/>
      <c r="AF114" s="31"/>
    </row>
    <row r="115" ht="15.75" customHeight="1">
      <c r="A115" s="31"/>
      <c r="B115" s="31"/>
      <c r="C115" s="31"/>
      <c r="D115" s="31"/>
      <c r="E115" s="31"/>
      <c r="F115" s="31"/>
      <c r="G115" s="31"/>
      <c r="H115" s="31"/>
      <c r="I115" s="31"/>
      <c r="J115" s="31"/>
      <c r="K115" s="31"/>
      <c r="L115" s="31"/>
      <c r="M115" s="31"/>
      <c r="N115" s="30"/>
      <c r="O115" s="31"/>
      <c r="P115" s="31"/>
      <c r="Q115" s="31"/>
      <c r="R115" s="31"/>
      <c r="S115" s="30"/>
      <c r="T115" s="31"/>
      <c r="U115" s="31"/>
      <c r="V115" s="31"/>
      <c r="W115" s="31"/>
      <c r="X115" s="31"/>
      <c r="Y115" s="31"/>
      <c r="Z115" s="31"/>
      <c r="AA115" s="31"/>
      <c r="AB115" s="31"/>
      <c r="AC115" s="31"/>
      <c r="AD115" s="31"/>
      <c r="AE115" s="31"/>
      <c r="AF115" s="31"/>
    </row>
    <row r="116" ht="15.75" customHeight="1">
      <c r="A116" s="31"/>
      <c r="B116" s="31"/>
      <c r="C116" s="31"/>
      <c r="D116" s="31"/>
      <c r="E116" s="31"/>
      <c r="F116" s="31"/>
      <c r="G116" s="31"/>
      <c r="H116" s="31"/>
      <c r="I116" s="31"/>
      <c r="J116" s="31"/>
      <c r="K116" s="31"/>
      <c r="L116" s="31"/>
      <c r="M116" s="31"/>
      <c r="N116" s="30"/>
      <c r="O116" s="31"/>
      <c r="P116" s="31"/>
      <c r="Q116" s="31"/>
      <c r="R116" s="31"/>
      <c r="S116" s="30"/>
      <c r="T116" s="31"/>
      <c r="U116" s="31"/>
      <c r="V116" s="31"/>
      <c r="W116" s="31"/>
      <c r="X116" s="31"/>
      <c r="Y116" s="31"/>
      <c r="Z116" s="31"/>
      <c r="AA116" s="31"/>
      <c r="AB116" s="31"/>
      <c r="AC116" s="31"/>
      <c r="AD116" s="31"/>
      <c r="AE116" s="31"/>
      <c r="AF116" s="31"/>
    </row>
    <row r="117" ht="15.75" customHeight="1">
      <c r="A117" s="31"/>
      <c r="B117" s="31"/>
      <c r="C117" s="31"/>
      <c r="D117" s="31"/>
      <c r="E117" s="31"/>
      <c r="F117" s="31"/>
      <c r="G117" s="31"/>
      <c r="H117" s="31"/>
      <c r="I117" s="31"/>
      <c r="J117" s="31"/>
      <c r="K117" s="31"/>
      <c r="L117" s="31"/>
      <c r="M117" s="31"/>
      <c r="N117" s="30"/>
      <c r="O117" s="31"/>
      <c r="P117" s="31"/>
      <c r="Q117" s="31"/>
      <c r="R117" s="31"/>
      <c r="S117" s="30"/>
      <c r="T117" s="31"/>
      <c r="U117" s="31"/>
      <c r="V117" s="31"/>
      <c r="W117" s="31"/>
      <c r="X117" s="31"/>
      <c r="Y117" s="31"/>
      <c r="Z117" s="31"/>
      <c r="AA117" s="31"/>
      <c r="AB117" s="31"/>
      <c r="AC117" s="31"/>
      <c r="AD117" s="31"/>
      <c r="AE117" s="31"/>
      <c r="AF117" s="31"/>
    </row>
    <row r="118" ht="15.75" customHeight="1">
      <c r="A118" s="31"/>
      <c r="B118" s="31"/>
      <c r="C118" s="31"/>
      <c r="D118" s="31"/>
      <c r="E118" s="31"/>
      <c r="F118" s="31"/>
      <c r="G118" s="31"/>
      <c r="H118" s="31"/>
      <c r="I118" s="31"/>
      <c r="J118" s="31"/>
      <c r="K118" s="31"/>
      <c r="L118" s="31"/>
      <c r="M118" s="31"/>
      <c r="N118" s="30"/>
      <c r="O118" s="31"/>
      <c r="P118" s="31"/>
      <c r="Q118" s="31"/>
      <c r="R118" s="31"/>
      <c r="S118" s="30"/>
      <c r="T118" s="31"/>
      <c r="U118" s="31"/>
      <c r="V118" s="31"/>
      <c r="W118" s="31"/>
      <c r="X118" s="31"/>
      <c r="Y118" s="31"/>
      <c r="Z118" s="31"/>
      <c r="AA118" s="31"/>
      <c r="AB118" s="31"/>
      <c r="AC118" s="31"/>
      <c r="AD118" s="31"/>
      <c r="AE118" s="31"/>
      <c r="AF118" s="31"/>
    </row>
    <row r="119" ht="15.75" customHeight="1">
      <c r="A119" s="31"/>
      <c r="B119" s="31"/>
      <c r="C119" s="31"/>
      <c r="D119" s="31"/>
      <c r="E119" s="31"/>
      <c r="F119" s="31"/>
      <c r="G119" s="31"/>
      <c r="H119" s="31"/>
      <c r="I119" s="31"/>
      <c r="J119" s="31"/>
      <c r="K119" s="31"/>
      <c r="L119" s="31"/>
      <c r="M119" s="31"/>
      <c r="N119" s="30"/>
      <c r="O119" s="31"/>
      <c r="P119" s="31"/>
      <c r="Q119" s="31"/>
      <c r="R119" s="31"/>
      <c r="S119" s="30"/>
      <c r="T119" s="31"/>
      <c r="U119" s="31"/>
      <c r="V119" s="31"/>
      <c r="W119" s="31"/>
      <c r="X119" s="31"/>
      <c r="Y119" s="31"/>
      <c r="Z119" s="31"/>
      <c r="AA119" s="31"/>
      <c r="AB119" s="31"/>
      <c r="AC119" s="31"/>
      <c r="AD119" s="31"/>
      <c r="AE119" s="31"/>
      <c r="AF119" s="31"/>
    </row>
    <row r="120" ht="15.75" customHeight="1">
      <c r="A120" s="31"/>
      <c r="B120" s="31"/>
      <c r="C120" s="31"/>
      <c r="D120" s="31"/>
      <c r="E120" s="31"/>
      <c r="F120" s="31"/>
      <c r="G120" s="31"/>
      <c r="H120" s="31"/>
      <c r="I120" s="31"/>
      <c r="J120" s="31"/>
      <c r="K120" s="31"/>
      <c r="L120" s="31"/>
      <c r="M120" s="31"/>
      <c r="N120" s="30"/>
      <c r="O120" s="31"/>
      <c r="P120" s="31"/>
      <c r="Q120" s="31"/>
      <c r="R120" s="31"/>
      <c r="S120" s="30"/>
      <c r="T120" s="31"/>
      <c r="U120" s="31"/>
      <c r="V120" s="31"/>
      <c r="W120" s="31"/>
      <c r="X120" s="31"/>
      <c r="Y120" s="31"/>
      <c r="Z120" s="31"/>
      <c r="AA120" s="31"/>
      <c r="AB120" s="31"/>
      <c r="AC120" s="31"/>
      <c r="AD120" s="31"/>
      <c r="AE120" s="31"/>
      <c r="AF120" s="31"/>
    </row>
    <row r="121" ht="15.75" customHeight="1">
      <c r="A121" s="31"/>
      <c r="B121" s="31"/>
      <c r="C121" s="31"/>
      <c r="D121" s="31"/>
      <c r="E121" s="31"/>
      <c r="F121" s="31"/>
      <c r="G121" s="31"/>
      <c r="H121" s="31"/>
      <c r="I121" s="31"/>
      <c r="J121" s="31"/>
      <c r="K121" s="31"/>
      <c r="L121" s="31"/>
      <c r="M121" s="31"/>
      <c r="N121" s="30"/>
      <c r="O121" s="31"/>
      <c r="P121" s="31"/>
      <c r="Q121" s="31"/>
      <c r="R121" s="31"/>
      <c r="S121" s="30"/>
      <c r="T121" s="31"/>
      <c r="U121" s="31"/>
      <c r="V121" s="31"/>
      <c r="W121" s="31"/>
      <c r="X121" s="31"/>
      <c r="Y121" s="31"/>
      <c r="Z121" s="31"/>
      <c r="AA121" s="31"/>
      <c r="AB121" s="31"/>
      <c r="AC121" s="31"/>
      <c r="AD121" s="31"/>
      <c r="AE121" s="31"/>
      <c r="AF121" s="31"/>
    </row>
    <row r="122" ht="15.75" customHeight="1">
      <c r="A122" s="31"/>
      <c r="B122" s="31"/>
      <c r="C122" s="31"/>
      <c r="D122" s="31"/>
      <c r="E122" s="31"/>
      <c r="F122" s="31"/>
      <c r="G122" s="31"/>
      <c r="H122" s="31"/>
      <c r="I122" s="31"/>
      <c r="J122" s="31"/>
      <c r="K122" s="31"/>
      <c r="L122" s="31"/>
      <c r="M122" s="31"/>
      <c r="N122" s="30"/>
      <c r="O122" s="31"/>
      <c r="P122" s="31"/>
      <c r="Q122" s="31"/>
      <c r="R122" s="31"/>
      <c r="S122" s="30"/>
      <c r="T122" s="31"/>
      <c r="U122" s="31"/>
      <c r="V122" s="31"/>
      <c r="W122" s="31"/>
      <c r="X122" s="31"/>
      <c r="Y122" s="31"/>
      <c r="Z122" s="31"/>
      <c r="AA122" s="31"/>
      <c r="AB122" s="31"/>
      <c r="AC122" s="31"/>
      <c r="AD122" s="31"/>
      <c r="AE122" s="31"/>
      <c r="AF122" s="31"/>
    </row>
    <row r="123" ht="15.75" customHeight="1">
      <c r="A123" s="31"/>
      <c r="B123" s="31"/>
      <c r="C123" s="31"/>
      <c r="D123" s="31"/>
      <c r="E123" s="31"/>
      <c r="F123" s="31"/>
      <c r="G123" s="31"/>
      <c r="H123" s="31"/>
      <c r="I123" s="31"/>
      <c r="J123" s="31"/>
      <c r="K123" s="31"/>
      <c r="L123" s="31"/>
      <c r="M123" s="31"/>
      <c r="N123" s="30"/>
      <c r="O123" s="31"/>
      <c r="P123" s="31"/>
      <c r="Q123" s="31"/>
      <c r="R123" s="31"/>
      <c r="S123" s="30"/>
      <c r="T123" s="31"/>
      <c r="U123" s="31"/>
      <c r="V123" s="31"/>
      <c r="W123" s="31"/>
      <c r="X123" s="31"/>
      <c r="Y123" s="31"/>
      <c r="Z123" s="31"/>
      <c r="AA123" s="31"/>
      <c r="AB123" s="31"/>
      <c r="AC123" s="31"/>
      <c r="AD123" s="31"/>
      <c r="AE123" s="31"/>
      <c r="AF123" s="31"/>
    </row>
    <row r="124" ht="15.75" customHeight="1">
      <c r="A124" s="31"/>
      <c r="B124" s="31"/>
      <c r="C124" s="31"/>
      <c r="D124" s="31"/>
      <c r="E124" s="31"/>
      <c r="F124" s="31"/>
      <c r="G124" s="31"/>
      <c r="H124" s="31"/>
      <c r="I124" s="31"/>
      <c r="J124" s="31"/>
      <c r="K124" s="31"/>
      <c r="L124" s="31"/>
      <c r="M124" s="31"/>
      <c r="N124" s="30"/>
      <c r="O124" s="31"/>
      <c r="P124" s="31"/>
      <c r="Q124" s="31"/>
      <c r="R124" s="31"/>
      <c r="S124" s="30"/>
      <c r="T124" s="31"/>
      <c r="U124" s="31"/>
      <c r="V124" s="31"/>
      <c r="W124" s="31"/>
      <c r="X124" s="31"/>
      <c r="Y124" s="31"/>
      <c r="Z124" s="31"/>
      <c r="AA124" s="31"/>
      <c r="AB124" s="31"/>
      <c r="AC124" s="31"/>
      <c r="AD124" s="31"/>
      <c r="AE124" s="31"/>
      <c r="AF124" s="31"/>
    </row>
    <row r="125" ht="15.75" customHeight="1">
      <c r="A125" s="31"/>
      <c r="B125" s="31"/>
      <c r="C125" s="31"/>
      <c r="D125" s="31"/>
      <c r="E125" s="31"/>
      <c r="F125" s="31"/>
      <c r="G125" s="31"/>
      <c r="H125" s="31"/>
      <c r="I125" s="31"/>
      <c r="J125" s="31"/>
      <c r="K125" s="31"/>
      <c r="L125" s="31"/>
      <c r="M125" s="31"/>
      <c r="N125" s="30"/>
      <c r="O125" s="31"/>
      <c r="P125" s="31"/>
      <c r="Q125" s="31"/>
      <c r="R125" s="31"/>
      <c r="S125" s="30"/>
      <c r="T125" s="31"/>
      <c r="U125" s="31"/>
      <c r="V125" s="31"/>
      <c r="W125" s="31"/>
      <c r="X125" s="31"/>
      <c r="Y125" s="31"/>
      <c r="Z125" s="31"/>
      <c r="AA125" s="31"/>
      <c r="AB125" s="31"/>
      <c r="AC125" s="31"/>
      <c r="AD125" s="31"/>
      <c r="AE125" s="31"/>
      <c r="AF125" s="31"/>
    </row>
    <row r="126" ht="15.75" customHeight="1">
      <c r="A126" s="31"/>
      <c r="B126" s="31"/>
      <c r="C126" s="31"/>
      <c r="D126" s="31"/>
      <c r="E126" s="31"/>
      <c r="F126" s="31"/>
      <c r="G126" s="31"/>
      <c r="H126" s="31"/>
      <c r="I126" s="31"/>
      <c r="J126" s="31"/>
      <c r="K126" s="31"/>
      <c r="L126" s="31"/>
      <c r="M126" s="31"/>
      <c r="N126" s="30"/>
      <c r="O126" s="31"/>
      <c r="P126" s="31"/>
      <c r="Q126" s="31"/>
      <c r="R126" s="31"/>
      <c r="S126" s="30"/>
      <c r="T126" s="31"/>
      <c r="U126" s="31"/>
      <c r="V126" s="31"/>
      <c r="W126" s="31"/>
      <c r="X126" s="31"/>
      <c r="Y126" s="31"/>
      <c r="Z126" s="31"/>
      <c r="AA126" s="31"/>
      <c r="AB126" s="31"/>
      <c r="AC126" s="31"/>
      <c r="AD126" s="31"/>
      <c r="AE126" s="31"/>
      <c r="AF126" s="31"/>
    </row>
    <row r="127" ht="15.75" customHeight="1">
      <c r="A127" s="31"/>
      <c r="B127" s="31"/>
      <c r="C127" s="31"/>
      <c r="D127" s="31"/>
      <c r="E127" s="31"/>
      <c r="F127" s="31"/>
      <c r="G127" s="31"/>
      <c r="H127" s="31"/>
      <c r="I127" s="31"/>
      <c r="J127" s="31"/>
      <c r="K127" s="31"/>
      <c r="L127" s="31"/>
      <c r="M127" s="31"/>
      <c r="N127" s="30"/>
      <c r="O127" s="31"/>
      <c r="P127" s="31"/>
      <c r="Q127" s="31"/>
      <c r="R127" s="31"/>
      <c r="S127" s="30"/>
      <c r="T127" s="31"/>
      <c r="U127" s="31"/>
      <c r="V127" s="31"/>
      <c r="W127" s="31"/>
      <c r="X127" s="31"/>
      <c r="Y127" s="31"/>
      <c r="Z127" s="31"/>
      <c r="AA127" s="31"/>
      <c r="AB127" s="31"/>
      <c r="AC127" s="31"/>
      <c r="AD127" s="31"/>
      <c r="AE127" s="31"/>
      <c r="AF127" s="31"/>
    </row>
    <row r="128" ht="15.75" customHeight="1">
      <c r="A128" s="31"/>
      <c r="B128" s="31"/>
      <c r="C128" s="31"/>
      <c r="D128" s="31"/>
      <c r="E128" s="31"/>
      <c r="F128" s="31"/>
      <c r="G128" s="31"/>
      <c r="H128" s="31"/>
      <c r="I128" s="31"/>
      <c r="J128" s="31"/>
      <c r="K128" s="31"/>
      <c r="L128" s="31"/>
      <c r="M128" s="31"/>
      <c r="N128" s="30"/>
      <c r="O128" s="31"/>
      <c r="P128" s="31"/>
      <c r="Q128" s="31"/>
      <c r="R128" s="31"/>
      <c r="S128" s="30"/>
      <c r="T128" s="31"/>
      <c r="U128" s="31"/>
      <c r="V128" s="31"/>
      <c r="W128" s="31"/>
      <c r="X128" s="31"/>
      <c r="Y128" s="31"/>
      <c r="Z128" s="31"/>
      <c r="AA128" s="31"/>
      <c r="AB128" s="31"/>
      <c r="AC128" s="31"/>
      <c r="AD128" s="31"/>
      <c r="AE128" s="31"/>
      <c r="AF128" s="31"/>
    </row>
    <row r="129" ht="15.75" customHeight="1">
      <c r="A129" s="31"/>
      <c r="B129" s="31"/>
      <c r="C129" s="31"/>
      <c r="D129" s="31"/>
      <c r="E129" s="31"/>
      <c r="F129" s="31"/>
      <c r="G129" s="31"/>
      <c r="H129" s="31"/>
      <c r="I129" s="31"/>
      <c r="J129" s="31"/>
      <c r="K129" s="31"/>
      <c r="L129" s="31"/>
      <c r="M129" s="31"/>
      <c r="N129" s="30"/>
      <c r="O129" s="31"/>
      <c r="P129" s="31"/>
      <c r="Q129" s="31"/>
      <c r="R129" s="31"/>
      <c r="S129" s="30"/>
      <c r="T129" s="31"/>
      <c r="U129" s="31"/>
      <c r="V129" s="31"/>
      <c r="W129" s="31"/>
      <c r="X129" s="31"/>
      <c r="Y129" s="31"/>
      <c r="Z129" s="31"/>
      <c r="AA129" s="31"/>
      <c r="AB129" s="31"/>
      <c r="AC129" s="31"/>
      <c r="AD129" s="31"/>
      <c r="AE129" s="31"/>
      <c r="AF129" s="31"/>
    </row>
    <row r="130" ht="15.75" customHeight="1">
      <c r="A130" s="31"/>
      <c r="B130" s="31"/>
      <c r="C130" s="31"/>
      <c r="D130" s="31"/>
      <c r="E130" s="31"/>
      <c r="F130" s="31"/>
      <c r="G130" s="31"/>
      <c r="H130" s="31"/>
      <c r="I130" s="31"/>
      <c r="J130" s="31"/>
      <c r="K130" s="31"/>
      <c r="L130" s="31"/>
      <c r="M130" s="31"/>
      <c r="N130" s="30"/>
      <c r="O130" s="31"/>
      <c r="P130" s="31"/>
      <c r="Q130" s="31"/>
      <c r="R130" s="31"/>
      <c r="S130" s="30"/>
      <c r="T130" s="31"/>
      <c r="U130" s="31"/>
      <c r="V130" s="31"/>
      <c r="W130" s="31"/>
      <c r="X130" s="31"/>
      <c r="Y130" s="31"/>
      <c r="Z130" s="31"/>
      <c r="AA130" s="31"/>
      <c r="AB130" s="31"/>
      <c r="AC130" s="31"/>
      <c r="AD130" s="31"/>
      <c r="AE130" s="31"/>
      <c r="AF130" s="31"/>
    </row>
    <row r="131" ht="15.75" customHeight="1">
      <c r="A131" s="31"/>
      <c r="B131" s="31"/>
      <c r="C131" s="31"/>
      <c r="D131" s="31"/>
      <c r="E131" s="31"/>
      <c r="F131" s="31"/>
      <c r="G131" s="31"/>
      <c r="H131" s="31"/>
      <c r="I131" s="31"/>
      <c r="J131" s="31"/>
      <c r="K131" s="31"/>
      <c r="L131" s="31"/>
      <c r="M131" s="31"/>
      <c r="N131" s="30"/>
      <c r="O131" s="31"/>
      <c r="P131" s="31"/>
      <c r="Q131" s="31"/>
      <c r="R131" s="31"/>
      <c r="S131" s="30"/>
      <c r="T131" s="31"/>
      <c r="U131" s="31"/>
      <c r="V131" s="31"/>
      <c r="W131" s="31"/>
      <c r="X131" s="31"/>
      <c r="Y131" s="31"/>
      <c r="Z131" s="31"/>
      <c r="AA131" s="31"/>
      <c r="AB131" s="31"/>
      <c r="AC131" s="31"/>
      <c r="AD131" s="31"/>
      <c r="AE131" s="31"/>
      <c r="AF131" s="31"/>
    </row>
    <row r="132" ht="15.75" customHeight="1">
      <c r="A132" s="31"/>
      <c r="B132" s="31"/>
      <c r="C132" s="31"/>
      <c r="D132" s="31"/>
      <c r="E132" s="31"/>
      <c r="F132" s="31"/>
      <c r="G132" s="31"/>
      <c r="H132" s="31"/>
      <c r="I132" s="31"/>
      <c r="J132" s="31"/>
      <c r="K132" s="31"/>
      <c r="L132" s="31"/>
      <c r="M132" s="31"/>
      <c r="N132" s="30"/>
      <c r="O132" s="31"/>
      <c r="P132" s="31"/>
      <c r="Q132" s="31"/>
      <c r="R132" s="31"/>
      <c r="S132" s="30"/>
      <c r="T132" s="31"/>
      <c r="U132" s="31"/>
      <c r="V132" s="31"/>
      <c r="W132" s="31"/>
      <c r="X132" s="31"/>
      <c r="Y132" s="31"/>
      <c r="Z132" s="31"/>
      <c r="AA132" s="31"/>
      <c r="AB132" s="31"/>
      <c r="AC132" s="31"/>
      <c r="AD132" s="31"/>
      <c r="AE132" s="31"/>
      <c r="AF132" s="31"/>
    </row>
    <row r="133" ht="15.75" customHeight="1">
      <c r="A133" s="31"/>
      <c r="B133" s="31"/>
      <c r="C133" s="31"/>
      <c r="D133" s="31"/>
      <c r="E133" s="31"/>
      <c r="F133" s="31"/>
      <c r="G133" s="31"/>
      <c r="H133" s="31"/>
      <c r="I133" s="31"/>
      <c r="J133" s="31"/>
      <c r="K133" s="31"/>
      <c r="L133" s="31"/>
      <c r="M133" s="31"/>
      <c r="N133" s="30"/>
      <c r="O133" s="31"/>
      <c r="P133" s="31"/>
      <c r="Q133" s="31"/>
      <c r="R133" s="31"/>
      <c r="S133" s="30"/>
      <c r="T133" s="31"/>
      <c r="U133" s="31"/>
      <c r="V133" s="31"/>
      <c r="W133" s="31"/>
      <c r="X133" s="31"/>
      <c r="Y133" s="31"/>
      <c r="Z133" s="31"/>
      <c r="AA133" s="31"/>
      <c r="AB133" s="31"/>
      <c r="AC133" s="31"/>
      <c r="AD133" s="31"/>
      <c r="AE133" s="31"/>
      <c r="AF133" s="31"/>
    </row>
    <row r="134" ht="15.75" customHeight="1">
      <c r="A134" s="31"/>
      <c r="B134" s="31"/>
      <c r="C134" s="31"/>
      <c r="D134" s="31"/>
      <c r="E134" s="31"/>
      <c r="F134" s="31"/>
      <c r="G134" s="31"/>
      <c r="H134" s="31"/>
      <c r="I134" s="31"/>
      <c r="J134" s="31"/>
      <c r="K134" s="31"/>
      <c r="L134" s="31"/>
      <c r="M134" s="31"/>
      <c r="N134" s="30"/>
      <c r="O134" s="31"/>
      <c r="P134" s="31"/>
      <c r="Q134" s="31"/>
      <c r="R134" s="31"/>
      <c r="S134" s="30"/>
      <c r="T134" s="31"/>
      <c r="U134" s="31"/>
      <c r="V134" s="31"/>
      <c r="W134" s="31"/>
      <c r="X134" s="31"/>
      <c r="Y134" s="31"/>
      <c r="Z134" s="31"/>
      <c r="AA134" s="31"/>
      <c r="AB134" s="31"/>
      <c r="AC134" s="31"/>
      <c r="AD134" s="31"/>
      <c r="AE134" s="31"/>
      <c r="AF134" s="31"/>
    </row>
    <row r="135" ht="15.75" customHeight="1">
      <c r="A135" s="31"/>
      <c r="B135" s="31"/>
      <c r="C135" s="31"/>
      <c r="D135" s="31"/>
      <c r="E135" s="31"/>
      <c r="F135" s="31"/>
      <c r="G135" s="31"/>
      <c r="H135" s="31"/>
      <c r="I135" s="31"/>
      <c r="J135" s="31"/>
      <c r="K135" s="31"/>
      <c r="L135" s="31"/>
      <c r="M135" s="31"/>
      <c r="N135" s="30"/>
      <c r="O135" s="31"/>
      <c r="P135" s="31"/>
      <c r="Q135" s="31"/>
      <c r="R135" s="31"/>
      <c r="S135" s="30"/>
      <c r="T135" s="31"/>
      <c r="U135" s="31"/>
      <c r="V135" s="31"/>
      <c r="W135" s="31"/>
      <c r="X135" s="31"/>
      <c r="Y135" s="31"/>
      <c r="Z135" s="31"/>
      <c r="AA135" s="31"/>
      <c r="AB135" s="31"/>
      <c r="AC135" s="31"/>
      <c r="AD135" s="31"/>
      <c r="AE135" s="31"/>
      <c r="AF135" s="31"/>
    </row>
    <row r="136" ht="15.75" customHeight="1">
      <c r="A136" s="31"/>
      <c r="B136" s="31"/>
      <c r="C136" s="31"/>
      <c r="D136" s="31"/>
      <c r="E136" s="31"/>
      <c r="F136" s="31"/>
      <c r="G136" s="31"/>
      <c r="H136" s="31"/>
      <c r="I136" s="31"/>
      <c r="J136" s="31"/>
      <c r="K136" s="31"/>
      <c r="L136" s="31"/>
      <c r="M136" s="31"/>
      <c r="N136" s="30"/>
      <c r="O136" s="31"/>
      <c r="P136" s="31"/>
      <c r="Q136" s="31"/>
      <c r="R136" s="31"/>
      <c r="S136" s="30"/>
      <c r="T136" s="31"/>
      <c r="U136" s="31"/>
      <c r="V136" s="31"/>
      <c r="W136" s="31"/>
      <c r="X136" s="31"/>
      <c r="Y136" s="31"/>
      <c r="Z136" s="31"/>
      <c r="AA136" s="31"/>
      <c r="AB136" s="31"/>
      <c r="AC136" s="31"/>
      <c r="AD136" s="31"/>
      <c r="AE136" s="31"/>
      <c r="AF136" s="31"/>
    </row>
    <row r="137" ht="15.75" customHeight="1">
      <c r="A137" s="31"/>
      <c r="B137" s="31"/>
      <c r="C137" s="31"/>
      <c r="D137" s="31"/>
      <c r="E137" s="31"/>
      <c r="F137" s="31"/>
      <c r="G137" s="31"/>
      <c r="H137" s="31"/>
      <c r="I137" s="31"/>
      <c r="J137" s="31"/>
      <c r="K137" s="31"/>
      <c r="L137" s="31"/>
      <c r="M137" s="31"/>
      <c r="N137" s="30"/>
      <c r="O137" s="31"/>
      <c r="P137" s="31"/>
      <c r="Q137" s="31"/>
      <c r="R137" s="31"/>
      <c r="S137" s="30"/>
      <c r="T137" s="31"/>
      <c r="U137" s="31"/>
      <c r="V137" s="31"/>
      <c r="W137" s="31"/>
      <c r="X137" s="31"/>
      <c r="Y137" s="31"/>
      <c r="Z137" s="31"/>
      <c r="AA137" s="31"/>
      <c r="AB137" s="31"/>
      <c r="AC137" s="31"/>
      <c r="AD137" s="31"/>
      <c r="AE137" s="31"/>
      <c r="AF137" s="31"/>
    </row>
    <row r="138" ht="15.75" customHeight="1">
      <c r="A138" s="31"/>
      <c r="B138" s="31"/>
      <c r="C138" s="31"/>
      <c r="D138" s="31"/>
      <c r="E138" s="31"/>
      <c r="F138" s="31"/>
      <c r="G138" s="31"/>
      <c r="H138" s="31"/>
      <c r="I138" s="31"/>
      <c r="J138" s="31"/>
      <c r="K138" s="31"/>
      <c r="L138" s="31"/>
      <c r="M138" s="31"/>
      <c r="N138" s="30"/>
      <c r="O138" s="31"/>
      <c r="P138" s="31"/>
      <c r="Q138" s="31"/>
      <c r="R138" s="31"/>
      <c r="S138" s="30"/>
      <c r="T138" s="31"/>
      <c r="U138" s="31"/>
      <c r="V138" s="31"/>
      <c r="W138" s="31"/>
      <c r="X138" s="31"/>
      <c r="Y138" s="31"/>
      <c r="Z138" s="31"/>
      <c r="AA138" s="31"/>
      <c r="AB138" s="31"/>
      <c r="AC138" s="31"/>
      <c r="AD138" s="31"/>
      <c r="AE138" s="31"/>
      <c r="AF138" s="31"/>
    </row>
    <row r="139" ht="15.75" customHeight="1">
      <c r="A139" s="31"/>
      <c r="B139" s="31"/>
      <c r="C139" s="31"/>
      <c r="D139" s="31"/>
      <c r="E139" s="31"/>
      <c r="F139" s="31"/>
      <c r="G139" s="31"/>
      <c r="H139" s="31"/>
      <c r="I139" s="31"/>
      <c r="J139" s="31"/>
      <c r="K139" s="31"/>
      <c r="L139" s="31"/>
      <c r="M139" s="31"/>
      <c r="N139" s="30"/>
      <c r="O139" s="31"/>
      <c r="P139" s="31"/>
      <c r="Q139" s="31"/>
      <c r="R139" s="31"/>
      <c r="S139" s="30"/>
      <c r="T139" s="31"/>
      <c r="U139" s="31"/>
      <c r="V139" s="31"/>
      <c r="W139" s="31"/>
      <c r="X139" s="31"/>
      <c r="Y139" s="31"/>
      <c r="Z139" s="31"/>
      <c r="AA139" s="31"/>
      <c r="AB139" s="31"/>
      <c r="AC139" s="31"/>
      <c r="AD139" s="31"/>
      <c r="AE139" s="31"/>
      <c r="AF139" s="31"/>
    </row>
    <row r="140" ht="15.75" customHeight="1">
      <c r="A140" s="31"/>
      <c r="B140" s="31"/>
      <c r="C140" s="31"/>
      <c r="D140" s="31"/>
      <c r="E140" s="31"/>
      <c r="F140" s="31"/>
      <c r="G140" s="31"/>
      <c r="H140" s="31"/>
      <c r="I140" s="31"/>
      <c r="J140" s="31"/>
      <c r="K140" s="31"/>
      <c r="L140" s="31"/>
      <c r="M140" s="31"/>
      <c r="N140" s="30"/>
      <c r="O140" s="31"/>
      <c r="P140" s="31"/>
      <c r="Q140" s="31"/>
      <c r="R140" s="31"/>
      <c r="S140" s="30"/>
      <c r="T140" s="31"/>
      <c r="U140" s="31"/>
      <c r="V140" s="31"/>
      <c r="W140" s="31"/>
      <c r="X140" s="31"/>
      <c r="Y140" s="31"/>
      <c r="Z140" s="31"/>
      <c r="AA140" s="31"/>
      <c r="AB140" s="31"/>
      <c r="AC140" s="31"/>
      <c r="AD140" s="31"/>
      <c r="AE140" s="31"/>
      <c r="AF140" s="31"/>
    </row>
    <row r="141" ht="15.75" customHeight="1">
      <c r="A141" s="31"/>
      <c r="B141" s="31"/>
      <c r="C141" s="31"/>
      <c r="D141" s="31"/>
      <c r="E141" s="31"/>
      <c r="F141" s="31"/>
      <c r="G141" s="31"/>
      <c r="H141" s="31"/>
      <c r="I141" s="31"/>
      <c r="J141" s="31"/>
      <c r="K141" s="31"/>
      <c r="L141" s="31"/>
      <c r="M141" s="31"/>
      <c r="N141" s="30"/>
      <c r="O141" s="31"/>
      <c r="P141" s="31"/>
      <c r="Q141" s="31"/>
      <c r="R141" s="31"/>
      <c r="S141" s="30"/>
      <c r="T141" s="31"/>
      <c r="U141" s="31"/>
      <c r="V141" s="31"/>
      <c r="W141" s="31"/>
      <c r="X141" s="31"/>
      <c r="Y141" s="31"/>
      <c r="Z141" s="31"/>
      <c r="AA141" s="31"/>
      <c r="AB141" s="31"/>
      <c r="AC141" s="31"/>
      <c r="AD141" s="31"/>
      <c r="AE141" s="31"/>
      <c r="AF141" s="31"/>
    </row>
    <row r="142" ht="15.75" customHeight="1">
      <c r="A142" s="31"/>
      <c r="B142" s="31"/>
      <c r="C142" s="31"/>
      <c r="D142" s="31"/>
      <c r="E142" s="31"/>
      <c r="F142" s="31"/>
      <c r="G142" s="31"/>
      <c r="H142" s="31"/>
      <c r="I142" s="31"/>
      <c r="J142" s="31"/>
      <c r="K142" s="31"/>
      <c r="L142" s="31"/>
      <c r="M142" s="31"/>
      <c r="N142" s="30"/>
      <c r="O142" s="31"/>
      <c r="P142" s="31"/>
      <c r="Q142" s="31"/>
      <c r="R142" s="31"/>
      <c r="S142" s="30"/>
      <c r="T142" s="31"/>
      <c r="U142" s="31"/>
      <c r="V142" s="31"/>
      <c r="W142" s="31"/>
      <c r="X142" s="31"/>
      <c r="Y142" s="31"/>
      <c r="Z142" s="31"/>
      <c r="AA142" s="31"/>
      <c r="AB142" s="31"/>
      <c r="AC142" s="31"/>
      <c r="AD142" s="31"/>
      <c r="AE142" s="31"/>
      <c r="AF142" s="31"/>
    </row>
    <row r="143" ht="15.75" customHeight="1">
      <c r="A143" s="31"/>
      <c r="B143" s="31"/>
      <c r="C143" s="31"/>
      <c r="D143" s="31"/>
      <c r="E143" s="31"/>
      <c r="F143" s="31"/>
      <c r="G143" s="31"/>
      <c r="H143" s="31"/>
      <c r="I143" s="31"/>
      <c r="J143" s="31"/>
      <c r="K143" s="31"/>
      <c r="L143" s="31"/>
      <c r="M143" s="31"/>
      <c r="N143" s="30"/>
      <c r="O143" s="31"/>
      <c r="P143" s="31"/>
      <c r="Q143" s="31"/>
      <c r="R143" s="31"/>
      <c r="S143" s="30"/>
      <c r="T143" s="31"/>
      <c r="U143" s="31"/>
      <c r="V143" s="31"/>
      <c r="W143" s="31"/>
      <c r="X143" s="31"/>
      <c r="Y143" s="31"/>
      <c r="Z143" s="31"/>
      <c r="AA143" s="31"/>
      <c r="AB143" s="31"/>
      <c r="AC143" s="31"/>
      <c r="AD143" s="31"/>
      <c r="AE143" s="31"/>
      <c r="AF143" s="31"/>
    </row>
    <row r="144" ht="15.75" customHeight="1">
      <c r="A144" s="31"/>
      <c r="B144" s="31"/>
      <c r="C144" s="31"/>
      <c r="D144" s="31"/>
      <c r="E144" s="31"/>
      <c r="F144" s="31"/>
      <c r="G144" s="31"/>
      <c r="H144" s="31"/>
      <c r="I144" s="31"/>
      <c r="J144" s="31"/>
      <c r="K144" s="31"/>
      <c r="L144" s="31"/>
      <c r="M144" s="31"/>
      <c r="N144" s="30"/>
      <c r="O144" s="31"/>
      <c r="P144" s="31"/>
      <c r="Q144" s="31"/>
      <c r="R144" s="31"/>
      <c r="S144" s="30"/>
      <c r="T144" s="31"/>
      <c r="U144" s="31"/>
      <c r="V144" s="31"/>
      <c r="W144" s="31"/>
      <c r="X144" s="31"/>
      <c r="Y144" s="31"/>
      <c r="Z144" s="31"/>
      <c r="AA144" s="31"/>
      <c r="AB144" s="31"/>
      <c r="AC144" s="31"/>
      <c r="AD144" s="31"/>
      <c r="AE144" s="31"/>
      <c r="AF144" s="31"/>
    </row>
    <row r="145" ht="15.75" customHeight="1">
      <c r="A145" s="31"/>
      <c r="B145" s="31"/>
      <c r="C145" s="31"/>
      <c r="D145" s="31"/>
      <c r="E145" s="31"/>
      <c r="F145" s="31"/>
      <c r="G145" s="31"/>
      <c r="H145" s="31"/>
      <c r="I145" s="31"/>
      <c r="J145" s="31"/>
      <c r="K145" s="31"/>
      <c r="L145" s="31"/>
      <c r="M145" s="31"/>
      <c r="N145" s="30"/>
      <c r="O145" s="31"/>
      <c r="P145" s="31"/>
      <c r="Q145" s="31"/>
      <c r="R145" s="31"/>
      <c r="S145" s="30"/>
      <c r="T145" s="31"/>
      <c r="U145" s="31"/>
      <c r="V145" s="31"/>
      <c r="W145" s="31"/>
      <c r="X145" s="31"/>
      <c r="Y145" s="31"/>
      <c r="Z145" s="31"/>
      <c r="AA145" s="31"/>
      <c r="AB145" s="31"/>
      <c r="AC145" s="31"/>
      <c r="AD145" s="31"/>
      <c r="AE145" s="31"/>
      <c r="AF145" s="31"/>
    </row>
    <row r="146" ht="15.75" customHeight="1">
      <c r="A146" s="31"/>
      <c r="B146" s="31"/>
      <c r="C146" s="31"/>
      <c r="D146" s="31"/>
      <c r="E146" s="31"/>
      <c r="F146" s="31"/>
      <c r="G146" s="31"/>
      <c r="H146" s="31"/>
      <c r="I146" s="31"/>
      <c r="J146" s="31"/>
      <c r="K146" s="31"/>
      <c r="L146" s="31"/>
      <c r="M146" s="31"/>
      <c r="N146" s="30"/>
      <c r="O146" s="31"/>
      <c r="P146" s="31"/>
      <c r="Q146" s="31"/>
      <c r="R146" s="31"/>
      <c r="S146" s="30"/>
      <c r="T146" s="31"/>
      <c r="U146" s="31"/>
      <c r="V146" s="31"/>
      <c r="W146" s="31"/>
      <c r="X146" s="31"/>
      <c r="Y146" s="31"/>
      <c r="Z146" s="31"/>
      <c r="AA146" s="31"/>
      <c r="AB146" s="31"/>
      <c r="AC146" s="31"/>
      <c r="AD146" s="31"/>
      <c r="AE146" s="31"/>
      <c r="AF146" s="31"/>
    </row>
    <row r="147" ht="15.75" customHeight="1">
      <c r="A147" s="31"/>
      <c r="B147" s="31"/>
      <c r="C147" s="31"/>
      <c r="D147" s="31"/>
      <c r="E147" s="31"/>
      <c r="F147" s="31"/>
      <c r="G147" s="31"/>
      <c r="H147" s="31"/>
      <c r="I147" s="31"/>
      <c r="J147" s="31"/>
      <c r="K147" s="31"/>
      <c r="L147" s="31"/>
      <c r="M147" s="31"/>
      <c r="N147" s="30"/>
      <c r="O147" s="31"/>
      <c r="P147" s="31"/>
      <c r="Q147" s="31"/>
      <c r="R147" s="31"/>
      <c r="S147" s="30"/>
      <c r="T147" s="31"/>
      <c r="U147" s="31"/>
      <c r="V147" s="31"/>
      <c r="W147" s="31"/>
      <c r="X147" s="31"/>
      <c r="Y147" s="31"/>
      <c r="Z147" s="31"/>
      <c r="AA147" s="31"/>
      <c r="AB147" s="31"/>
      <c r="AC147" s="31"/>
      <c r="AD147" s="31"/>
      <c r="AE147" s="31"/>
      <c r="AF147" s="31"/>
    </row>
    <row r="148" ht="15.75" customHeight="1">
      <c r="A148" s="31"/>
      <c r="B148" s="31"/>
      <c r="C148" s="31"/>
      <c r="D148" s="31"/>
      <c r="E148" s="31"/>
      <c r="F148" s="31"/>
      <c r="G148" s="31"/>
      <c r="H148" s="31"/>
      <c r="I148" s="31"/>
      <c r="J148" s="31"/>
      <c r="K148" s="31"/>
      <c r="L148" s="31"/>
      <c r="M148" s="31"/>
      <c r="N148" s="30"/>
      <c r="O148" s="31"/>
      <c r="P148" s="31"/>
      <c r="Q148" s="31"/>
      <c r="R148" s="31"/>
      <c r="S148" s="30"/>
      <c r="T148" s="31"/>
      <c r="U148" s="31"/>
      <c r="V148" s="31"/>
      <c r="W148" s="31"/>
      <c r="X148" s="31"/>
      <c r="Y148" s="31"/>
      <c r="Z148" s="31"/>
      <c r="AA148" s="31"/>
      <c r="AB148" s="31"/>
      <c r="AC148" s="31"/>
      <c r="AD148" s="31"/>
      <c r="AE148" s="31"/>
      <c r="AF148" s="31"/>
    </row>
    <row r="149" ht="15.75" customHeight="1">
      <c r="A149" s="31"/>
      <c r="B149" s="31"/>
      <c r="C149" s="31"/>
      <c r="D149" s="31"/>
      <c r="E149" s="31"/>
      <c r="F149" s="31"/>
      <c r="G149" s="31"/>
      <c r="H149" s="31"/>
      <c r="I149" s="31"/>
      <c r="J149" s="31"/>
      <c r="K149" s="31"/>
      <c r="L149" s="31"/>
      <c r="M149" s="31"/>
      <c r="N149" s="30"/>
      <c r="O149" s="31"/>
      <c r="P149" s="31"/>
      <c r="Q149" s="31"/>
      <c r="R149" s="31"/>
      <c r="S149" s="30"/>
      <c r="T149" s="31"/>
      <c r="U149" s="31"/>
      <c r="V149" s="31"/>
      <c r="W149" s="31"/>
      <c r="X149" s="31"/>
      <c r="Y149" s="31"/>
      <c r="Z149" s="31"/>
      <c r="AA149" s="31"/>
      <c r="AB149" s="31"/>
      <c r="AC149" s="31"/>
      <c r="AD149" s="31"/>
      <c r="AE149" s="31"/>
      <c r="AF149" s="31"/>
    </row>
    <row r="150" ht="15.75" customHeight="1">
      <c r="A150" s="31"/>
      <c r="B150" s="31"/>
      <c r="C150" s="31"/>
      <c r="D150" s="31"/>
      <c r="E150" s="31"/>
      <c r="F150" s="31"/>
      <c r="G150" s="31"/>
      <c r="H150" s="31"/>
      <c r="I150" s="31"/>
      <c r="J150" s="31"/>
      <c r="K150" s="31"/>
      <c r="L150" s="31"/>
      <c r="M150" s="31"/>
      <c r="N150" s="30"/>
      <c r="O150" s="31"/>
      <c r="P150" s="31"/>
      <c r="Q150" s="31"/>
      <c r="R150" s="31"/>
      <c r="S150" s="30"/>
      <c r="T150" s="31"/>
      <c r="U150" s="31"/>
      <c r="V150" s="31"/>
      <c r="W150" s="31"/>
      <c r="X150" s="31"/>
      <c r="Y150" s="31"/>
      <c r="Z150" s="31"/>
      <c r="AA150" s="31"/>
      <c r="AB150" s="31"/>
      <c r="AC150" s="31"/>
      <c r="AD150" s="31"/>
      <c r="AE150" s="31"/>
      <c r="AF150" s="31"/>
    </row>
    <row r="151" ht="15.75" customHeight="1">
      <c r="A151" s="31"/>
      <c r="B151" s="31"/>
      <c r="C151" s="31"/>
      <c r="D151" s="31"/>
      <c r="E151" s="31"/>
      <c r="F151" s="31"/>
      <c r="G151" s="31"/>
      <c r="H151" s="31"/>
      <c r="I151" s="31"/>
      <c r="J151" s="31"/>
      <c r="K151" s="31"/>
      <c r="L151" s="31"/>
      <c r="M151" s="31"/>
      <c r="N151" s="30"/>
      <c r="O151" s="31"/>
      <c r="P151" s="31"/>
      <c r="Q151" s="31"/>
      <c r="R151" s="31"/>
      <c r="S151" s="30"/>
      <c r="T151" s="31"/>
      <c r="U151" s="31"/>
      <c r="V151" s="31"/>
      <c r="W151" s="31"/>
      <c r="X151" s="31"/>
      <c r="Y151" s="31"/>
      <c r="Z151" s="31"/>
      <c r="AA151" s="31"/>
      <c r="AB151" s="31"/>
      <c r="AC151" s="31"/>
      <c r="AD151" s="31"/>
      <c r="AE151" s="31"/>
      <c r="AF151" s="31"/>
    </row>
    <row r="152" ht="15.75" customHeight="1">
      <c r="A152" s="31"/>
      <c r="B152" s="31"/>
      <c r="C152" s="31"/>
      <c r="D152" s="31"/>
      <c r="E152" s="31"/>
      <c r="F152" s="31"/>
      <c r="G152" s="31"/>
      <c r="H152" s="31"/>
      <c r="I152" s="31"/>
      <c r="J152" s="31"/>
      <c r="K152" s="31"/>
      <c r="L152" s="31"/>
      <c r="M152" s="31"/>
      <c r="N152" s="30"/>
      <c r="O152" s="31"/>
      <c r="P152" s="31"/>
      <c r="Q152" s="31"/>
      <c r="R152" s="31"/>
      <c r="S152" s="30"/>
      <c r="T152" s="31"/>
      <c r="U152" s="31"/>
      <c r="V152" s="31"/>
      <c r="W152" s="31"/>
      <c r="X152" s="31"/>
      <c r="Y152" s="31"/>
      <c r="Z152" s="31"/>
      <c r="AA152" s="31"/>
      <c r="AB152" s="31"/>
      <c r="AC152" s="31"/>
      <c r="AD152" s="31"/>
      <c r="AE152" s="31"/>
      <c r="AF152" s="31"/>
    </row>
    <row r="153" ht="15.75" customHeight="1">
      <c r="A153" s="31"/>
      <c r="B153" s="31"/>
      <c r="C153" s="31"/>
      <c r="D153" s="31"/>
      <c r="E153" s="31"/>
      <c r="F153" s="31"/>
      <c r="G153" s="31"/>
      <c r="H153" s="31"/>
      <c r="I153" s="31"/>
      <c r="J153" s="31"/>
      <c r="K153" s="31"/>
      <c r="L153" s="31"/>
      <c r="M153" s="31"/>
      <c r="N153" s="30"/>
      <c r="O153" s="31"/>
      <c r="P153" s="31"/>
      <c r="Q153" s="31"/>
      <c r="R153" s="31"/>
      <c r="S153" s="30"/>
      <c r="T153" s="31"/>
      <c r="U153" s="31"/>
      <c r="V153" s="31"/>
      <c r="W153" s="31"/>
      <c r="X153" s="31"/>
      <c r="Y153" s="31"/>
      <c r="Z153" s="31"/>
      <c r="AA153" s="31"/>
      <c r="AB153" s="31"/>
      <c r="AC153" s="31"/>
      <c r="AD153" s="31"/>
      <c r="AE153" s="31"/>
      <c r="AF153" s="31"/>
    </row>
    <row r="154" ht="15.75" customHeight="1">
      <c r="A154" s="31"/>
      <c r="B154" s="31"/>
      <c r="C154" s="31"/>
      <c r="D154" s="31"/>
      <c r="E154" s="31"/>
      <c r="F154" s="31"/>
      <c r="G154" s="31"/>
      <c r="H154" s="31"/>
      <c r="I154" s="31"/>
      <c r="J154" s="31"/>
      <c r="K154" s="31"/>
      <c r="L154" s="31"/>
      <c r="M154" s="31"/>
      <c r="N154" s="30"/>
      <c r="O154" s="31"/>
      <c r="P154" s="31"/>
      <c r="Q154" s="31"/>
      <c r="R154" s="31"/>
      <c r="S154" s="30"/>
      <c r="T154" s="31"/>
      <c r="U154" s="31"/>
      <c r="V154" s="31"/>
      <c r="W154" s="31"/>
      <c r="X154" s="31"/>
      <c r="Y154" s="31"/>
      <c r="Z154" s="31"/>
      <c r="AA154" s="31"/>
      <c r="AB154" s="31"/>
      <c r="AC154" s="31"/>
      <c r="AD154" s="31"/>
      <c r="AE154" s="31"/>
      <c r="AF154" s="31"/>
    </row>
    <row r="155" ht="15.75" customHeight="1">
      <c r="A155" s="31"/>
      <c r="B155" s="31"/>
      <c r="C155" s="31"/>
      <c r="D155" s="31"/>
      <c r="E155" s="31"/>
      <c r="F155" s="31"/>
      <c r="G155" s="31"/>
      <c r="H155" s="31"/>
      <c r="I155" s="31"/>
      <c r="J155" s="31"/>
      <c r="K155" s="31"/>
      <c r="L155" s="31"/>
      <c r="M155" s="31"/>
      <c r="N155" s="30"/>
      <c r="O155" s="31"/>
      <c r="P155" s="31"/>
      <c r="Q155" s="31"/>
      <c r="R155" s="31"/>
      <c r="S155" s="30"/>
      <c r="T155" s="31"/>
      <c r="U155" s="31"/>
      <c r="V155" s="31"/>
      <c r="W155" s="31"/>
      <c r="X155" s="31"/>
      <c r="Y155" s="31"/>
      <c r="Z155" s="31"/>
      <c r="AA155" s="31"/>
      <c r="AB155" s="31"/>
      <c r="AC155" s="31"/>
      <c r="AD155" s="31"/>
      <c r="AE155" s="31"/>
      <c r="AF155" s="31"/>
    </row>
    <row r="156" ht="15.75" customHeight="1">
      <c r="A156" s="31"/>
      <c r="B156" s="31"/>
      <c r="C156" s="31"/>
      <c r="D156" s="31"/>
      <c r="E156" s="31"/>
      <c r="F156" s="31"/>
      <c r="G156" s="31"/>
      <c r="H156" s="31"/>
      <c r="I156" s="31"/>
      <c r="J156" s="31"/>
      <c r="K156" s="31"/>
      <c r="L156" s="31"/>
      <c r="M156" s="31"/>
      <c r="N156" s="30"/>
      <c r="O156" s="31"/>
      <c r="P156" s="31"/>
      <c r="Q156" s="31"/>
      <c r="R156" s="31"/>
      <c r="S156" s="30"/>
      <c r="T156" s="31"/>
      <c r="U156" s="31"/>
      <c r="V156" s="31"/>
      <c r="W156" s="31"/>
      <c r="X156" s="31"/>
      <c r="Y156" s="31"/>
      <c r="Z156" s="31"/>
      <c r="AA156" s="31"/>
      <c r="AB156" s="31"/>
      <c r="AC156" s="31"/>
      <c r="AD156" s="31"/>
      <c r="AE156" s="31"/>
      <c r="AF156" s="31"/>
    </row>
    <row r="157" ht="15.75" customHeight="1">
      <c r="A157" s="31"/>
      <c r="B157" s="31"/>
      <c r="C157" s="31"/>
      <c r="D157" s="31"/>
      <c r="E157" s="31"/>
      <c r="F157" s="31"/>
      <c r="G157" s="31"/>
      <c r="H157" s="31"/>
      <c r="I157" s="31"/>
      <c r="J157" s="31"/>
      <c r="K157" s="31"/>
      <c r="L157" s="31"/>
      <c r="M157" s="31"/>
      <c r="N157" s="30"/>
      <c r="O157" s="31"/>
      <c r="P157" s="31"/>
      <c r="Q157" s="31"/>
      <c r="R157" s="31"/>
      <c r="S157" s="30"/>
      <c r="T157" s="31"/>
      <c r="U157" s="31"/>
      <c r="V157" s="31"/>
      <c r="W157" s="31"/>
      <c r="X157" s="31"/>
      <c r="Y157" s="31"/>
      <c r="Z157" s="31"/>
      <c r="AA157" s="31"/>
      <c r="AB157" s="31"/>
      <c r="AC157" s="31"/>
      <c r="AD157" s="31"/>
      <c r="AE157" s="31"/>
      <c r="AF157" s="31"/>
    </row>
    <row r="158" ht="15.75" customHeight="1">
      <c r="A158" s="31"/>
      <c r="B158" s="31"/>
      <c r="C158" s="31"/>
      <c r="D158" s="31"/>
      <c r="E158" s="31"/>
      <c r="F158" s="31"/>
      <c r="G158" s="31"/>
      <c r="H158" s="31"/>
      <c r="I158" s="31"/>
      <c r="J158" s="31"/>
      <c r="K158" s="31"/>
      <c r="L158" s="31"/>
      <c r="M158" s="31"/>
      <c r="N158" s="30"/>
      <c r="O158" s="31"/>
      <c r="P158" s="31"/>
      <c r="Q158" s="31"/>
      <c r="R158" s="31"/>
      <c r="S158" s="30"/>
      <c r="T158" s="31"/>
      <c r="U158" s="31"/>
      <c r="V158" s="31"/>
      <c r="W158" s="31"/>
      <c r="X158" s="31"/>
      <c r="Y158" s="31"/>
      <c r="Z158" s="31"/>
      <c r="AA158" s="31"/>
      <c r="AB158" s="31"/>
      <c r="AC158" s="31"/>
      <c r="AD158" s="31"/>
      <c r="AE158" s="31"/>
      <c r="AF158" s="31"/>
    </row>
    <row r="159" ht="15.75" customHeight="1">
      <c r="A159" s="31"/>
      <c r="B159" s="31"/>
      <c r="C159" s="31"/>
      <c r="D159" s="31"/>
      <c r="E159" s="31"/>
      <c r="F159" s="31"/>
      <c r="G159" s="31"/>
      <c r="H159" s="31"/>
      <c r="I159" s="31"/>
      <c r="J159" s="31"/>
      <c r="K159" s="31"/>
      <c r="L159" s="31"/>
      <c r="M159" s="31"/>
      <c r="N159" s="30"/>
      <c r="O159" s="31"/>
      <c r="P159" s="31"/>
      <c r="Q159" s="31"/>
      <c r="R159" s="31"/>
      <c r="S159" s="30"/>
      <c r="T159" s="31"/>
      <c r="U159" s="31"/>
      <c r="V159" s="31"/>
      <c r="W159" s="31"/>
      <c r="X159" s="31"/>
      <c r="Y159" s="31"/>
      <c r="Z159" s="31"/>
      <c r="AA159" s="31"/>
      <c r="AB159" s="31"/>
      <c r="AC159" s="31"/>
      <c r="AD159" s="31"/>
      <c r="AE159" s="31"/>
      <c r="AF159" s="31"/>
    </row>
    <row r="160" ht="15.75" customHeight="1">
      <c r="A160" s="31"/>
      <c r="B160" s="31"/>
      <c r="C160" s="31"/>
      <c r="D160" s="31"/>
      <c r="E160" s="31"/>
      <c r="F160" s="31"/>
      <c r="G160" s="31"/>
      <c r="H160" s="31"/>
      <c r="I160" s="31"/>
      <c r="J160" s="31"/>
      <c r="K160" s="31"/>
      <c r="L160" s="31"/>
      <c r="M160" s="31"/>
      <c r="N160" s="30"/>
      <c r="O160" s="31"/>
      <c r="P160" s="31"/>
      <c r="Q160" s="31"/>
      <c r="R160" s="31"/>
      <c r="S160" s="30"/>
      <c r="T160" s="31"/>
      <c r="U160" s="31"/>
      <c r="V160" s="31"/>
      <c r="W160" s="31"/>
      <c r="X160" s="31"/>
      <c r="Y160" s="31"/>
      <c r="Z160" s="31"/>
      <c r="AA160" s="31"/>
      <c r="AB160" s="31"/>
      <c r="AC160" s="31"/>
      <c r="AD160" s="31"/>
      <c r="AE160" s="31"/>
      <c r="AF160" s="31"/>
    </row>
    <row r="161" ht="15.75" customHeight="1">
      <c r="A161" s="31"/>
      <c r="B161" s="31"/>
      <c r="C161" s="31"/>
      <c r="D161" s="31"/>
      <c r="E161" s="31"/>
      <c r="F161" s="31"/>
      <c r="G161" s="31"/>
      <c r="H161" s="31"/>
      <c r="I161" s="31"/>
      <c r="J161" s="31"/>
      <c r="K161" s="31"/>
      <c r="L161" s="31"/>
      <c r="M161" s="31"/>
      <c r="N161" s="30"/>
      <c r="O161" s="31"/>
      <c r="P161" s="31"/>
      <c r="Q161" s="31"/>
      <c r="R161" s="31"/>
      <c r="S161" s="30"/>
      <c r="T161" s="31"/>
      <c r="U161" s="31"/>
      <c r="V161" s="31"/>
      <c r="W161" s="31"/>
      <c r="X161" s="31"/>
      <c r="Y161" s="31"/>
      <c r="Z161" s="31"/>
      <c r="AA161" s="31"/>
      <c r="AB161" s="31"/>
      <c r="AC161" s="31"/>
      <c r="AD161" s="31"/>
      <c r="AE161" s="31"/>
      <c r="AF161" s="31"/>
    </row>
    <row r="162" ht="15.75" customHeight="1">
      <c r="A162" s="31"/>
      <c r="B162" s="31"/>
      <c r="C162" s="31"/>
      <c r="D162" s="31"/>
      <c r="E162" s="31"/>
      <c r="F162" s="31"/>
      <c r="G162" s="31"/>
      <c r="H162" s="31"/>
      <c r="I162" s="31"/>
      <c r="J162" s="31"/>
      <c r="K162" s="31"/>
      <c r="L162" s="31"/>
      <c r="M162" s="31"/>
      <c r="N162" s="30"/>
      <c r="O162" s="31"/>
      <c r="P162" s="31"/>
      <c r="Q162" s="31"/>
      <c r="R162" s="31"/>
      <c r="S162" s="30"/>
      <c r="T162" s="31"/>
      <c r="U162" s="31"/>
      <c r="V162" s="31"/>
      <c r="W162" s="31"/>
      <c r="X162" s="31"/>
      <c r="Y162" s="31"/>
      <c r="Z162" s="31"/>
      <c r="AA162" s="31"/>
      <c r="AB162" s="31"/>
      <c r="AC162" s="31"/>
      <c r="AD162" s="31"/>
      <c r="AE162" s="31"/>
      <c r="AF162" s="31"/>
    </row>
    <row r="163" ht="15.75" customHeight="1">
      <c r="A163" s="31"/>
      <c r="B163" s="31"/>
      <c r="C163" s="31"/>
      <c r="D163" s="31"/>
      <c r="E163" s="31"/>
      <c r="F163" s="31"/>
      <c r="G163" s="31"/>
      <c r="H163" s="31"/>
      <c r="I163" s="31"/>
      <c r="J163" s="31"/>
      <c r="K163" s="31"/>
      <c r="L163" s="31"/>
      <c r="M163" s="31"/>
      <c r="N163" s="30"/>
      <c r="O163" s="31"/>
      <c r="P163" s="31"/>
      <c r="Q163" s="31"/>
      <c r="R163" s="31"/>
      <c r="S163" s="30"/>
      <c r="T163" s="31"/>
      <c r="U163" s="31"/>
      <c r="V163" s="31"/>
      <c r="W163" s="31"/>
      <c r="X163" s="31"/>
      <c r="Y163" s="31"/>
      <c r="Z163" s="31"/>
      <c r="AA163" s="31"/>
      <c r="AB163" s="31"/>
      <c r="AC163" s="31"/>
      <c r="AD163" s="31"/>
      <c r="AE163" s="31"/>
      <c r="AF163" s="31"/>
    </row>
    <row r="164" ht="15.75" customHeight="1">
      <c r="A164" s="31"/>
      <c r="B164" s="31"/>
      <c r="C164" s="31"/>
      <c r="D164" s="31"/>
      <c r="E164" s="31"/>
      <c r="F164" s="31"/>
      <c r="G164" s="31"/>
      <c r="H164" s="31"/>
      <c r="I164" s="31"/>
      <c r="J164" s="31"/>
      <c r="K164" s="31"/>
      <c r="L164" s="31"/>
      <c r="M164" s="31"/>
      <c r="N164" s="30"/>
      <c r="O164" s="31"/>
      <c r="P164" s="31"/>
      <c r="Q164" s="31"/>
      <c r="R164" s="31"/>
      <c r="S164" s="30"/>
      <c r="T164" s="31"/>
      <c r="U164" s="31"/>
      <c r="V164" s="31"/>
      <c r="W164" s="31"/>
      <c r="X164" s="31"/>
      <c r="Y164" s="31"/>
      <c r="Z164" s="31"/>
      <c r="AA164" s="31"/>
      <c r="AB164" s="31"/>
      <c r="AC164" s="31"/>
      <c r="AD164" s="31"/>
      <c r="AE164" s="31"/>
      <c r="AF164" s="31"/>
    </row>
    <row r="165" ht="15.75" customHeight="1">
      <c r="A165" s="31"/>
      <c r="B165" s="31"/>
      <c r="C165" s="31"/>
      <c r="D165" s="31"/>
      <c r="E165" s="31"/>
      <c r="F165" s="31"/>
      <c r="G165" s="31"/>
      <c r="H165" s="31"/>
      <c r="I165" s="31"/>
      <c r="J165" s="31"/>
      <c r="K165" s="31"/>
      <c r="L165" s="31"/>
      <c r="M165" s="31"/>
      <c r="N165" s="30"/>
      <c r="O165" s="31"/>
      <c r="P165" s="31"/>
      <c r="Q165" s="31"/>
      <c r="R165" s="31"/>
      <c r="S165" s="30"/>
      <c r="T165" s="31"/>
      <c r="U165" s="31"/>
      <c r="V165" s="31"/>
      <c r="W165" s="31"/>
      <c r="X165" s="31"/>
      <c r="Y165" s="31"/>
      <c r="Z165" s="31"/>
      <c r="AA165" s="31"/>
      <c r="AB165" s="31"/>
      <c r="AC165" s="31"/>
      <c r="AD165" s="31"/>
      <c r="AE165" s="31"/>
      <c r="AF165" s="31"/>
    </row>
    <row r="166" ht="15.75" customHeight="1">
      <c r="A166" s="31"/>
      <c r="B166" s="31"/>
      <c r="C166" s="31"/>
      <c r="D166" s="31"/>
      <c r="E166" s="31"/>
      <c r="F166" s="31"/>
      <c r="G166" s="31"/>
      <c r="H166" s="31"/>
      <c r="I166" s="31"/>
      <c r="J166" s="31"/>
      <c r="K166" s="31"/>
      <c r="L166" s="31"/>
      <c r="M166" s="31"/>
      <c r="N166" s="30"/>
      <c r="O166" s="31"/>
      <c r="P166" s="31"/>
      <c r="Q166" s="31"/>
      <c r="R166" s="31"/>
      <c r="S166" s="30"/>
      <c r="T166" s="31"/>
      <c r="U166" s="31"/>
      <c r="V166" s="31"/>
      <c r="W166" s="31"/>
      <c r="X166" s="31"/>
      <c r="Y166" s="31"/>
      <c r="Z166" s="31"/>
      <c r="AA166" s="31"/>
      <c r="AB166" s="31"/>
      <c r="AC166" s="31"/>
      <c r="AD166" s="31"/>
      <c r="AE166" s="31"/>
      <c r="AF166" s="31"/>
    </row>
    <row r="167" ht="15.75" customHeight="1">
      <c r="A167" s="31"/>
      <c r="B167" s="31"/>
      <c r="C167" s="31"/>
      <c r="D167" s="31"/>
      <c r="E167" s="31"/>
      <c r="F167" s="31"/>
      <c r="G167" s="31"/>
      <c r="H167" s="31"/>
      <c r="I167" s="31"/>
      <c r="J167" s="31"/>
      <c r="K167" s="31"/>
      <c r="L167" s="31"/>
      <c r="M167" s="31"/>
      <c r="N167" s="30"/>
      <c r="O167" s="31"/>
      <c r="P167" s="31"/>
      <c r="Q167" s="31"/>
      <c r="R167" s="31"/>
      <c r="S167" s="30"/>
      <c r="T167" s="31"/>
      <c r="U167" s="31"/>
      <c r="V167" s="31"/>
      <c r="W167" s="31"/>
      <c r="X167" s="31"/>
      <c r="Y167" s="31"/>
      <c r="Z167" s="31"/>
      <c r="AA167" s="31"/>
      <c r="AB167" s="31"/>
      <c r="AC167" s="31"/>
      <c r="AD167" s="31"/>
      <c r="AE167" s="31"/>
      <c r="AF167" s="31"/>
    </row>
    <row r="168" ht="15.75" customHeight="1">
      <c r="A168" s="31"/>
      <c r="B168" s="31"/>
      <c r="C168" s="31"/>
      <c r="D168" s="31"/>
      <c r="E168" s="31"/>
      <c r="F168" s="31"/>
      <c r="G168" s="31"/>
      <c r="H168" s="31"/>
      <c r="I168" s="31"/>
      <c r="J168" s="31"/>
      <c r="K168" s="31"/>
      <c r="L168" s="31"/>
      <c r="M168" s="31"/>
      <c r="N168" s="30"/>
      <c r="O168" s="31"/>
      <c r="P168" s="31"/>
      <c r="Q168" s="31"/>
      <c r="R168" s="31"/>
      <c r="S168" s="30"/>
      <c r="T168" s="31"/>
      <c r="U168" s="31"/>
      <c r="V168" s="31"/>
      <c r="W168" s="31"/>
      <c r="X168" s="31"/>
      <c r="Y168" s="31"/>
      <c r="Z168" s="31"/>
      <c r="AA168" s="31"/>
      <c r="AB168" s="31"/>
      <c r="AC168" s="31"/>
      <c r="AD168" s="31"/>
      <c r="AE168" s="31"/>
      <c r="AF168" s="31"/>
    </row>
    <row r="169" ht="15.75" customHeight="1">
      <c r="A169" s="31"/>
      <c r="B169" s="31"/>
      <c r="C169" s="31"/>
      <c r="D169" s="31"/>
      <c r="E169" s="31"/>
      <c r="F169" s="31"/>
      <c r="G169" s="31"/>
      <c r="H169" s="31"/>
      <c r="I169" s="31"/>
      <c r="J169" s="31"/>
      <c r="K169" s="31"/>
      <c r="L169" s="31"/>
      <c r="M169" s="31"/>
      <c r="N169" s="30"/>
      <c r="O169" s="31"/>
      <c r="P169" s="31"/>
      <c r="Q169" s="31"/>
      <c r="R169" s="31"/>
      <c r="S169" s="30"/>
      <c r="T169" s="31"/>
      <c r="U169" s="31"/>
      <c r="V169" s="31"/>
      <c r="W169" s="31"/>
      <c r="X169" s="31"/>
      <c r="Y169" s="31"/>
      <c r="Z169" s="31"/>
      <c r="AA169" s="31"/>
      <c r="AB169" s="31"/>
      <c r="AC169" s="31"/>
      <c r="AD169" s="31"/>
      <c r="AE169" s="31"/>
      <c r="AF169" s="31"/>
    </row>
    <row r="170" ht="15.75" customHeight="1">
      <c r="A170" s="31"/>
      <c r="B170" s="31"/>
      <c r="C170" s="31"/>
      <c r="D170" s="31"/>
      <c r="E170" s="31"/>
      <c r="F170" s="31"/>
      <c r="G170" s="31"/>
      <c r="H170" s="31"/>
      <c r="I170" s="31"/>
      <c r="J170" s="31"/>
      <c r="K170" s="31"/>
      <c r="L170" s="31"/>
      <c r="M170" s="31"/>
      <c r="N170" s="30"/>
      <c r="O170" s="31"/>
      <c r="P170" s="31"/>
      <c r="Q170" s="31"/>
      <c r="R170" s="31"/>
      <c r="S170" s="30"/>
      <c r="T170" s="31"/>
      <c r="U170" s="31"/>
      <c r="V170" s="31"/>
      <c r="W170" s="31"/>
      <c r="X170" s="31"/>
      <c r="Y170" s="31"/>
      <c r="Z170" s="31"/>
      <c r="AA170" s="31"/>
      <c r="AB170" s="31"/>
      <c r="AC170" s="31"/>
      <c r="AD170" s="31"/>
      <c r="AE170" s="31"/>
      <c r="AF170" s="31"/>
    </row>
    <row r="171" ht="15.75" customHeight="1">
      <c r="A171" s="31"/>
      <c r="B171" s="31"/>
      <c r="C171" s="31"/>
      <c r="D171" s="31"/>
      <c r="E171" s="31"/>
      <c r="F171" s="31"/>
      <c r="G171" s="31"/>
      <c r="H171" s="31"/>
      <c r="I171" s="31"/>
      <c r="J171" s="31"/>
      <c r="K171" s="31"/>
      <c r="L171" s="31"/>
      <c r="M171" s="31"/>
      <c r="N171" s="30"/>
      <c r="O171" s="31"/>
      <c r="P171" s="31"/>
      <c r="Q171" s="31"/>
      <c r="R171" s="31"/>
      <c r="S171" s="30"/>
      <c r="T171" s="31"/>
      <c r="U171" s="31"/>
      <c r="V171" s="31"/>
      <c r="W171" s="31"/>
      <c r="X171" s="31"/>
      <c r="Y171" s="31"/>
      <c r="Z171" s="31"/>
      <c r="AA171" s="31"/>
      <c r="AB171" s="31"/>
      <c r="AC171" s="31"/>
      <c r="AD171" s="31"/>
      <c r="AE171" s="31"/>
      <c r="AF171" s="31"/>
    </row>
    <row r="172" ht="15.75" customHeight="1">
      <c r="A172" s="31"/>
      <c r="B172" s="31"/>
      <c r="C172" s="31"/>
      <c r="D172" s="31"/>
      <c r="E172" s="31"/>
      <c r="F172" s="31"/>
      <c r="G172" s="31"/>
      <c r="H172" s="31"/>
      <c r="I172" s="31"/>
      <c r="J172" s="31"/>
      <c r="K172" s="31"/>
      <c r="L172" s="31"/>
      <c r="M172" s="31"/>
      <c r="N172" s="30"/>
      <c r="O172" s="31"/>
      <c r="P172" s="31"/>
      <c r="Q172" s="31"/>
      <c r="R172" s="31"/>
      <c r="S172" s="30"/>
      <c r="T172" s="31"/>
      <c r="U172" s="31"/>
      <c r="V172" s="31"/>
      <c r="W172" s="31"/>
      <c r="X172" s="31"/>
      <c r="Y172" s="31"/>
      <c r="Z172" s="31"/>
      <c r="AA172" s="31"/>
      <c r="AB172" s="31"/>
      <c r="AC172" s="31"/>
      <c r="AD172" s="31"/>
      <c r="AE172" s="31"/>
      <c r="AF172" s="31"/>
    </row>
    <row r="173" ht="15.75" customHeight="1">
      <c r="A173" s="31"/>
      <c r="B173" s="31"/>
      <c r="C173" s="31"/>
      <c r="D173" s="31"/>
      <c r="E173" s="31"/>
      <c r="F173" s="31"/>
      <c r="G173" s="31"/>
      <c r="H173" s="31"/>
      <c r="I173" s="31"/>
      <c r="J173" s="31"/>
      <c r="K173" s="31"/>
      <c r="L173" s="31"/>
      <c r="M173" s="31"/>
      <c r="N173" s="30"/>
      <c r="O173" s="31"/>
      <c r="P173" s="31"/>
      <c r="Q173" s="31"/>
      <c r="R173" s="31"/>
      <c r="S173" s="30"/>
      <c r="T173" s="31"/>
      <c r="U173" s="31"/>
      <c r="V173" s="31"/>
      <c r="W173" s="31"/>
      <c r="X173" s="31"/>
      <c r="Y173" s="31"/>
      <c r="Z173" s="31"/>
      <c r="AA173" s="31"/>
      <c r="AB173" s="31"/>
      <c r="AC173" s="31"/>
      <c r="AD173" s="31"/>
      <c r="AE173" s="31"/>
      <c r="AF173" s="31"/>
    </row>
    <row r="174" ht="15.75" customHeight="1">
      <c r="A174" s="31"/>
      <c r="B174" s="31"/>
      <c r="C174" s="31"/>
      <c r="D174" s="31"/>
      <c r="E174" s="31"/>
      <c r="F174" s="31"/>
      <c r="G174" s="31"/>
      <c r="H174" s="31"/>
      <c r="I174" s="31"/>
      <c r="J174" s="31"/>
      <c r="K174" s="31"/>
      <c r="L174" s="31"/>
      <c r="M174" s="31"/>
      <c r="N174" s="30"/>
      <c r="O174" s="31"/>
      <c r="P174" s="31"/>
      <c r="Q174" s="31"/>
      <c r="R174" s="31"/>
      <c r="S174" s="30"/>
      <c r="T174" s="31"/>
      <c r="U174" s="31"/>
      <c r="V174" s="31"/>
      <c r="W174" s="31"/>
      <c r="X174" s="31"/>
      <c r="Y174" s="31"/>
      <c r="Z174" s="31"/>
      <c r="AA174" s="31"/>
      <c r="AB174" s="31"/>
      <c r="AC174" s="31"/>
      <c r="AD174" s="31"/>
      <c r="AE174" s="31"/>
      <c r="AF174" s="31"/>
    </row>
    <row r="175" ht="15.75" customHeight="1">
      <c r="A175" s="31"/>
      <c r="B175" s="31"/>
      <c r="C175" s="31"/>
      <c r="D175" s="31"/>
      <c r="E175" s="31"/>
      <c r="F175" s="31"/>
      <c r="G175" s="31"/>
      <c r="H175" s="31"/>
      <c r="I175" s="31"/>
      <c r="J175" s="31"/>
      <c r="K175" s="31"/>
      <c r="L175" s="31"/>
      <c r="M175" s="31"/>
      <c r="N175" s="30"/>
      <c r="O175" s="31"/>
      <c r="P175" s="31"/>
      <c r="Q175" s="31"/>
      <c r="R175" s="31"/>
      <c r="S175" s="30"/>
      <c r="T175" s="31"/>
      <c r="U175" s="31"/>
      <c r="V175" s="31"/>
      <c r="W175" s="31"/>
      <c r="X175" s="31"/>
      <c r="Y175" s="31"/>
      <c r="Z175" s="31"/>
      <c r="AA175" s="31"/>
      <c r="AB175" s="31"/>
      <c r="AC175" s="31"/>
      <c r="AD175" s="31"/>
      <c r="AE175" s="31"/>
      <c r="AF175" s="31"/>
    </row>
    <row r="176" ht="15.75" customHeight="1">
      <c r="A176" s="31"/>
      <c r="B176" s="31"/>
      <c r="C176" s="31"/>
      <c r="D176" s="31"/>
      <c r="E176" s="31"/>
      <c r="F176" s="31"/>
      <c r="G176" s="31"/>
      <c r="H176" s="31"/>
      <c r="I176" s="31"/>
      <c r="J176" s="31"/>
      <c r="K176" s="31"/>
      <c r="L176" s="31"/>
      <c r="M176" s="31"/>
      <c r="N176" s="30"/>
      <c r="O176" s="31"/>
      <c r="P176" s="31"/>
      <c r="Q176" s="31"/>
      <c r="R176" s="31"/>
      <c r="S176" s="30"/>
      <c r="T176" s="31"/>
      <c r="U176" s="31"/>
      <c r="V176" s="31"/>
      <c r="W176" s="31"/>
      <c r="X176" s="31"/>
      <c r="Y176" s="31"/>
      <c r="Z176" s="31"/>
      <c r="AA176" s="31"/>
      <c r="AB176" s="31"/>
      <c r="AC176" s="31"/>
      <c r="AD176" s="31"/>
      <c r="AE176" s="31"/>
      <c r="AF176" s="31"/>
    </row>
    <row r="177" ht="15.75" customHeight="1">
      <c r="A177" s="31"/>
      <c r="B177" s="31"/>
      <c r="C177" s="31"/>
      <c r="D177" s="31"/>
      <c r="E177" s="31"/>
      <c r="F177" s="31"/>
      <c r="G177" s="31"/>
      <c r="H177" s="31"/>
      <c r="I177" s="31"/>
      <c r="J177" s="31"/>
      <c r="K177" s="31"/>
      <c r="L177" s="31"/>
      <c r="M177" s="31"/>
      <c r="N177" s="30"/>
      <c r="O177" s="31"/>
      <c r="P177" s="31"/>
      <c r="Q177" s="31"/>
      <c r="R177" s="31"/>
      <c r="S177" s="30"/>
      <c r="T177" s="31"/>
      <c r="U177" s="31"/>
      <c r="V177" s="31"/>
      <c r="W177" s="31"/>
      <c r="X177" s="31"/>
      <c r="Y177" s="31"/>
      <c r="Z177" s="31"/>
      <c r="AA177" s="31"/>
      <c r="AB177" s="31"/>
      <c r="AC177" s="31"/>
      <c r="AD177" s="31"/>
      <c r="AE177" s="31"/>
      <c r="AF177" s="31"/>
    </row>
    <row r="178" ht="15.75" customHeight="1">
      <c r="A178" s="31"/>
      <c r="B178" s="31"/>
      <c r="C178" s="31"/>
      <c r="D178" s="31"/>
      <c r="E178" s="31"/>
      <c r="F178" s="31"/>
      <c r="G178" s="31"/>
      <c r="H178" s="31"/>
      <c r="I178" s="31"/>
      <c r="J178" s="31"/>
      <c r="K178" s="31"/>
      <c r="L178" s="31"/>
      <c r="M178" s="31"/>
      <c r="N178" s="30"/>
      <c r="O178" s="31"/>
      <c r="P178" s="31"/>
      <c r="Q178" s="31"/>
      <c r="R178" s="31"/>
      <c r="S178" s="30"/>
      <c r="T178" s="31"/>
      <c r="U178" s="31"/>
      <c r="V178" s="31"/>
      <c r="W178" s="31"/>
      <c r="X178" s="31"/>
      <c r="Y178" s="31"/>
      <c r="Z178" s="31"/>
      <c r="AA178" s="31"/>
      <c r="AB178" s="31"/>
      <c r="AC178" s="31"/>
      <c r="AD178" s="31"/>
      <c r="AE178" s="31"/>
      <c r="AF178" s="31"/>
    </row>
    <row r="179" ht="15.75" customHeight="1">
      <c r="A179" s="31"/>
      <c r="B179" s="31"/>
      <c r="C179" s="31"/>
      <c r="D179" s="31"/>
      <c r="E179" s="31"/>
      <c r="F179" s="31"/>
      <c r="G179" s="31"/>
      <c r="H179" s="31"/>
      <c r="I179" s="31"/>
      <c r="J179" s="31"/>
      <c r="K179" s="31"/>
      <c r="L179" s="31"/>
      <c r="M179" s="31"/>
      <c r="N179" s="30"/>
      <c r="O179" s="31"/>
      <c r="P179" s="31"/>
      <c r="Q179" s="31"/>
      <c r="R179" s="31"/>
      <c r="S179" s="30"/>
      <c r="T179" s="31"/>
      <c r="U179" s="31"/>
      <c r="V179" s="31"/>
      <c r="W179" s="31"/>
      <c r="X179" s="31"/>
      <c r="Y179" s="31"/>
      <c r="Z179" s="31"/>
      <c r="AA179" s="31"/>
      <c r="AB179" s="31"/>
      <c r="AC179" s="31"/>
      <c r="AD179" s="31"/>
      <c r="AE179" s="31"/>
      <c r="AF179" s="31"/>
    </row>
    <row r="180" ht="15.75" customHeight="1">
      <c r="A180" s="31"/>
      <c r="B180" s="31"/>
      <c r="C180" s="31"/>
      <c r="D180" s="31"/>
      <c r="E180" s="31"/>
      <c r="F180" s="31"/>
      <c r="G180" s="31"/>
      <c r="H180" s="31"/>
      <c r="I180" s="31"/>
      <c r="J180" s="31"/>
      <c r="K180" s="31"/>
      <c r="L180" s="31"/>
      <c r="M180" s="31"/>
      <c r="N180" s="30"/>
      <c r="O180" s="31"/>
      <c r="P180" s="31"/>
      <c r="Q180" s="31"/>
      <c r="R180" s="31"/>
      <c r="S180" s="30"/>
      <c r="T180" s="31"/>
      <c r="U180" s="31"/>
      <c r="V180" s="31"/>
      <c r="W180" s="31"/>
      <c r="X180" s="31"/>
      <c r="Y180" s="31"/>
      <c r="Z180" s="31"/>
      <c r="AA180" s="31"/>
      <c r="AB180" s="31"/>
      <c r="AC180" s="31"/>
      <c r="AD180" s="31"/>
      <c r="AE180" s="31"/>
      <c r="AF180" s="31"/>
    </row>
    <row r="181" ht="15.75" customHeight="1">
      <c r="A181" s="31"/>
      <c r="B181" s="31"/>
      <c r="C181" s="31"/>
      <c r="D181" s="31"/>
      <c r="E181" s="31"/>
      <c r="F181" s="31"/>
      <c r="G181" s="31"/>
      <c r="H181" s="31"/>
      <c r="I181" s="31"/>
      <c r="J181" s="31"/>
      <c r="K181" s="31"/>
      <c r="L181" s="31"/>
      <c r="M181" s="31"/>
      <c r="N181" s="30"/>
      <c r="O181" s="31"/>
      <c r="P181" s="31"/>
      <c r="Q181" s="31"/>
      <c r="R181" s="31"/>
      <c r="S181" s="30"/>
      <c r="T181" s="31"/>
      <c r="U181" s="31"/>
      <c r="V181" s="31"/>
      <c r="W181" s="31"/>
      <c r="X181" s="31"/>
      <c r="Y181" s="31"/>
      <c r="Z181" s="31"/>
      <c r="AA181" s="31"/>
      <c r="AB181" s="31"/>
      <c r="AC181" s="31"/>
      <c r="AD181" s="31"/>
      <c r="AE181" s="31"/>
      <c r="AF181" s="31"/>
    </row>
    <row r="182" ht="15.75" customHeight="1">
      <c r="A182" s="31"/>
      <c r="B182" s="31"/>
      <c r="C182" s="31"/>
      <c r="D182" s="31"/>
      <c r="E182" s="31"/>
      <c r="F182" s="31"/>
      <c r="G182" s="31"/>
      <c r="H182" s="31"/>
      <c r="I182" s="31"/>
      <c r="J182" s="31"/>
      <c r="K182" s="31"/>
      <c r="L182" s="31"/>
      <c r="M182" s="31"/>
      <c r="N182" s="30"/>
      <c r="O182" s="31"/>
      <c r="P182" s="31"/>
      <c r="Q182" s="31"/>
      <c r="R182" s="31"/>
      <c r="S182" s="30"/>
      <c r="T182" s="31"/>
      <c r="U182" s="31"/>
      <c r="V182" s="31"/>
      <c r="W182" s="31"/>
      <c r="X182" s="31"/>
      <c r="Y182" s="31"/>
      <c r="Z182" s="31"/>
      <c r="AA182" s="31"/>
      <c r="AB182" s="31"/>
      <c r="AC182" s="31"/>
      <c r="AD182" s="31"/>
      <c r="AE182" s="31"/>
      <c r="AF182" s="31"/>
    </row>
    <row r="183" ht="15.75" customHeight="1">
      <c r="A183" s="31"/>
      <c r="B183" s="31"/>
      <c r="C183" s="31"/>
      <c r="D183" s="31"/>
      <c r="E183" s="31"/>
      <c r="F183" s="31"/>
      <c r="G183" s="31"/>
      <c r="H183" s="31"/>
      <c r="I183" s="31"/>
      <c r="J183" s="31"/>
      <c r="K183" s="31"/>
      <c r="L183" s="31"/>
      <c r="M183" s="31"/>
      <c r="N183" s="30"/>
      <c r="O183" s="31"/>
      <c r="P183" s="31"/>
      <c r="Q183" s="31"/>
      <c r="R183" s="31"/>
      <c r="S183" s="30"/>
      <c r="T183" s="31"/>
      <c r="U183" s="31"/>
      <c r="V183" s="31"/>
      <c r="W183" s="31"/>
      <c r="X183" s="31"/>
      <c r="Y183" s="31"/>
      <c r="Z183" s="31"/>
      <c r="AA183" s="31"/>
      <c r="AB183" s="31"/>
      <c r="AC183" s="31"/>
      <c r="AD183" s="31"/>
      <c r="AE183" s="31"/>
      <c r="AF183" s="31"/>
    </row>
    <row r="184" ht="15.75" customHeight="1">
      <c r="A184" s="31"/>
      <c r="B184" s="31"/>
      <c r="C184" s="31"/>
      <c r="D184" s="31"/>
      <c r="E184" s="31"/>
      <c r="F184" s="31"/>
      <c r="G184" s="31"/>
      <c r="H184" s="31"/>
      <c r="I184" s="31"/>
      <c r="J184" s="31"/>
      <c r="K184" s="31"/>
      <c r="L184" s="31"/>
      <c r="M184" s="31"/>
      <c r="N184" s="30"/>
      <c r="O184" s="31"/>
      <c r="P184" s="31"/>
      <c r="Q184" s="31"/>
      <c r="R184" s="31"/>
      <c r="S184" s="30"/>
      <c r="T184" s="31"/>
      <c r="U184" s="31"/>
      <c r="V184" s="31"/>
      <c r="W184" s="31"/>
      <c r="X184" s="31"/>
      <c r="Y184" s="31"/>
      <c r="Z184" s="31"/>
      <c r="AA184" s="31"/>
      <c r="AB184" s="31"/>
      <c r="AC184" s="31"/>
      <c r="AD184" s="31"/>
      <c r="AE184" s="31"/>
      <c r="AF184" s="31"/>
    </row>
    <row r="185" ht="15.75" customHeight="1">
      <c r="A185" s="31"/>
      <c r="B185" s="31"/>
      <c r="C185" s="31"/>
      <c r="D185" s="31"/>
      <c r="E185" s="31"/>
      <c r="F185" s="31"/>
      <c r="G185" s="31"/>
      <c r="H185" s="31"/>
      <c r="I185" s="31"/>
      <c r="J185" s="31"/>
      <c r="K185" s="31"/>
      <c r="L185" s="31"/>
      <c r="M185" s="31"/>
      <c r="N185" s="30"/>
      <c r="O185" s="31"/>
      <c r="P185" s="31"/>
      <c r="Q185" s="31"/>
      <c r="R185" s="31"/>
      <c r="S185" s="30"/>
      <c r="T185" s="31"/>
      <c r="U185" s="31"/>
      <c r="V185" s="31"/>
      <c r="W185" s="31"/>
      <c r="X185" s="31"/>
      <c r="Y185" s="31"/>
      <c r="Z185" s="31"/>
      <c r="AA185" s="31"/>
      <c r="AB185" s="31"/>
      <c r="AC185" s="31"/>
      <c r="AD185" s="31"/>
      <c r="AE185" s="31"/>
      <c r="AF185" s="31"/>
    </row>
    <row r="186" ht="15.75" customHeight="1">
      <c r="A186" s="31"/>
      <c r="B186" s="31"/>
      <c r="C186" s="31"/>
      <c r="D186" s="31"/>
      <c r="E186" s="31"/>
      <c r="F186" s="31"/>
      <c r="G186" s="31"/>
      <c r="H186" s="31"/>
      <c r="I186" s="31"/>
      <c r="J186" s="31"/>
      <c r="K186" s="31"/>
      <c r="L186" s="31"/>
      <c r="M186" s="31"/>
      <c r="N186" s="30"/>
      <c r="O186" s="31"/>
      <c r="P186" s="31"/>
      <c r="Q186" s="31"/>
      <c r="R186" s="31"/>
      <c r="S186" s="30"/>
      <c r="T186" s="31"/>
      <c r="U186" s="31"/>
      <c r="V186" s="31"/>
      <c r="W186" s="31"/>
      <c r="X186" s="31"/>
      <c r="Y186" s="31"/>
      <c r="Z186" s="31"/>
      <c r="AA186" s="31"/>
      <c r="AB186" s="31"/>
      <c r="AC186" s="31"/>
      <c r="AD186" s="31"/>
      <c r="AE186" s="31"/>
      <c r="AF186" s="31"/>
    </row>
    <row r="187" ht="15.75" customHeight="1">
      <c r="A187" s="31"/>
      <c r="B187" s="31"/>
      <c r="C187" s="31"/>
      <c r="D187" s="31"/>
      <c r="E187" s="31"/>
      <c r="F187" s="31"/>
      <c r="G187" s="31"/>
      <c r="H187" s="31"/>
      <c r="I187" s="31"/>
      <c r="J187" s="31"/>
      <c r="K187" s="31"/>
      <c r="L187" s="31"/>
      <c r="M187" s="31"/>
      <c r="N187" s="30"/>
      <c r="O187" s="31"/>
      <c r="P187" s="31"/>
      <c r="Q187" s="31"/>
      <c r="R187" s="31"/>
      <c r="S187" s="30"/>
      <c r="T187" s="31"/>
      <c r="U187" s="31"/>
      <c r="V187" s="31"/>
      <c r="W187" s="31"/>
      <c r="X187" s="31"/>
      <c r="Y187" s="31"/>
      <c r="Z187" s="31"/>
      <c r="AA187" s="31"/>
      <c r="AB187" s="31"/>
      <c r="AC187" s="31"/>
      <c r="AD187" s="31"/>
      <c r="AE187" s="31"/>
      <c r="AF187" s="31"/>
    </row>
    <row r="188" ht="15.75" customHeight="1">
      <c r="A188" s="31"/>
      <c r="B188" s="31"/>
      <c r="C188" s="31"/>
      <c r="D188" s="31"/>
      <c r="E188" s="31"/>
      <c r="F188" s="31"/>
      <c r="G188" s="31"/>
      <c r="H188" s="31"/>
      <c r="I188" s="31"/>
      <c r="J188" s="31"/>
      <c r="K188" s="31"/>
      <c r="L188" s="31"/>
      <c r="M188" s="31"/>
      <c r="N188" s="30"/>
      <c r="O188" s="31"/>
      <c r="P188" s="31"/>
      <c r="Q188" s="31"/>
      <c r="R188" s="31"/>
      <c r="S188" s="30"/>
      <c r="T188" s="31"/>
      <c r="U188" s="31"/>
      <c r="V188" s="31"/>
      <c r="W188" s="31"/>
      <c r="X188" s="31"/>
      <c r="Y188" s="31"/>
      <c r="Z188" s="31"/>
      <c r="AA188" s="31"/>
      <c r="AB188" s="31"/>
      <c r="AC188" s="31"/>
      <c r="AD188" s="31"/>
      <c r="AE188" s="31"/>
      <c r="AF188" s="31"/>
    </row>
    <row r="189" ht="15.75" customHeight="1">
      <c r="A189" s="31"/>
      <c r="B189" s="31"/>
      <c r="C189" s="31"/>
      <c r="D189" s="31"/>
      <c r="E189" s="31"/>
      <c r="F189" s="31"/>
      <c r="G189" s="31"/>
      <c r="H189" s="31"/>
      <c r="I189" s="31"/>
      <c r="J189" s="31"/>
      <c r="K189" s="31"/>
      <c r="L189" s="31"/>
      <c r="M189" s="31"/>
      <c r="N189" s="30"/>
      <c r="O189" s="31"/>
      <c r="P189" s="31"/>
      <c r="Q189" s="31"/>
      <c r="R189" s="31"/>
      <c r="S189" s="30"/>
      <c r="T189" s="31"/>
      <c r="U189" s="31"/>
      <c r="V189" s="31"/>
      <c r="W189" s="31"/>
      <c r="X189" s="31"/>
      <c r="Y189" s="31"/>
      <c r="Z189" s="31"/>
      <c r="AA189" s="31"/>
      <c r="AB189" s="31"/>
      <c r="AC189" s="31"/>
      <c r="AD189" s="31"/>
      <c r="AE189" s="31"/>
      <c r="AF189" s="31"/>
    </row>
    <row r="190" ht="15.75" customHeight="1">
      <c r="A190" s="31"/>
      <c r="B190" s="31"/>
      <c r="C190" s="31"/>
      <c r="D190" s="31"/>
      <c r="E190" s="31"/>
      <c r="F190" s="31"/>
      <c r="G190" s="31"/>
      <c r="H190" s="31"/>
      <c r="I190" s="31"/>
      <c r="J190" s="31"/>
      <c r="K190" s="31"/>
      <c r="L190" s="31"/>
      <c r="M190" s="31"/>
      <c r="N190" s="30"/>
      <c r="O190" s="31"/>
      <c r="P190" s="31"/>
      <c r="Q190" s="31"/>
      <c r="R190" s="31"/>
      <c r="S190" s="30"/>
      <c r="T190" s="31"/>
      <c r="U190" s="31"/>
      <c r="V190" s="31"/>
      <c r="W190" s="31"/>
      <c r="X190" s="31"/>
      <c r="Y190" s="31"/>
      <c r="Z190" s="31"/>
      <c r="AA190" s="31"/>
      <c r="AB190" s="31"/>
      <c r="AC190" s="31"/>
      <c r="AD190" s="31"/>
      <c r="AE190" s="31"/>
      <c r="AF190" s="31"/>
    </row>
    <row r="191" ht="15.75" customHeight="1">
      <c r="A191" s="31"/>
      <c r="B191" s="31"/>
      <c r="C191" s="31"/>
      <c r="D191" s="31"/>
      <c r="E191" s="31"/>
      <c r="F191" s="31"/>
      <c r="G191" s="31"/>
      <c r="H191" s="31"/>
      <c r="I191" s="31"/>
      <c r="J191" s="31"/>
      <c r="K191" s="31"/>
      <c r="L191" s="31"/>
      <c r="M191" s="31"/>
      <c r="N191" s="30"/>
      <c r="O191" s="31"/>
      <c r="P191" s="31"/>
      <c r="Q191" s="31"/>
      <c r="R191" s="31"/>
      <c r="S191" s="30"/>
      <c r="T191" s="31"/>
      <c r="U191" s="31"/>
      <c r="V191" s="31"/>
      <c r="W191" s="31"/>
      <c r="X191" s="31"/>
      <c r="Y191" s="31"/>
      <c r="Z191" s="31"/>
      <c r="AA191" s="31"/>
      <c r="AB191" s="31"/>
      <c r="AC191" s="31"/>
      <c r="AD191" s="31"/>
      <c r="AE191" s="31"/>
      <c r="AF191" s="31"/>
    </row>
    <row r="192" ht="15.75" customHeight="1">
      <c r="A192" s="31"/>
      <c r="B192" s="31"/>
      <c r="C192" s="31"/>
      <c r="D192" s="31"/>
      <c r="E192" s="31"/>
      <c r="F192" s="31"/>
      <c r="G192" s="31"/>
      <c r="H192" s="31"/>
      <c r="I192" s="31"/>
      <c r="J192" s="31"/>
      <c r="K192" s="31"/>
      <c r="L192" s="31"/>
      <c r="M192" s="31"/>
      <c r="N192" s="30"/>
      <c r="O192" s="31"/>
      <c r="P192" s="31"/>
      <c r="Q192" s="31"/>
      <c r="R192" s="31"/>
      <c r="S192" s="30"/>
      <c r="T192" s="31"/>
      <c r="U192" s="31"/>
      <c r="V192" s="31"/>
      <c r="W192" s="31"/>
      <c r="X192" s="31"/>
      <c r="Y192" s="31"/>
      <c r="Z192" s="31"/>
      <c r="AA192" s="31"/>
      <c r="AB192" s="31"/>
      <c r="AC192" s="31"/>
      <c r="AD192" s="31"/>
      <c r="AE192" s="31"/>
      <c r="AF192" s="31"/>
    </row>
    <row r="193" ht="15.75" customHeight="1">
      <c r="A193" s="31"/>
      <c r="B193" s="31"/>
      <c r="C193" s="31"/>
      <c r="D193" s="31"/>
      <c r="E193" s="31"/>
      <c r="F193" s="31"/>
      <c r="G193" s="31"/>
      <c r="H193" s="31"/>
      <c r="I193" s="31"/>
      <c r="J193" s="31"/>
      <c r="K193" s="31"/>
      <c r="L193" s="31"/>
      <c r="M193" s="31"/>
      <c r="N193" s="30"/>
      <c r="O193" s="31"/>
      <c r="P193" s="31"/>
      <c r="Q193" s="31"/>
      <c r="R193" s="31"/>
      <c r="S193" s="30"/>
      <c r="T193" s="31"/>
      <c r="U193" s="31"/>
      <c r="V193" s="31"/>
      <c r="W193" s="31"/>
      <c r="X193" s="31"/>
      <c r="Y193" s="31"/>
      <c r="Z193" s="31"/>
      <c r="AA193" s="31"/>
      <c r="AB193" s="31"/>
      <c r="AC193" s="31"/>
      <c r="AD193" s="31"/>
      <c r="AE193" s="31"/>
      <c r="AF193" s="31"/>
    </row>
    <row r="194" ht="15.75" customHeight="1">
      <c r="A194" s="31"/>
      <c r="B194" s="31"/>
      <c r="C194" s="31"/>
      <c r="D194" s="31"/>
      <c r="E194" s="31"/>
      <c r="F194" s="31"/>
      <c r="G194" s="31"/>
      <c r="H194" s="31"/>
      <c r="I194" s="31"/>
      <c r="J194" s="31"/>
      <c r="K194" s="31"/>
      <c r="L194" s="31"/>
      <c r="M194" s="31"/>
      <c r="N194" s="30"/>
      <c r="O194" s="31"/>
      <c r="P194" s="31"/>
      <c r="Q194" s="31"/>
      <c r="R194" s="31"/>
      <c r="S194" s="30"/>
      <c r="T194" s="31"/>
      <c r="U194" s="31"/>
      <c r="V194" s="31"/>
      <c r="W194" s="31"/>
      <c r="X194" s="31"/>
      <c r="Y194" s="31"/>
      <c r="Z194" s="31"/>
      <c r="AA194" s="31"/>
      <c r="AB194" s="31"/>
      <c r="AC194" s="31"/>
      <c r="AD194" s="31"/>
      <c r="AE194" s="31"/>
      <c r="AF194" s="31"/>
    </row>
    <row r="195" ht="15.75" customHeight="1">
      <c r="A195" s="31"/>
      <c r="B195" s="31"/>
      <c r="C195" s="31"/>
      <c r="D195" s="31"/>
      <c r="E195" s="31"/>
      <c r="F195" s="31"/>
      <c r="G195" s="31"/>
      <c r="H195" s="31"/>
      <c r="I195" s="31"/>
      <c r="J195" s="31"/>
      <c r="K195" s="31"/>
      <c r="L195" s="31"/>
      <c r="M195" s="31"/>
      <c r="N195" s="30"/>
      <c r="O195" s="31"/>
      <c r="P195" s="31"/>
      <c r="Q195" s="31"/>
      <c r="R195" s="31"/>
      <c r="S195" s="30"/>
      <c r="T195" s="31"/>
      <c r="U195" s="31"/>
      <c r="V195" s="31"/>
      <c r="W195" s="31"/>
      <c r="X195" s="31"/>
      <c r="Y195" s="31"/>
      <c r="Z195" s="31"/>
      <c r="AA195" s="31"/>
      <c r="AB195" s="31"/>
      <c r="AC195" s="31"/>
      <c r="AD195" s="31"/>
      <c r="AE195" s="31"/>
      <c r="AF195" s="31"/>
    </row>
    <row r="196" ht="15.75" customHeight="1">
      <c r="A196" s="31"/>
      <c r="B196" s="31"/>
      <c r="C196" s="31"/>
      <c r="D196" s="31"/>
      <c r="E196" s="31"/>
      <c r="F196" s="31"/>
      <c r="G196" s="31"/>
      <c r="H196" s="31"/>
      <c r="I196" s="31"/>
      <c r="J196" s="31"/>
      <c r="K196" s="31"/>
      <c r="L196" s="31"/>
      <c r="M196" s="31"/>
      <c r="N196" s="30"/>
      <c r="O196" s="31"/>
      <c r="P196" s="31"/>
      <c r="Q196" s="31"/>
      <c r="R196" s="31"/>
      <c r="S196" s="30"/>
      <c r="T196" s="31"/>
      <c r="U196" s="31"/>
      <c r="V196" s="31"/>
      <c r="W196" s="31"/>
      <c r="X196" s="31"/>
      <c r="Y196" s="31"/>
      <c r="Z196" s="31"/>
      <c r="AA196" s="31"/>
      <c r="AB196" s="31"/>
      <c r="AC196" s="31"/>
      <c r="AD196" s="31"/>
      <c r="AE196" s="31"/>
      <c r="AF196" s="31"/>
    </row>
    <row r="197" ht="15.75" customHeight="1">
      <c r="A197" s="31"/>
      <c r="B197" s="31"/>
      <c r="C197" s="31"/>
      <c r="D197" s="31"/>
      <c r="E197" s="31"/>
      <c r="F197" s="31"/>
      <c r="G197" s="31"/>
      <c r="H197" s="31"/>
      <c r="I197" s="31"/>
      <c r="J197" s="31"/>
      <c r="K197" s="31"/>
      <c r="L197" s="31"/>
      <c r="M197" s="31"/>
      <c r="N197" s="30"/>
      <c r="O197" s="31"/>
      <c r="P197" s="31"/>
      <c r="Q197" s="31"/>
      <c r="R197" s="31"/>
      <c r="S197" s="30"/>
      <c r="T197" s="31"/>
      <c r="U197" s="31"/>
      <c r="V197" s="31"/>
      <c r="W197" s="31"/>
      <c r="X197" s="31"/>
      <c r="Y197" s="31"/>
      <c r="Z197" s="31"/>
      <c r="AA197" s="31"/>
      <c r="AB197" s="31"/>
      <c r="AC197" s="31"/>
      <c r="AD197" s="31"/>
      <c r="AE197" s="31"/>
      <c r="AF197" s="31"/>
    </row>
    <row r="198" ht="15.75" customHeight="1">
      <c r="A198" s="31"/>
      <c r="B198" s="31"/>
      <c r="C198" s="31"/>
      <c r="D198" s="31"/>
      <c r="E198" s="31"/>
      <c r="F198" s="31"/>
      <c r="G198" s="31"/>
      <c r="H198" s="31"/>
      <c r="I198" s="31"/>
      <c r="J198" s="31"/>
      <c r="K198" s="31"/>
      <c r="L198" s="31"/>
      <c r="M198" s="31"/>
      <c r="N198" s="30"/>
      <c r="O198" s="31"/>
      <c r="P198" s="31"/>
      <c r="Q198" s="31"/>
      <c r="R198" s="31"/>
      <c r="S198" s="30"/>
      <c r="T198" s="31"/>
      <c r="U198" s="31"/>
      <c r="V198" s="31"/>
      <c r="W198" s="31"/>
      <c r="X198" s="31"/>
      <c r="Y198" s="31"/>
      <c r="Z198" s="31"/>
      <c r="AA198" s="31"/>
      <c r="AB198" s="31"/>
      <c r="AC198" s="31"/>
      <c r="AD198" s="31"/>
      <c r="AE198" s="31"/>
      <c r="AF198" s="31"/>
    </row>
    <row r="199" ht="15.75" customHeight="1">
      <c r="A199" s="31"/>
      <c r="B199" s="31"/>
      <c r="C199" s="31"/>
      <c r="D199" s="31"/>
      <c r="E199" s="31"/>
      <c r="F199" s="31"/>
      <c r="G199" s="31"/>
      <c r="H199" s="31"/>
      <c r="I199" s="31"/>
      <c r="J199" s="31"/>
      <c r="K199" s="31"/>
      <c r="L199" s="31"/>
      <c r="M199" s="31"/>
      <c r="N199" s="30"/>
      <c r="O199" s="31"/>
      <c r="P199" s="31"/>
      <c r="Q199" s="31"/>
      <c r="R199" s="31"/>
      <c r="S199" s="30"/>
      <c r="T199" s="31"/>
      <c r="U199" s="31"/>
      <c r="V199" s="31"/>
      <c r="W199" s="31"/>
      <c r="X199" s="31"/>
      <c r="Y199" s="31"/>
      <c r="Z199" s="31"/>
      <c r="AA199" s="31"/>
      <c r="AB199" s="31"/>
      <c r="AC199" s="31"/>
      <c r="AD199" s="31"/>
      <c r="AE199" s="31"/>
      <c r="AF199" s="31"/>
    </row>
    <row r="200" ht="15.75" customHeight="1">
      <c r="A200" s="31"/>
      <c r="B200" s="31"/>
      <c r="C200" s="31"/>
      <c r="D200" s="31"/>
      <c r="E200" s="31"/>
      <c r="F200" s="31"/>
      <c r="G200" s="31"/>
      <c r="H200" s="31"/>
      <c r="I200" s="31"/>
      <c r="J200" s="31"/>
      <c r="K200" s="31"/>
      <c r="L200" s="31"/>
      <c r="M200" s="31"/>
      <c r="N200" s="30"/>
      <c r="O200" s="31"/>
      <c r="P200" s="31"/>
      <c r="Q200" s="31"/>
      <c r="R200" s="31"/>
      <c r="S200" s="30"/>
      <c r="T200" s="31"/>
      <c r="U200" s="31"/>
      <c r="V200" s="31"/>
      <c r="W200" s="31"/>
      <c r="X200" s="31"/>
      <c r="Y200" s="31"/>
      <c r="Z200" s="31"/>
      <c r="AA200" s="31"/>
      <c r="AB200" s="31"/>
      <c r="AC200" s="31"/>
      <c r="AD200" s="31"/>
      <c r="AE200" s="31"/>
      <c r="AF200" s="31"/>
    </row>
    <row r="201" ht="15.75" customHeight="1">
      <c r="A201" s="31"/>
      <c r="B201" s="31"/>
      <c r="C201" s="31"/>
      <c r="D201" s="31"/>
      <c r="E201" s="31"/>
      <c r="F201" s="31"/>
      <c r="G201" s="31"/>
      <c r="H201" s="31"/>
      <c r="I201" s="31"/>
      <c r="J201" s="31"/>
      <c r="K201" s="31"/>
      <c r="L201" s="31"/>
      <c r="M201" s="31"/>
      <c r="N201" s="30"/>
      <c r="O201" s="31"/>
      <c r="P201" s="31"/>
      <c r="Q201" s="31"/>
      <c r="R201" s="31"/>
      <c r="S201" s="30"/>
      <c r="T201" s="31"/>
      <c r="U201" s="31"/>
      <c r="V201" s="31"/>
      <c r="W201" s="31"/>
      <c r="X201" s="31"/>
      <c r="Y201" s="31"/>
      <c r="Z201" s="31"/>
      <c r="AA201" s="31"/>
      <c r="AB201" s="31"/>
      <c r="AC201" s="31"/>
      <c r="AD201" s="31"/>
      <c r="AE201" s="31"/>
      <c r="AF201" s="31"/>
    </row>
    <row r="202" ht="15.75" customHeight="1">
      <c r="A202" s="31"/>
      <c r="B202" s="31"/>
      <c r="C202" s="31"/>
      <c r="D202" s="31"/>
      <c r="E202" s="31"/>
      <c r="F202" s="31"/>
      <c r="G202" s="31"/>
      <c r="H202" s="31"/>
      <c r="I202" s="31"/>
      <c r="J202" s="31"/>
      <c r="K202" s="31"/>
      <c r="L202" s="31"/>
      <c r="M202" s="31"/>
      <c r="N202" s="30"/>
      <c r="O202" s="31"/>
      <c r="P202" s="31"/>
      <c r="Q202" s="31"/>
      <c r="R202" s="31"/>
      <c r="S202" s="30"/>
      <c r="T202" s="31"/>
      <c r="U202" s="31"/>
      <c r="V202" s="31"/>
      <c r="W202" s="31"/>
      <c r="X202" s="31"/>
      <c r="Y202" s="31"/>
      <c r="Z202" s="31"/>
      <c r="AA202" s="31"/>
      <c r="AB202" s="31"/>
      <c r="AC202" s="31"/>
      <c r="AD202" s="31"/>
      <c r="AE202" s="31"/>
      <c r="AF202" s="31"/>
    </row>
    <row r="203" ht="15.75" customHeight="1">
      <c r="A203" s="31"/>
      <c r="B203" s="31"/>
      <c r="C203" s="31"/>
      <c r="D203" s="31"/>
      <c r="E203" s="31"/>
      <c r="F203" s="31"/>
      <c r="G203" s="31"/>
      <c r="H203" s="31"/>
      <c r="I203" s="31"/>
      <c r="J203" s="31"/>
      <c r="K203" s="31"/>
      <c r="L203" s="31"/>
      <c r="M203" s="31"/>
      <c r="N203" s="30"/>
      <c r="O203" s="31"/>
      <c r="P203" s="31"/>
      <c r="Q203" s="31"/>
      <c r="R203" s="31"/>
      <c r="S203" s="30"/>
      <c r="T203" s="31"/>
      <c r="U203" s="31"/>
      <c r="V203" s="31"/>
      <c r="W203" s="31"/>
      <c r="X203" s="31"/>
      <c r="Y203" s="31"/>
      <c r="Z203" s="31"/>
      <c r="AA203" s="31"/>
      <c r="AB203" s="31"/>
      <c r="AC203" s="31"/>
      <c r="AD203" s="31"/>
      <c r="AE203" s="31"/>
      <c r="AF203" s="31"/>
    </row>
    <row r="204" ht="15.75" customHeight="1">
      <c r="A204" s="31"/>
      <c r="B204" s="31"/>
      <c r="C204" s="31"/>
      <c r="D204" s="31"/>
      <c r="E204" s="31"/>
      <c r="F204" s="31"/>
      <c r="G204" s="31"/>
      <c r="H204" s="31"/>
      <c r="I204" s="31"/>
      <c r="J204" s="31"/>
      <c r="K204" s="31"/>
      <c r="L204" s="31"/>
      <c r="M204" s="31"/>
      <c r="N204" s="30"/>
      <c r="O204" s="31"/>
      <c r="P204" s="31"/>
      <c r="Q204" s="31"/>
      <c r="R204" s="31"/>
      <c r="S204" s="30"/>
      <c r="T204" s="31"/>
      <c r="U204" s="31"/>
      <c r="V204" s="31"/>
      <c r="W204" s="31"/>
      <c r="X204" s="31"/>
      <c r="Y204" s="31"/>
      <c r="Z204" s="31"/>
      <c r="AA204" s="31"/>
      <c r="AB204" s="31"/>
      <c r="AC204" s="31"/>
      <c r="AD204" s="31"/>
      <c r="AE204" s="31"/>
      <c r="AF204" s="31"/>
    </row>
    <row r="205" ht="15.75" customHeight="1">
      <c r="A205" s="31"/>
      <c r="B205" s="31"/>
      <c r="C205" s="31"/>
      <c r="D205" s="31"/>
      <c r="E205" s="31"/>
      <c r="F205" s="31"/>
      <c r="G205" s="31"/>
      <c r="H205" s="31"/>
      <c r="I205" s="31"/>
      <c r="J205" s="31"/>
      <c r="K205" s="31"/>
      <c r="L205" s="31"/>
      <c r="M205" s="31"/>
      <c r="N205" s="30"/>
      <c r="O205" s="31"/>
      <c r="P205" s="31"/>
      <c r="Q205" s="31"/>
      <c r="R205" s="31"/>
      <c r="S205" s="30"/>
      <c r="T205" s="31"/>
      <c r="U205" s="31"/>
      <c r="V205" s="31"/>
      <c r="W205" s="31"/>
      <c r="X205" s="31"/>
      <c r="Y205" s="31"/>
      <c r="Z205" s="31"/>
      <c r="AA205" s="31"/>
      <c r="AB205" s="31"/>
      <c r="AC205" s="31"/>
      <c r="AD205" s="31"/>
      <c r="AE205" s="31"/>
      <c r="AF205" s="31"/>
    </row>
    <row r="206" ht="15.75" customHeight="1">
      <c r="A206" s="31"/>
      <c r="B206" s="31"/>
      <c r="C206" s="31"/>
      <c r="D206" s="31"/>
      <c r="E206" s="31"/>
      <c r="F206" s="31"/>
      <c r="G206" s="31"/>
      <c r="H206" s="31"/>
      <c r="I206" s="31"/>
      <c r="J206" s="31"/>
      <c r="K206" s="31"/>
      <c r="L206" s="31"/>
      <c r="M206" s="31"/>
      <c r="N206" s="30"/>
      <c r="O206" s="31"/>
      <c r="P206" s="31"/>
      <c r="Q206" s="31"/>
      <c r="R206" s="31"/>
      <c r="S206" s="30"/>
      <c r="T206" s="31"/>
      <c r="U206" s="31"/>
      <c r="V206" s="31"/>
      <c r="W206" s="31"/>
      <c r="X206" s="31"/>
      <c r="Y206" s="31"/>
      <c r="Z206" s="31"/>
      <c r="AA206" s="31"/>
      <c r="AB206" s="31"/>
      <c r="AC206" s="31"/>
      <c r="AD206" s="31"/>
      <c r="AE206" s="31"/>
      <c r="AF206" s="31"/>
    </row>
    <row r="207" ht="15.75" customHeight="1">
      <c r="A207" s="31"/>
      <c r="B207" s="31"/>
      <c r="C207" s="31"/>
      <c r="D207" s="31"/>
      <c r="E207" s="31"/>
      <c r="F207" s="31"/>
      <c r="G207" s="31"/>
      <c r="H207" s="31"/>
      <c r="I207" s="31"/>
      <c r="J207" s="31"/>
      <c r="K207" s="31"/>
      <c r="L207" s="31"/>
      <c r="M207" s="31"/>
      <c r="N207" s="30"/>
      <c r="O207" s="31"/>
      <c r="P207" s="31"/>
      <c r="Q207" s="31"/>
      <c r="R207" s="31"/>
      <c r="S207" s="30"/>
      <c r="T207" s="31"/>
      <c r="U207" s="31"/>
      <c r="V207" s="31"/>
      <c r="W207" s="31"/>
      <c r="X207" s="31"/>
      <c r="Y207" s="31"/>
      <c r="Z207" s="31"/>
      <c r="AA207" s="31"/>
      <c r="AB207" s="31"/>
      <c r="AC207" s="31"/>
      <c r="AD207" s="31"/>
      <c r="AE207" s="31"/>
      <c r="AF207" s="31"/>
    </row>
    <row r="208" ht="15.75" customHeight="1">
      <c r="A208" s="31"/>
      <c r="B208" s="31"/>
      <c r="C208" s="31"/>
      <c r="D208" s="31"/>
      <c r="E208" s="31"/>
      <c r="F208" s="31"/>
      <c r="G208" s="31"/>
      <c r="H208" s="31"/>
      <c r="I208" s="31"/>
      <c r="J208" s="31"/>
      <c r="K208" s="31"/>
      <c r="L208" s="31"/>
      <c r="M208" s="31"/>
      <c r="N208" s="30"/>
      <c r="O208" s="31"/>
      <c r="P208" s="31"/>
      <c r="Q208" s="31"/>
      <c r="R208" s="31"/>
      <c r="S208" s="30"/>
      <c r="T208" s="31"/>
      <c r="U208" s="31"/>
      <c r="V208" s="31"/>
      <c r="W208" s="31"/>
      <c r="X208" s="31"/>
      <c r="Y208" s="31"/>
      <c r="Z208" s="31"/>
      <c r="AA208" s="31"/>
      <c r="AB208" s="31"/>
      <c r="AC208" s="31"/>
      <c r="AD208" s="31"/>
      <c r="AE208" s="31"/>
      <c r="AF208" s="31"/>
    </row>
    <row r="209" ht="15.75" customHeight="1">
      <c r="A209" s="31"/>
      <c r="B209" s="31"/>
      <c r="C209" s="31"/>
      <c r="D209" s="31"/>
      <c r="E209" s="31"/>
      <c r="F209" s="31"/>
      <c r="G209" s="31"/>
      <c r="H209" s="31"/>
      <c r="I209" s="31"/>
      <c r="J209" s="31"/>
      <c r="K209" s="31"/>
      <c r="L209" s="31"/>
      <c r="M209" s="31"/>
      <c r="N209" s="30"/>
      <c r="O209" s="31"/>
      <c r="P209" s="31"/>
      <c r="Q209" s="31"/>
      <c r="R209" s="31"/>
      <c r="S209" s="30"/>
      <c r="T209" s="31"/>
      <c r="U209" s="31"/>
      <c r="V209" s="31"/>
      <c r="W209" s="31"/>
      <c r="X209" s="31"/>
      <c r="Y209" s="31"/>
      <c r="Z209" s="31"/>
      <c r="AA209" s="31"/>
      <c r="AB209" s="31"/>
      <c r="AC209" s="31"/>
      <c r="AD209" s="31"/>
      <c r="AE209" s="31"/>
      <c r="AF209" s="31"/>
    </row>
    <row r="210" ht="15.75" customHeight="1">
      <c r="A210" s="31"/>
      <c r="B210" s="31"/>
      <c r="C210" s="31"/>
      <c r="D210" s="31"/>
      <c r="E210" s="31"/>
      <c r="F210" s="31"/>
      <c r="G210" s="31"/>
      <c r="H210" s="31"/>
      <c r="I210" s="31"/>
      <c r="J210" s="31"/>
      <c r="K210" s="31"/>
      <c r="L210" s="31"/>
      <c r="M210" s="31"/>
      <c r="N210" s="30"/>
      <c r="O210" s="31"/>
      <c r="P210" s="31"/>
      <c r="Q210" s="31"/>
      <c r="R210" s="31"/>
      <c r="S210" s="30"/>
      <c r="T210" s="31"/>
      <c r="U210" s="31"/>
      <c r="V210" s="31"/>
      <c r="W210" s="31"/>
      <c r="X210" s="31"/>
      <c r="Y210" s="31"/>
      <c r="Z210" s="31"/>
      <c r="AA210" s="31"/>
      <c r="AB210" s="31"/>
      <c r="AC210" s="31"/>
      <c r="AD210" s="31"/>
      <c r="AE210" s="31"/>
      <c r="AF210" s="31"/>
    </row>
    <row r="211" ht="15.75" customHeight="1">
      <c r="A211" s="31"/>
      <c r="B211" s="31"/>
      <c r="C211" s="31"/>
      <c r="D211" s="31"/>
      <c r="E211" s="31"/>
      <c r="F211" s="31"/>
      <c r="G211" s="31"/>
      <c r="H211" s="31"/>
      <c r="I211" s="31"/>
      <c r="J211" s="31"/>
      <c r="K211" s="31"/>
      <c r="L211" s="31"/>
      <c r="M211" s="31"/>
      <c r="N211" s="30"/>
      <c r="O211" s="31"/>
      <c r="P211" s="31"/>
      <c r="Q211" s="31"/>
      <c r="R211" s="31"/>
      <c r="S211" s="30"/>
      <c r="T211" s="31"/>
      <c r="U211" s="31"/>
      <c r="V211" s="31"/>
      <c r="W211" s="31"/>
      <c r="X211" s="31"/>
      <c r="Y211" s="31"/>
      <c r="Z211" s="31"/>
      <c r="AA211" s="31"/>
      <c r="AB211" s="31"/>
      <c r="AC211" s="31"/>
      <c r="AD211" s="31"/>
      <c r="AE211" s="31"/>
      <c r="AF211" s="31"/>
    </row>
    <row r="212" ht="15.75" customHeight="1">
      <c r="A212" s="31"/>
      <c r="B212" s="31"/>
      <c r="C212" s="31"/>
      <c r="D212" s="31"/>
      <c r="E212" s="31"/>
      <c r="F212" s="31"/>
      <c r="G212" s="31"/>
      <c r="H212" s="31"/>
      <c r="I212" s="31"/>
      <c r="J212" s="31"/>
      <c r="K212" s="31"/>
      <c r="L212" s="31"/>
      <c r="M212" s="31"/>
      <c r="N212" s="30"/>
      <c r="O212" s="31"/>
      <c r="P212" s="31"/>
      <c r="Q212" s="31"/>
      <c r="R212" s="31"/>
      <c r="S212" s="30"/>
      <c r="T212" s="31"/>
      <c r="U212" s="31"/>
      <c r="V212" s="31"/>
      <c r="W212" s="31"/>
      <c r="X212" s="31"/>
      <c r="Y212" s="31"/>
      <c r="Z212" s="31"/>
      <c r="AA212" s="31"/>
      <c r="AB212" s="31"/>
      <c r="AC212" s="31"/>
      <c r="AD212" s="31"/>
      <c r="AE212" s="31"/>
      <c r="AF212" s="31"/>
    </row>
    <row r="213" ht="15.75" customHeight="1">
      <c r="A213" s="31"/>
      <c r="B213" s="31"/>
      <c r="C213" s="31"/>
      <c r="D213" s="31"/>
      <c r="E213" s="31"/>
      <c r="F213" s="31"/>
      <c r="G213" s="31"/>
      <c r="H213" s="31"/>
      <c r="I213" s="31"/>
      <c r="J213" s="31"/>
      <c r="K213" s="31"/>
      <c r="L213" s="31"/>
      <c r="M213" s="31"/>
      <c r="N213" s="30"/>
      <c r="O213" s="31"/>
      <c r="P213" s="31"/>
      <c r="Q213" s="31"/>
      <c r="R213" s="31"/>
      <c r="S213" s="30"/>
      <c r="T213" s="31"/>
      <c r="U213" s="31"/>
      <c r="V213" s="31"/>
      <c r="W213" s="31"/>
      <c r="X213" s="31"/>
      <c r="Y213" s="31"/>
      <c r="Z213" s="31"/>
      <c r="AA213" s="31"/>
      <c r="AB213" s="31"/>
      <c r="AC213" s="31"/>
      <c r="AD213" s="31"/>
      <c r="AE213" s="31"/>
      <c r="AF213" s="31"/>
    </row>
    <row r="214" ht="15.75" customHeight="1">
      <c r="A214" s="31"/>
      <c r="B214" s="31"/>
      <c r="C214" s="31"/>
      <c r="D214" s="31"/>
      <c r="E214" s="31"/>
      <c r="F214" s="31"/>
      <c r="G214" s="31"/>
      <c r="H214" s="31"/>
      <c r="I214" s="31"/>
      <c r="J214" s="31"/>
      <c r="K214" s="31"/>
      <c r="L214" s="31"/>
      <c r="M214" s="31"/>
      <c r="N214" s="30"/>
      <c r="O214" s="31"/>
      <c r="P214" s="31"/>
      <c r="Q214" s="31"/>
      <c r="R214" s="31"/>
      <c r="S214" s="30"/>
      <c r="T214" s="31"/>
      <c r="U214" s="31"/>
      <c r="V214" s="31"/>
      <c r="W214" s="31"/>
      <c r="X214" s="31"/>
      <c r="Y214" s="31"/>
      <c r="Z214" s="31"/>
      <c r="AA214" s="31"/>
      <c r="AB214" s="31"/>
      <c r="AC214" s="31"/>
      <c r="AD214" s="31"/>
      <c r="AE214" s="31"/>
      <c r="AF214" s="31"/>
    </row>
    <row r="215" ht="15.75" customHeight="1">
      <c r="A215" s="31"/>
      <c r="B215" s="31"/>
      <c r="C215" s="31"/>
      <c r="D215" s="31"/>
      <c r="E215" s="31"/>
      <c r="F215" s="31"/>
      <c r="G215" s="31"/>
      <c r="H215" s="31"/>
      <c r="I215" s="31"/>
      <c r="J215" s="31"/>
      <c r="K215" s="31"/>
      <c r="L215" s="31"/>
      <c r="M215" s="31"/>
      <c r="N215" s="30"/>
      <c r="O215" s="31"/>
      <c r="P215" s="31"/>
      <c r="Q215" s="31"/>
      <c r="R215" s="31"/>
      <c r="S215" s="30"/>
      <c r="T215" s="31"/>
      <c r="U215" s="31"/>
      <c r="V215" s="31"/>
      <c r="W215" s="31"/>
      <c r="X215" s="31"/>
      <c r="Y215" s="31"/>
      <c r="Z215" s="31"/>
      <c r="AA215" s="31"/>
      <c r="AB215" s="31"/>
      <c r="AC215" s="31"/>
      <c r="AD215" s="31"/>
      <c r="AE215" s="31"/>
      <c r="AF215" s="31"/>
    </row>
    <row r="216" ht="15.75" customHeight="1">
      <c r="A216" s="31"/>
      <c r="B216" s="31"/>
      <c r="C216" s="31"/>
      <c r="D216" s="31"/>
      <c r="E216" s="31"/>
      <c r="F216" s="31"/>
      <c r="G216" s="31"/>
      <c r="H216" s="31"/>
      <c r="I216" s="31"/>
      <c r="J216" s="31"/>
      <c r="K216" s="31"/>
      <c r="L216" s="31"/>
      <c r="M216" s="31"/>
      <c r="N216" s="30"/>
      <c r="O216" s="31"/>
      <c r="P216" s="31"/>
      <c r="Q216" s="31"/>
      <c r="R216" s="31"/>
      <c r="S216" s="30"/>
      <c r="T216" s="31"/>
      <c r="U216" s="31"/>
      <c r="V216" s="31"/>
      <c r="W216" s="31"/>
      <c r="X216" s="31"/>
      <c r="Y216" s="31"/>
      <c r="Z216" s="31"/>
      <c r="AA216" s="31"/>
      <c r="AB216" s="31"/>
      <c r="AC216" s="31"/>
      <c r="AD216" s="31"/>
      <c r="AE216" s="31"/>
      <c r="AF216" s="31"/>
    </row>
    <row r="217" ht="15.75" customHeight="1">
      <c r="A217" s="31"/>
      <c r="B217" s="31"/>
      <c r="C217" s="31"/>
      <c r="D217" s="31"/>
      <c r="E217" s="31"/>
      <c r="F217" s="31"/>
      <c r="G217" s="31"/>
      <c r="H217" s="31"/>
      <c r="I217" s="31"/>
      <c r="J217" s="31"/>
      <c r="K217" s="31"/>
      <c r="L217" s="31"/>
      <c r="M217" s="31"/>
      <c r="N217" s="30"/>
      <c r="O217" s="31"/>
      <c r="P217" s="31"/>
      <c r="Q217" s="31"/>
      <c r="R217" s="31"/>
      <c r="S217" s="30"/>
      <c r="T217" s="31"/>
      <c r="U217" s="31"/>
      <c r="V217" s="31"/>
      <c r="W217" s="31"/>
      <c r="X217" s="31"/>
      <c r="Y217" s="31"/>
      <c r="Z217" s="31"/>
      <c r="AA217" s="31"/>
      <c r="AB217" s="31"/>
      <c r="AC217" s="31"/>
      <c r="AD217" s="31"/>
      <c r="AE217" s="31"/>
      <c r="AF217" s="31"/>
    </row>
    <row r="218" ht="15.75" customHeight="1">
      <c r="A218" s="31"/>
      <c r="B218" s="31"/>
      <c r="C218" s="31"/>
      <c r="D218" s="31"/>
      <c r="E218" s="31"/>
      <c r="F218" s="31"/>
      <c r="G218" s="31"/>
      <c r="H218" s="31"/>
      <c r="I218" s="31"/>
      <c r="J218" s="31"/>
      <c r="K218" s="31"/>
      <c r="L218" s="31"/>
      <c r="M218" s="31"/>
      <c r="N218" s="30"/>
      <c r="O218" s="31"/>
      <c r="P218" s="31"/>
      <c r="Q218" s="31"/>
      <c r="R218" s="31"/>
      <c r="S218" s="30"/>
      <c r="T218" s="31"/>
      <c r="U218" s="31"/>
      <c r="V218" s="31"/>
      <c r="W218" s="31"/>
      <c r="X218" s="31"/>
      <c r="Y218" s="31"/>
      <c r="Z218" s="31"/>
      <c r="AA218" s="31"/>
      <c r="AB218" s="31"/>
      <c r="AC218" s="31"/>
      <c r="AD218" s="31"/>
      <c r="AE218" s="31"/>
      <c r="AF218" s="31"/>
    </row>
    <row r="219" ht="15.75" customHeight="1">
      <c r="A219" s="31"/>
      <c r="B219" s="31"/>
      <c r="C219" s="31"/>
      <c r="D219" s="31"/>
      <c r="E219" s="31"/>
      <c r="F219" s="31"/>
      <c r="G219" s="31"/>
      <c r="H219" s="31"/>
      <c r="I219" s="31"/>
      <c r="J219" s="31"/>
      <c r="K219" s="31"/>
      <c r="L219" s="31"/>
      <c r="M219" s="31"/>
      <c r="N219" s="30"/>
      <c r="O219" s="31"/>
      <c r="P219" s="31"/>
      <c r="Q219" s="31"/>
      <c r="R219" s="31"/>
      <c r="S219" s="30"/>
      <c r="T219" s="31"/>
      <c r="U219" s="31"/>
      <c r="V219" s="31"/>
      <c r="W219" s="31"/>
      <c r="X219" s="31"/>
      <c r="Y219" s="31"/>
      <c r="Z219" s="31"/>
      <c r="AA219" s="31"/>
      <c r="AB219" s="31"/>
      <c r="AC219" s="31"/>
      <c r="AD219" s="31"/>
      <c r="AE219" s="31"/>
      <c r="AF219" s="31"/>
    </row>
    <row r="220" ht="15.75" customHeight="1">
      <c r="A220" s="31"/>
      <c r="B220" s="31"/>
      <c r="C220" s="31"/>
      <c r="D220" s="31"/>
      <c r="E220" s="31"/>
      <c r="F220" s="31"/>
      <c r="G220" s="31"/>
      <c r="H220" s="31"/>
      <c r="I220" s="31"/>
      <c r="J220" s="31"/>
      <c r="K220" s="31"/>
      <c r="L220" s="31"/>
      <c r="M220" s="31"/>
      <c r="N220" s="30"/>
      <c r="O220" s="31"/>
      <c r="P220" s="31"/>
      <c r="Q220" s="31"/>
      <c r="R220" s="31"/>
      <c r="S220" s="30"/>
      <c r="T220" s="31"/>
      <c r="U220" s="31"/>
      <c r="V220" s="31"/>
      <c r="W220" s="31"/>
      <c r="X220" s="31"/>
      <c r="Y220" s="31"/>
      <c r="Z220" s="31"/>
      <c r="AA220" s="31"/>
      <c r="AB220" s="31"/>
      <c r="AC220" s="31"/>
      <c r="AD220" s="31"/>
      <c r="AE220" s="31"/>
      <c r="AF220" s="31"/>
    </row>
    <row r="221" ht="15.75" customHeight="1">
      <c r="A221" s="31"/>
      <c r="B221" s="31"/>
      <c r="C221" s="31"/>
      <c r="D221" s="31"/>
      <c r="E221" s="31"/>
      <c r="F221" s="31"/>
      <c r="G221" s="31"/>
      <c r="H221" s="31"/>
      <c r="I221" s="31"/>
      <c r="J221" s="31"/>
      <c r="K221" s="31"/>
      <c r="L221" s="31"/>
      <c r="M221" s="31"/>
      <c r="N221" s="30"/>
      <c r="O221" s="31"/>
      <c r="P221" s="31"/>
      <c r="Q221" s="31"/>
      <c r="R221" s="31"/>
      <c r="S221" s="30"/>
      <c r="T221" s="31"/>
      <c r="U221" s="31"/>
      <c r="V221" s="31"/>
      <c r="W221" s="31"/>
      <c r="X221" s="31"/>
      <c r="Y221" s="31"/>
      <c r="Z221" s="31"/>
      <c r="AA221" s="31"/>
      <c r="AB221" s="31"/>
      <c r="AC221" s="31"/>
      <c r="AD221" s="31"/>
      <c r="AE221" s="31"/>
      <c r="AF221" s="31"/>
    </row>
    <row r="222" ht="15.75" customHeight="1">
      <c r="A222" s="31"/>
      <c r="B222" s="31"/>
      <c r="C222" s="31"/>
      <c r="D222" s="31"/>
      <c r="E222" s="31"/>
      <c r="F222" s="31"/>
      <c r="G222" s="31"/>
      <c r="H222" s="31"/>
      <c r="I222" s="31"/>
      <c r="J222" s="31"/>
      <c r="K222" s="31"/>
      <c r="L222" s="31"/>
      <c r="M222" s="31"/>
      <c r="N222" s="30"/>
      <c r="O222" s="31"/>
      <c r="P222" s="31"/>
      <c r="Q222" s="31"/>
      <c r="R222" s="31"/>
      <c r="S222" s="30"/>
      <c r="T222" s="31"/>
      <c r="U222" s="31"/>
      <c r="V222" s="31"/>
      <c r="W222" s="31"/>
      <c r="X222" s="31"/>
      <c r="Y222" s="31"/>
      <c r="Z222" s="31"/>
      <c r="AA222" s="31"/>
      <c r="AB222" s="31"/>
      <c r="AC222" s="31"/>
      <c r="AD222" s="31"/>
      <c r="AE222" s="31"/>
      <c r="AF222" s="31"/>
    </row>
    <row r="223" ht="15.75" customHeight="1">
      <c r="A223" s="31"/>
      <c r="B223" s="31"/>
      <c r="C223" s="31"/>
      <c r="D223" s="31"/>
      <c r="E223" s="31"/>
      <c r="F223" s="31"/>
      <c r="G223" s="31"/>
      <c r="H223" s="31"/>
      <c r="I223" s="31"/>
      <c r="J223" s="31"/>
      <c r="K223" s="31"/>
      <c r="L223" s="31"/>
      <c r="M223" s="31"/>
      <c r="N223" s="30"/>
      <c r="O223" s="31"/>
      <c r="P223" s="31"/>
      <c r="Q223" s="31"/>
      <c r="R223" s="31"/>
      <c r="S223" s="30"/>
      <c r="T223" s="31"/>
      <c r="U223" s="31"/>
      <c r="V223" s="31"/>
      <c r="W223" s="31"/>
      <c r="X223" s="31"/>
      <c r="Y223" s="31"/>
      <c r="Z223" s="31"/>
      <c r="AA223" s="31"/>
      <c r="AB223" s="31"/>
      <c r="AC223" s="31"/>
      <c r="AD223" s="31"/>
      <c r="AE223" s="31"/>
      <c r="AF223" s="31"/>
    </row>
    <row r="224" ht="15.75" customHeight="1">
      <c r="A224" s="31"/>
      <c r="B224" s="31"/>
      <c r="C224" s="31"/>
      <c r="D224" s="31"/>
      <c r="E224" s="31"/>
      <c r="F224" s="31"/>
      <c r="G224" s="31"/>
      <c r="H224" s="31"/>
      <c r="I224" s="31"/>
      <c r="J224" s="31"/>
      <c r="K224" s="31"/>
      <c r="L224" s="31"/>
      <c r="M224" s="31"/>
      <c r="N224" s="30"/>
      <c r="O224" s="31"/>
      <c r="P224" s="31"/>
      <c r="Q224" s="31"/>
      <c r="R224" s="31"/>
      <c r="S224" s="30"/>
      <c r="T224" s="31"/>
      <c r="U224" s="31"/>
      <c r="V224" s="31"/>
      <c r="W224" s="31"/>
      <c r="X224" s="31"/>
      <c r="Y224" s="31"/>
      <c r="Z224" s="31"/>
      <c r="AA224" s="31"/>
      <c r="AB224" s="31"/>
      <c r="AC224" s="31"/>
      <c r="AD224" s="31"/>
      <c r="AE224" s="31"/>
      <c r="AF224" s="31"/>
    </row>
    <row r="225" ht="15.75" customHeight="1">
      <c r="A225" s="31"/>
      <c r="B225" s="31"/>
      <c r="C225" s="31"/>
      <c r="D225" s="31"/>
      <c r="E225" s="31"/>
      <c r="F225" s="31"/>
      <c r="G225" s="31"/>
      <c r="H225" s="31"/>
      <c r="I225" s="31"/>
      <c r="J225" s="31"/>
      <c r="K225" s="31"/>
      <c r="L225" s="31"/>
      <c r="M225" s="31"/>
      <c r="N225" s="30"/>
      <c r="O225" s="31"/>
      <c r="P225" s="31"/>
      <c r="Q225" s="31"/>
      <c r="R225" s="31"/>
      <c r="S225" s="30"/>
      <c r="T225" s="31"/>
      <c r="U225" s="31"/>
      <c r="V225" s="31"/>
      <c r="W225" s="31"/>
      <c r="X225" s="31"/>
      <c r="Y225" s="31"/>
      <c r="Z225" s="31"/>
      <c r="AA225" s="31"/>
      <c r="AB225" s="31"/>
      <c r="AC225" s="31"/>
      <c r="AD225" s="31"/>
      <c r="AE225" s="31"/>
      <c r="AF225" s="31"/>
    </row>
    <row r="226" ht="15.75" customHeight="1">
      <c r="A226" s="31"/>
      <c r="B226" s="31"/>
      <c r="C226" s="31"/>
      <c r="D226" s="31"/>
      <c r="E226" s="31"/>
      <c r="F226" s="31"/>
      <c r="G226" s="31"/>
      <c r="H226" s="31"/>
      <c r="I226" s="31"/>
      <c r="J226" s="31"/>
      <c r="K226" s="31"/>
      <c r="L226" s="31"/>
      <c r="M226" s="31"/>
      <c r="N226" s="30"/>
      <c r="O226" s="31"/>
      <c r="P226" s="31"/>
      <c r="Q226" s="31"/>
      <c r="R226" s="31"/>
      <c r="S226" s="30"/>
      <c r="T226" s="31"/>
      <c r="U226" s="31"/>
      <c r="V226" s="31"/>
      <c r="W226" s="31"/>
      <c r="X226" s="31"/>
      <c r="Y226" s="31"/>
      <c r="Z226" s="31"/>
      <c r="AA226" s="31"/>
      <c r="AB226" s="31"/>
      <c r="AC226" s="31"/>
      <c r="AD226" s="31"/>
      <c r="AE226" s="31"/>
      <c r="AF226" s="31"/>
    </row>
    <row r="227" ht="15.75" customHeight="1">
      <c r="A227" s="31"/>
      <c r="B227" s="31"/>
      <c r="C227" s="31"/>
      <c r="D227" s="31"/>
      <c r="E227" s="31"/>
      <c r="F227" s="31"/>
      <c r="G227" s="31"/>
      <c r="H227" s="31"/>
      <c r="I227" s="31"/>
      <c r="J227" s="31"/>
      <c r="K227" s="31"/>
      <c r="L227" s="31"/>
      <c r="M227" s="31"/>
      <c r="N227" s="30"/>
      <c r="O227" s="31"/>
      <c r="P227" s="31"/>
      <c r="Q227" s="31"/>
      <c r="R227" s="31"/>
      <c r="S227" s="30"/>
      <c r="T227" s="31"/>
      <c r="U227" s="31"/>
      <c r="V227" s="31"/>
      <c r="W227" s="31"/>
      <c r="X227" s="31"/>
      <c r="Y227" s="31"/>
      <c r="Z227" s="31"/>
      <c r="AA227" s="31"/>
      <c r="AB227" s="31"/>
      <c r="AC227" s="31"/>
      <c r="AD227" s="31"/>
      <c r="AE227" s="31"/>
      <c r="AF227" s="31"/>
    </row>
    <row r="228" ht="15.75" customHeight="1">
      <c r="A228" s="31"/>
      <c r="B228" s="31"/>
      <c r="C228" s="31"/>
      <c r="D228" s="31"/>
      <c r="E228" s="31"/>
      <c r="F228" s="31"/>
      <c r="G228" s="31"/>
      <c r="H228" s="31"/>
      <c r="I228" s="31"/>
      <c r="J228" s="31"/>
      <c r="K228" s="31"/>
      <c r="L228" s="31"/>
      <c r="M228" s="31"/>
      <c r="N228" s="30"/>
      <c r="O228" s="31"/>
      <c r="P228" s="31"/>
      <c r="Q228" s="31"/>
      <c r="R228" s="31"/>
      <c r="S228" s="30"/>
      <c r="T228" s="31"/>
      <c r="U228" s="31"/>
      <c r="V228" s="31"/>
      <c r="W228" s="31"/>
      <c r="X228" s="31"/>
      <c r="Y228" s="31"/>
      <c r="Z228" s="31"/>
      <c r="AA228" s="31"/>
      <c r="AB228" s="31"/>
      <c r="AC228" s="31"/>
      <c r="AD228" s="31"/>
      <c r="AE228" s="31"/>
      <c r="AF228" s="31"/>
    </row>
    <row r="229" ht="15.75" customHeight="1">
      <c r="E229" s="84"/>
      <c r="J229" s="84"/>
      <c r="L229" s="84"/>
      <c r="M229" s="84"/>
      <c r="O229" s="84"/>
      <c r="R229" s="84"/>
    </row>
    <row r="230" ht="15.75" customHeight="1">
      <c r="E230" s="84"/>
      <c r="J230" s="84"/>
      <c r="L230" s="84"/>
      <c r="M230" s="84"/>
      <c r="O230" s="84"/>
      <c r="R230" s="84"/>
    </row>
    <row r="231" ht="15.75" customHeight="1">
      <c r="E231" s="84"/>
      <c r="J231" s="84"/>
      <c r="L231" s="84"/>
      <c r="M231" s="84"/>
      <c r="O231" s="84"/>
      <c r="R231" s="84"/>
    </row>
    <row r="232" ht="15.75" customHeight="1">
      <c r="E232" s="84"/>
      <c r="J232" s="84"/>
      <c r="L232" s="84"/>
      <c r="M232" s="84"/>
      <c r="O232" s="84"/>
      <c r="R232" s="84"/>
    </row>
    <row r="233" ht="15.75" customHeight="1">
      <c r="E233" s="84"/>
      <c r="J233" s="84"/>
      <c r="L233" s="84"/>
      <c r="M233" s="84"/>
      <c r="O233" s="84"/>
      <c r="R233" s="84"/>
    </row>
    <row r="234" ht="15.75" customHeight="1">
      <c r="E234" s="84"/>
      <c r="J234" s="84"/>
      <c r="L234" s="84"/>
      <c r="M234" s="84"/>
      <c r="O234" s="84"/>
      <c r="R234" s="84"/>
    </row>
    <row r="235" ht="15.75" customHeight="1">
      <c r="E235" s="84"/>
      <c r="J235" s="84"/>
      <c r="L235" s="84"/>
      <c r="M235" s="84"/>
      <c r="O235" s="84"/>
      <c r="R235" s="84"/>
    </row>
    <row r="236" ht="15.75" customHeight="1">
      <c r="E236" s="84"/>
      <c r="J236" s="84"/>
      <c r="L236" s="84"/>
      <c r="M236" s="84"/>
      <c r="O236" s="84"/>
      <c r="R236" s="84"/>
    </row>
    <row r="237" ht="15.75" customHeight="1">
      <c r="E237" s="84"/>
      <c r="J237" s="84"/>
      <c r="L237" s="84"/>
      <c r="M237" s="84"/>
      <c r="O237" s="84"/>
      <c r="R237" s="84"/>
    </row>
    <row r="238" ht="15.75" customHeight="1">
      <c r="E238" s="84"/>
      <c r="J238" s="84"/>
      <c r="L238" s="84"/>
      <c r="M238" s="84"/>
      <c r="O238" s="84"/>
      <c r="R238" s="84"/>
    </row>
    <row r="239" ht="15.75" customHeight="1">
      <c r="E239" s="84"/>
      <c r="J239" s="84"/>
      <c r="L239" s="84"/>
      <c r="M239" s="84"/>
      <c r="O239" s="84"/>
      <c r="R239" s="84"/>
    </row>
    <row r="240" ht="15.75" customHeight="1">
      <c r="E240" s="84"/>
      <c r="J240" s="84"/>
      <c r="L240" s="84"/>
      <c r="M240" s="84"/>
      <c r="O240" s="84"/>
      <c r="R240" s="84"/>
    </row>
    <row r="241" ht="15.75" customHeight="1">
      <c r="E241" s="84"/>
      <c r="J241" s="84"/>
      <c r="L241" s="84"/>
      <c r="M241" s="84"/>
      <c r="O241" s="84"/>
      <c r="R241" s="84"/>
    </row>
    <row r="242" ht="15.75" customHeight="1">
      <c r="E242" s="84"/>
      <c r="J242" s="84"/>
      <c r="L242" s="84"/>
      <c r="M242" s="84"/>
      <c r="O242" s="84"/>
      <c r="R242" s="84"/>
    </row>
    <row r="243" ht="15.75" customHeight="1">
      <c r="E243" s="84"/>
      <c r="J243" s="84"/>
      <c r="L243" s="84"/>
      <c r="M243" s="84"/>
      <c r="O243" s="84"/>
      <c r="R243" s="84"/>
    </row>
    <row r="244" ht="15.75" customHeight="1">
      <c r="E244" s="84"/>
      <c r="J244" s="84"/>
      <c r="L244" s="84"/>
      <c r="M244" s="84"/>
      <c r="O244" s="84"/>
      <c r="R244" s="84"/>
    </row>
    <row r="245" ht="15.75" customHeight="1">
      <c r="E245" s="84"/>
      <c r="J245" s="84"/>
      <c r="L245" s="84"/>
      <c r="M245" s="84"/>
      <c r="O245" s="84"/>
      <c r="R245" s="84"/>
    </row>
    <row r="246" ht="15.75" customHeight="1">
      <c r="E246" s="84"/>
      <c r="J246" s="84"/>
      <c r="L246" s="84"/>
      <c r="M246" s="84"/>
      <c r="O246" s="84"/>
      <c r="R246" s="84"/>
    </row>
    <row r="247" ht="15.75" customHeight="1">
      <c r="E247" s="84"/>
      <c r="J247" s="84"/>
      <c r="L247" s="84"/>
      <c r="M247" s="84"/>
      <c r="O247" s="84"/>
      <c r="R247" s="84"/>
    </row>
    <row r="248" ht="15.75" customHeight="1">
      <c r="E248" s="84"/>
      <c r="J248" s="84"/>
      <c r="L248" s="84"/>
      <c r="M248" s="84"/>
      <c r="O248" s="84"/>
      <c r="R248" s="84"/>
    </row>
    <row r="249" ht="15.75" customHeight="1">
      <c r="E249" s="84"/>
      <c r="J249" s="84"/>
      <c r="L249" s="84"/>
      <c r="M249" s="84"/>
      <c r="O249" s="84"/>
      <c r="R249" s="84"/>
    </row>
    <row r="250" ht="15.75" customHeight="1">
      <c r="E250" s="84"/>
      <c r="J250" s="84"/>
      <c r="L250" s="84"/>
      <c r="M250" s="84"/>
      <c r="O250" s="84"/>
      <c r="R250" s="84"/>
    </row>
    <row r="251" ht="15.75" customHeight="1">
      <c r="E251" s="84"/>
      <c r="J251" s="84"/>
      <c r="L251" s="84"/>
      <c r="M251" s="84"/>
      <c r="O251" s="84"/>
      <c r="R251" s="84"/>
    </row>
    <row r="252" ht="15.75" customHeight="1">
      <c r="E252" s="84"/>
      <c r="J252" s="84"/>
      <c r="L252" s="84"/>
      <c r="M252" s="84"/>
      <c r="O252" s="84"/>
      <c r="R252" s="84"/>
    </row>
    <row r="253" ht="15.75" customHeight="1">
      <c r="E253" s="84"/>
      <c r="J253" s="84"/>
      <c r="L253" s="84"/>
      <c r="M253" s="84"/>
      <c r="O253" s="84"/>
      <c r="R253" s="84"/>
    </row>
    <row r="254" ht="15.75" customHeight="1">
      <c r="E254" s="84"/>
      <c r="J254" s="84"/>
      <c r="L254" s="84"/>
      <c r="M254" s="84"/>
      <c r="O254" s="84"/>
      <c r="R254" s="84"/>
    </row>
    <row r="255" ht="15.75" customHeight="1">
      <c r="E255" s="84"/>
      <c r="J255" s="84"/>
      <c r="L255" s="84"/>
      <c r="M255" s="84"/>
      <c r="O255" s="84"/>
      <c r="R255" s="84"/>
    </row>
    <row r="256" ht="15.75" customHeight="1">
      <c r="E256" s="84"/>
      <c r="J256" s="84"/>
      <c r="L256" s="84"/>
      <c r="M256" s="84"/>
      <c r="O256" s="84"/>
      <c r="R256" s="84"/>
    </row>
    <row r="257" ht="15.75" customHeight="1">
      <c r="E257" s="84"/>
      <c r="J257" s="84"/>
      <c r="L257" s="84"/>
      <c r="M257" s="84"/>
      <c r="O257" s="84"/>
      <c r="R257" s="84"/>
    </row>
    <row r="258" ht="15.75" customHeight="1">
      <c r="E258" s="84"/>
      <c r="J258" s="84"/>
      <c r="L258" s="84"/>
      <c r="M258" s="84"/>
      <c r="O258" s="84"/>
      <c r="R258" s="84"/>
    </row>
    <row r="259" ht="15.75" customHeight="1">
      <c r="E259" s="84"/>
      <c r="J259" s="84"/>
      <c r="L259" s="84"/>
      <c r="M259" s="84"/>
      <c r="O259" s="84"/>
      <c r="R259" s="84"/>
    </row>
    <row r="260" ht="15.75" customHeight="1">
      <c r="E260" s="84"/>
      <c r="J260" s="84"/>
      <c r="L260" s="84"/>
      <c r="M260" s="84"/>
      <c r="O260" s="84"/>
      <c r="R260" s="84"/>
    </row>
    <row r="261" ht="15.75" customHeight="1">
      <c r="E261" s="84"/>
      <c r="J261" s="84"/>
      <c r="L261" s="84"/>
      <c r="M261" s="84"/>
      <c r="O261" s="84"/>
      <c r="R261" s="84"/>
    </row>
    <row r="262" ht="15.75" customHeight="1">
      <c r="E262" s="84"/>
      <c r="J262" s="84"/>
      <c r="L262" s="84"/>
      <c r="M262" s="84"/>
      <c r="O262" s="84"/>
      <c r="R262" s="84"/>
    </row>
    <row r="263" ht="15.75" customHeight="1">
      <c r="E263" s="84"/>
      <c r="J263" s="84"/>
      <c r="L263" s="84"/>
      <c r="M263" s="84"/>
      <c r="O263" s="84"/>
      <c r="R263" s="84"/>
    </row>
    <row r="264" ht="15.75" customHeight="1">
      <c r="E264" s="84"/>
      <c r="J264" s="84"/>
      <c r="L264" s="84"/>
      <c r="M264" s="84"/>
      <c r="O264" s="84"/>
      <c r="R264" s="84"/>
    </row>
    <row r="265" ht="15.75" customHeight="1">
      <c r="E265" s="84"/>
      <c r="J265" s="84"/>
      <c r="L265" s="84"/>
      <c r="M265" s="84"/>
      <c r="O265" s="84"/>
      <c r="R265" s="84"/>
    </row>
    <row r="266" ht="15.75" customHeight="1">
      <c r="E266" s="84"/>
      <c r="J266" s="84"/>
      <c r="L266" s="84"/>
      <c r="M266" s="84"/>
      <c r="O266" s="84"/>
      <c r="R266" s="84"/>
    </row>
    <row r="267" ht="15.75" customHeight="1">
      <c r="E267" s="84"/>
      <c r="J267" s="84"/>
      <c r="L267" s="84"/>
      <c r="M267" s="84"/>
      <c r="O267" s="84"/>
      <c r="R267" s="84"/>
    </row>
    <row r="268" ht="15.75" customHeight="1">
      <c r="E268" s="84"/>
      <c r="J268" s="84"/>
      <c r="L268" s="84"/>
      <c r="M268" s="84"/>
      <c r="O268" s="84"/>
      <c r="R268" s="84"/>
    </row>
    <row r="269" ht="15.75" customHeight="1">
      <c r="E269" s="84"/>
      <c r="J269" s="84"/>
      <c r="L269" s="84"/>
      <c r="M269" s="84"/>
      <c r="O269" s="84"/>
      <c r="R269" s="84"/>
    </row>
    <row r="270" ht="15.75" customHeight="1">
      <c r="E270" s="84"/>
      <c r="J270" s="84"/>
      <c r="L270" s="84"/>
      <c r="M270" s="84"/>
      <c r="O270" s="84"/>
      <c r="R270" s="84"/>
    </row>
    <row r="271" ht="15.75" customHeight="1">
      <c r="E271" s="84"/>
      <c r="J271" s="84"/>
      <c r="L271" s="84"/>
      <c r="M271" s="84"/>
      <c r="O271" s="84"/>
      <c r="R271" s="84"/>
    </row>
    <row r="272" ht="15.75" customHeight="1">
      <c r="E272" s="84"/>
      <c r="J272" s="84"/>
      <c r="L272" s="84"/>
      <c r="M272" s="84"/>
      <c r="O272" s="84"/>
      <c r="R272" s="84"/>
    </row>
    <row r="273" ht="15.75" customHeight="1">
      <c r="E273" s="84"/>
      <c r="J273" s="84"/>
      <c r="L273" s="84"/>
      <c r="M273" s="84"/>
      <c r="O273" s="84"/>
      <c r="R273" s="84"/>
    </row>
    <row r="274" ht="15.75" customHeight="1">
      <c r="E274" s="84"/>
      <c r="J274" s="84"/>
      <c r="L274" s="84"/>
      <c r="M274" s="84"/>
      <c r="O274" s="84"/>
      <c r="R274" s="84"/>
    </row>
    <row r="275" ht="15.75" customHeight="1">
      <c r="E275" s="84"/>
      <c r="J275" s="84"/>
      <c r="L275" s="84"/>
      <c r="M275" s="84"/>
      <c r="O275" s="84"/>
      <c r="R275" s="84"/>
    </row>
    <row r="276" ht="15.75" customHeight="1">
      <c r="E276" s="84"/>
      <c r="J276" s="84"/>
      <c r="L276" s="84"/>
      <c r="M276" s="84"/>
      <c r="O276" s="84"/>
      <c r="R276" s="84"/>
    </row>
    <row r="277" ht="15.75" customHeight="1">
      <c r="E277" s="84"/>
      <c r="J277" s="84"/>
      <c r="L277" s="84"/>
      <c r="M277" s="84"/>
      <c r="O277" s="84"/>
      <c r="R277" s="84"/>
    </row>
    <row r="278" ht="15.75" customHeight="1">
      <c r="E278" s="84"/>
      <c r="J278" s="84"/>
      <c r="L278" s="84"/>
      <c r="M278" s="84"/>
      <c r="O278" s="84"/>
      <c r="R278" s="84"/>
    </row>
    <row r="279" ht="15.75" customHeight="1">
      <c r="E279" s="84"/>
      <c r="J279" s="84"/>
      <c r="L279" s="84"/>
      <c r="M279" s="84"/>
      <c r="O279" s="84"/>
      <c r="R279" s="84"/>
    </row>
    <row r="280" ht="15.75" customHeight="1">
      <c r="E280" s="84"/>
      <c r="J280" s="84"/>
      <c r="L280" s="84"/>
      <c r="M280" s="84"/>
      <c r="O280" s="84"/>
      <c r="R280" s="84"/>
    </row>
    <row r="281" ht="15.75" customHeight="1">
      <c r="E281" s="84"/>
      <c r="J281" s="84"/>
      <c r="L281" s="84"/>
      <c r="M281" s="84"/>
      <c r="O281" s="84"/>
      <c r="R281" s="84"/>
    </row>
    <row r="282" ht="15.75" customHeight="1">
      <c r="E282" s="84"/>
      <c r="J282" s="84"/>
      <c r="L282" s="84"/>
      <c r="M282" s="84"/>
      <c r="O282" s="84"/>
      <c r="R282" s="84"/>
    </row>
    <row r="283" ht="15.75" customHeight="1">
      <c r="E283" s="84"/>
      <c r="J283" s="84"/>
      <c r="L283" s="84"/>
      <c r="M283" s="84"/>
      <c r="O283" s="84"/>
      <c r="R283" s="84"/>
    </row>
    <row r="284" ht="15.75" customHeight="1">
      <c r="E284" s="84"/>
      <c r="J284" s="84"/>
      <c r="L284" s="84"/>
      <c r="M284" s="84"/>
      <c r="O284" s="84"/>
      <c r="R284" s="84"/>
    </row>
    <row r="285" ht="15.75" customHeight="1">
      <c r="E285" s="84"/>
      <c r="J285" s="84"/>
      <c r="L285" s="84"/>
      <c r="M285" s="84"/>
      <c r="O285" s="84"/>
      <c r="R285" s="84"/>
    </row>
    <row r="286" ht="15.75" customHeight="1">
      <c r="E286" s="84"/>
      <c r="J286" s="84"/>
      <c r="L286" s="84"/>
      <c r="M286" s="84"/>
      <c r="O286" s="84"/>
      <c r="R286" s="84"/>
    </row>
    <row r="287" ht="15.75" customHeight="1">
      <c r="E287" s="84"/>
      <c r="J287" s="84"/>
      <c r="L287" s="84"/>
      <c r="M287" s="84"/>
      <c r="O287" s="84"/>
      <c r="R287" s="84"/>
    </row>
    <row r="288" ht="15.75" customHeight="1">
      <c r="E288" s="84"/>
      <c r="J288" s="84"/>
      <c r="L288" s="84"/>
      <c r="M288" s="84"/>
      <c r="O288" s="84"/>
      <c r="R288" s="84"/>
    </row>
    <row r="289" ht="15.75" customHeight="1">
      <c r="E289" s="84"/>
      <c r="J289" s="84"/>
      <c r="L289" s="84"/>
      <c r="M289" s="84"/>
      <c r="O289" s="84"/>
      <c r="R289" s="84"/>
    </row>
    <row r="290" ht="15.75" customHeight="1">
      <c r="E290" s="84"/>
      <c r="J290" s="84"/>
      <c r="L290" s="84"/>
      <c r="M290" s="84"/>
      <c r="O290" s="84"/>
      <c r="R290" s="84"/>
    </row>
    <row r="291" ht="15.75" customHeight="1">
      <c r="E291" s="84"/>
      <c r="J291" s="84"/>
      <c r="L291" s="84"/>
      <c r="M291" s="84"/>
      <c r="O291" s="84"/>
      <c r="R291" s="84"/>
    </row>
    <row r="292" ht="15.75" customHeight="1">
      <c r="E292" s="84"/>
      <c r="J292" s="84"/>
      <c r="L292" s="84"/>
      <c r="M292" s="84"/>
      <c r="O292" s="84"/>
      <c r="R292" s="84"/>
    </row>
    <row r="293" ht="15.75" customHeight="1">
      <c r="E293" s="84"/>
      <c r="J293" s="84"/>
      <c r="L293" s="84"/>
      <c r="M293" s="84"/>
      <c r="O293" s="84"/>
      <c r="R293" s="84"/>
    </row>
    <row r="294" ht="15.75" customHeight="1">
      <c r="E294" s="84"/>
      <c r="J294" s="84"/>
      <c r="L294" s="84"/>
      <c r="M294" s="84"/>
      <c r="O294" s="84"/>
      <c r="R294" s="84"/>
    </row>
    <row r="295" ht="15.75" customHeight="1">
      <c r="E295" s="84"/>
      <c r="J295" s="84"/>
      <c r="L295" s="84"/>
      <c r="M295" s="84"/>
      <c r="O295" s="84"/>
      <c r="R295" s="84"/>
    </row>
    <row r="296" ht="15.75" customHeight="1">
      <c r="E296" s="84"/>
      <c r="J296" s="84"/>
      <c r="L296" s="84"/>
      <c r="M296" s="84"/>
      <c r="O296" s="84"/>
      <c r="R296" s="84"/>
    </row>
    <row r="297" ht="15.75" customHeight="1">
      <c r="E297" s="84"/>
      <c r="J297" s="84"/>
      <c r="L297" s="84"/>
      <c r="M297" s="84"/>
      <c r="O297" s="84"/>
      <c r="R297" s="84"/>
    </row>
    <row r="298" ht="15.75" customHeight="1">
      <c r="E298" s="84"/>
      <c r="J298" s="84"/>
      <c r="L298" s="84"/>
      <c r="M298" s="84"/>
      <c r="O298" s="84"/>
      <c r="R298" s="84"/>
    </row>
    <row r="299" ht="15.75" customHeight="1">
      <c r="E299" s="84"/>
      <c r="J299" s="84"/>
      <c r="L299" s="84"/>
      <c r="M299" s="84"/>
      <c r="O299" s="84"/>
      <c r="R299" s="84"/>
    </row>
    <row r="300" ht="15.75" customHeight="1">
      <c r="E300" s="84"/>
      <c r="J300" s="84"/>
      <c r="L300" s="84"/>
      <c r="M300" s="84"/>
      <c r="O300" s="84"/>
      <c r="R300" s="84"/>
    </row>
    <row r="301" ht="15.75" customHeight="1">
      <c r="E301" s="84"/>
      <c r="J301" s="84"/>
      <c r="L301" s="84"/>
      <c r="M301" s="84"/>
      <c r="O301" s="84"/>
      <c r="R301" s="84"/>
    </row>
    <row r="302" ht="15.75" customHeight="1">
      <c r="E302" s="84"/>
      <c r="J302" s="84"/>
      <c r="L302" s="84"/>
      <c r="M302" s="84"/>
      <c r="O302" s="84"/>
      <c r="R302" s="84"/>
    </row>
    <row r="303" ht="15.75" customHeight="1">
      <c r="E303" s="84"/>
      <c r="J303" s="84"/>
      <c r="L303" s="84"/>
      <c r="M303" s="84"/>
      <c r="O303" s="84"/>
      <c r="R303" s="84"/>
    </row>
    <row r="304" ht="15.75" customHeight="1">
      <c r="E304" s="84"/>
      <c r="J304" s="84"/>
      <c r="L304" s="84"/>
      <c r="M304" s="84"/>
      <c r="O304" s="84"/>
      <c r="R304" s="84"/>
    </row>
    <row r="305" ht="15.75" customHeight="1">
      <c r="E305" s="84"/>
      <c r="J305" s="84"/>
      <c r="L305" s="84"/>
      <c r="M305" s="84"/>
      <c r="O305" s="84"/>
      <c r="R305" s="84"/>
    </row>
    <row r="306" ht="15.75" customHeight="1">
      <c r="E306" s="84"/>
      <c r="J306" s="84"/>
      <c r="L306" s="84"/>
      <c r="M306" s="84"/>
      <c r="O306" s="84"/>
      <c r="R306" s="84"/>
    </row>
    <row r="307" ht="15.75" customHeight="1">
      <c r="E307" s="84"/>
      <c r="J307" s="84"/>
      <c r="L307" s="84"/>
      <c r="M307" s="84"/>
      <c r="O307" s="84"/>
      <c r="R307" s="84"/>
    </row>
    <row r="308" ht="15.75" customHeight="1">
      <c r="E308" s="84"/>
      <c r="J308" s="84"/>
      <c r="L308" s="84"/>
      <c r="M308" s="84"/>
      <c r="O308" s="84"/>
      <c r="R308" s="84"/>
    </row>
    <row r="309" ht="15.75" customHeight="1">
      <c r="E309" s="84"/>
      <c r="J309" s="84"/>
      <c r="L309" s="84"/>
      <c r="M309" s="84"/>
      <c r="O309" s="84"/>
      <c r="R309" s="84"/>
    </row>
    <row r="310" ht="15.75" customHeight="1">
      <c r="E310" s="84"/>
      <c r="J310" s="84"/>
      <c r="L310" s="84"/>
      <c r="M310" s="84"/>
      <c r="O310" s="84"/>
      <c r="R310" s="84"/>
    </row>
    <row r="311" ht="15.75" customHeight="1">
      <c r="E311" s="84"/>
      <c r="J311" s="84"/>
      <c r="L311" s="84"/>
      <c r="M311" s="84"/>
      <c r="O311" s="84"/>
      <c r="R311" s="84"/>
    </row>
    <row r="312" ht="15.75" customHeight="1">
      <c r="E312" s="84"/>
      <c r="J312" s="84"/>
      <c r="L312" s="84"/>
      <c r="M312" s="84"/>
      <c r="O312" s="84"/>
      <c r="R312" s="84"/>
    </row>
    <row r="313" ht="15.75" customHeight="1">
      <c r="E313" s="84"/>
      <c r="J313" s="84"/>
      <c r="L313" s="84"/>
      <c r="M313" s="84"/>
      <c r="O313" s="84"/>
      <c r="R313" s="84"/>
    </row>
    <row r="314" ht="15.75" customHeight="1">
      <c r="E314" s="84"/>
      <c r="J314" s="84"/>
      <c r="L314" s="84"/>
      <c r="M314" s="84"/>
      <c r="O314" s="84"/>
      <c r="R314" s="84"/>
    </row>
    <row r="315" ht="15.75" customHeight="1">
      <c r="E315" s="84"/>
      <c r="J315" s="84"/>
      <c r="L315" s="84"/>
      <c r="M315" s="84"/>
      <c r="O315" s="84"/>
      <c r="R315" s="84"/>
    </row>
    <row r="316" ht="15.75" customHeight="1">
      <c r="E316" s="84"/>
      <c r="J316" s="84"/>
      <c r="L316" s="84"/>
      <c r="M316" s="84"/>
      <c r="O316" s="84"/>
      <c r="R316" s="84"/>
    </row>
    <row r="317" ht="15.75" customHeight="1">
      <c r="E317" s="84"/>
      <c r="J317" s="84"/>
      <c r="L317" s="84"/>
      <c r="M317" s="84"/>
      <c r="O317" s="84"/>
      <c r="R317" s="84"/>
    </row>
    <row r="318" ht="15.75" customHeight="1">
      <c r="E318" s="84"/>
      <c r="J318" s="84"/>
      <c r="L318" s="84"/>
      <c r="M318" s="84"/>
      <c r="O318" s="84"/>
      <c r="R318" s="84"/>
    </row>
    <row r="319" ht="15.75" customHeight="1">
      <c r="E319" s="84"/>
      <c r="J319" s="84"/>
      <c r="L319" s="84"/>
      <c r="M319" s="84"/>
      <c r="O319" s="84"/>
      <c r="R319" s="84"/>
    </row>
    <row r="320" ht="15.75" customHeight="1">
      <c r="E320" s="84"/>
      <c r="J320" s="84"/>
      <c r="L320" s="84"/>
      <c r="M320" s="84"/>
      <c r="O320" s="84"/>
      <c r="R320" s="84"/>
    </row>
    <row r="321" ht="15.75" customHeight="1">
      <c r="E321" s="84"/>
      <c r="J321" s="84"/>
      <c r="L321" s="84"/>
      <c r="M321" s="84"/>
      <c r="O321" s="84"/>
      <c r="R321" s="84"/>
    </row>
    <row r="322" ht="15.75" customHeight="1">
      <c r="E322" s="84"/>
      <c r="J322" s="84"/>
      <c r="L322" s="84"/>
      <c r="M322" s="84"/>
      <c r="O322" s="84"/>
      <c r="R322" s="84"/>
    </row>
    <row r="323" ht="15.75" customHeight="1">
      <c r="E323" s="84"/>
      <c r="J323" s="84"/>
      <c r="L323" s="84"/>
      <c r="M323" s="84"/>
      <c r="O323" s="84"/>
      <c r="R323" s="84"/>
    </row>
    <row r="324" ht="15.75" customHeight="1">
      <c r="E324" s="84"/>
      <c r="J324" s="84"/>
      <c r="L324" s="84"/>
      <c r="M324" s="84"/>
      <c r="O324" s="84"/>
      <c r="R324" s="84"/>
    </row>
    <row r="325" ht="15.75" customHeight="1">
      <c r="E325" s="84"/>
      <c r="J325" s="84"/>
      <c r="L325" s="84"/>
      <c r="M325" s="84"/>
      <c r="O325" s="84"/>
      <c r="R325" s="84"/>
    </row>
    <row r="326" ht="15.75" customHeight="1">
      <c r="E326" s="84"/>
      <c r="J326" s="84"/>
      <c r="L326" s="84"/>
      <c r="M326" s="84"/>
      <c r="O326" s="84"/>
      <c r="R326" s="84"/>
    </row>
    <row r="327" ht="15.75" customHeight="1">
      <c r="E327" s="84"/>
      <c r="J327" s="84"/>
      <c r="L327" s="84"/>
      <c r="M327" s="84"/>
      <c r="O327" s="84"/>
      <c r="R327" s="84"/>
    </row>
    <row r="328" ht="15.75" customHeight="1">
      <c r="E328" s="84"/>
      <c r="J328" s="84"/>
      <c r="L328" s="84"/>
      <c r="M328" s="84"/>
      <c r="O328" s="84"/>
      <c r="R328" s="84"/>
    </row>
    <row r="329" ht="15.75" customHeight="1">
      <c r="E329" s="84"/>
      <c r="J329" s="84"/>
      <c r="L329" s="84"/>
      <c r="M329" s="84"/>
      <c r="O329" s="84"/>
      <c r="R329" s="84"/>
    </row>
    <row r="330" ht="15.75" customHeight="1">
      <c r="E330" s="84"/>
      <c r="J330" s="84"/>
      <c r="L330" s="84"/>
      <c r="M330" s="84"/>
      <c r="O330" s="84"/>
      <c r="R330" s="84"/>
    </row>
    <row r="331" ht="15.75" customHeight="1">
      <c r="E331" s="84"/>
      <c r="J331" s="84"/>
      <c r="L331" s="84"/>
      <c r="M331" s="84"/>
      <c r="O331" s="84"/>
      <c r="R331" s="84"/>
    </row>
    <row r="332" ht="15.75" customHeight="1">
      <c r="E332" s="84"/>
      <c r="J332" s="84"/>
      <c r="L332" s="84"/>
      <c r="M332" s="84"/>
      <c r="O332" s="84"/>
      <c r="R332" s="84"/>
    </row>
    <row r="333" ht="15.75" customHeight="1">
      <c r="E333" s="84"/>
      <c r="J333" s="84"/>
      <c r="L333" s="84"/>
      <c r="M333" s="84"/>
      <c r="O333" s="84"/>
      <c r="R333" s="84"/>
    </row>
    <row r="334" ht="15.75" customHeight="1">
      <c r="E334" s="84"/>
      <c r="J334" s="84"/>
      <c r="L334" s="84"/>
      <c r="M334" s="84"/>
      <c r="O334" s="84"/>
      <c r="R334" s="84"/>
    </row>
    <row r="335" ht="15.75" customHeight="1">
      <c r="E335" s="84"/>
      <c r="J335" s="84"/>
      <c r="L335" s="84"/>
      <c r="M335" s="84"/>
      <c r="O335" s="84"/>
      <c r="R335" s="84"/>
    </row>
    <row r="336" ht="15.75" customHeight="1">
      <c r="E336" s="84"/>
      <c r="J336" s="84"/>
      <c r="L336" s="84"/>
      <c r="M336" s="84"/>
      <c r="O336" s="84"/>
      <c r="R336" s="84"/>
    </row>
    <row r="337" ht="15.75" customHeight="1">
      <c r="E337" s="84"/>
      <c r="J337" s="84"/>
      <c r="L337" s="84"/>
      <c r="M337" s="84"/>
      <c r="O337" s="84"/>
      <c r="R337" s="84"/>
    </row>
    <row r="338" ht="15.75" customHeight="1">
      <c r="E338" s="84"/>
      <c r="J338" s="84"/>
      <c r="L338" s="84"/>
      <c r="M338" s="84"/>
      <c r="O338" s="84"/>
      <c r="R338" s="84"/>
    </row>
    <row r="339" ht="15.75" customHeight="1">
      <c r="E339" s="84"/>
      <c r="J339" s="84"/>
      <c r="L339" s="84"/>
      <c r="M339" s="84"/>
      <c r="O339" s="84"/>
      <c r="R339" s="84"/>
    </row>
    <row r="340" ht="15.75" customHeight="1">
      <c r="E340" s="84"/>
      <c r="J340" s="84"/>
      <c r="L340" s="84"/>
      <c r="M340" s="84"/>
      <c r="O340" s="84"/>
      <c r="R340" s="84"/>
    </row>
    <row r="341" ht="15.75" customHeight="1">
      <c r="E341" s="84"/>
      <c r="J341" s="84"/>
      <c r="L341" s="84"/>
      <c r="M341" s="84"/>
      <c r="O341" s="84"/>
      <c r="R341" s="84"/>
    </row>
    <row r="342" ht="15.75" customHeight="1">
      <c r="E342" s="84"/>
      <c r="J342" s="84"/>
      <c r="L342" s="84"/>
      <c r="M342" s="84"/>
      <c r="O342" s="84"/>
      <c r="R342" s="84"/>
    </row>
    <row r="343" ht="15.75" customHeight="1">
      <c r="E343" s="84"/>
      <c r="J343" s="84"/>
      <c r="L343" s="84"/>
      <c r="M343" s="84"/>
      <c r="O343" s="84"/>
      <c r="R343" s="84"/>
    </row>
    <row r="344" ht="15.75" customHeight="1">
      <c r="E344" s="84"/>
      <c r="J344" s="84"/>
      <c r="L344" s="84"/>
      <c r="M344" s="84"/>
      <c r="O344" s="84"/>
      <c r="R344" s="84"/>
    </row>
    <row r="345" ht="15.75" customHeight="1">
      <c r="E345" s="84"/>
      <c r="J345" s="84"/>
      <c r="L345" s="84"/>
      <c r="M345" s="84"/>
      <c r="O345" s="84"/>
      <c r="R345" s="84"/>
    </row>
    <row r="346" ht="15.75" customHeight="1">
      <c r="E346" s="84"/>
      <c r="J346" s="84"/>
      <c r="L346" s="84"/>
      <c r="M346" s="84"/>
      <c r="O346" s="84"/>
      <c r="R346" s="84"/>
    </row>
    <row r="347" ht="15.75" customHeight="1">
      <c r="E347" s="84"/>
      <c r="J347" s="84"/>
      <c r="L347" s="84"/>
      <c r="M347" s="84"/>
      <c r="O347" s="84"/>
      <c r="R347" s="84"/>
    </row>
    <row r="348" ht="15.75" customHeight="1">
      <c r="E348" s="84"/>
      <c r="J348" s="84"/>
      <c r="L348" s="84"/>
      <c r="M348" s="84"/>
      <c r="O348" s="84"/>
      <c r="R348" s="84"/>
    </row>
    <row r="349" ht="15.75" customHeight="1">
      <c r="E349" s="84"/>
      <c r="J349" s="84"/>
      <c r="L349" s="84"/>
      <c r="M349" s="84"/>
      <c r="O349" s="84"/>
      <c r="R349" s="84"/>
    </row>
    <row r="350" ht="15.75" customHeight="1">
      <c r="E350" s="84"/>
      <c r="J350" s="84"/>
      <c r="L350" s="84"/>
      <c r="M350" s="84"/>
      <c r="O350" s="84"/>
      <c r="R350" s="84"/>
    </row>
    <row r="351" ht="15.75" customHeight="1">
      <c r="E351" s="84"/>
      <c r="J351" s="84"/>
      <c r="L351" s="84"/>
      <c r="M351" s="84"/>
      <c r="O351" s="84"/>
      <c r="R351" s="84"/>
    </row>
    <row r="352" ht="15.75" customHeight="1">
      <c r="E352" s="84"/>
      <c r="J352" s="84"/>
      <c r="L352" s="84"/>
      <c r="M352" s="84"/>
      <c r="O352" s="84"/>
      <c r="R352" s="84"/>
    </row>
    <row r="353" ht="15.75" customHeight="1">
      <c r="E353" s="84"/>
      <c r="J353" s="84"/>
      <c r="L353" s="84"/>
      <c r="M353" s="84"/>
      <c r="O353" s="84"/>
      <c r="R353" s="84"/>
    </row>
    <row r="354" ht="15.75" customHeight="1">
      <c r="E354" s="84"/>
      <c r="J354" s="84"/>
      <c r="L354" s="84"/>
      <c r="M354" s="84"/>
      <c r="O354" s="84"/>
      <c r="R354" s="84"/>
    </row>
    <row r="355" ht="15.75" customHeight="1">
      <c r="E355" s="84"/>
      <c r="J355" s="84"/>
      <c r="L355" s="84"/>
      <c r="M355" s="84"/>
      <c r="O355" s="84"/>
      <c r="R355" s="84"/>
    </row>
    <row r="356" ht="15.75" customHeight="1">
      <c r="E356" s="84"/>
      <c r="J356" s="84"/>
      <c r="L356" s="84"/>
      <c r="M356" s="84"/>
      <c r="O356" s="84"/>
      <c r="R356" s="84"/>
    </row>
    <row r="357" ht="15.75" customHeight="1">
      <c r="E357" s="84"/>
      <c r="J357" s="84"/>
      <c r="L357" s="84"/>
      <c r="M357" s="84"/>
      <c r="O357" s="84"/>
      <c r="R357" s="84"/>
    </row>
    <row r="358" ht="15.75" customHeight="1">
      <c r="E358" s="84"/>
      <c r="J358" s="84"/>
      <c r="L358" s="84"/>
      <c r="M358" s="84"/>
      <c r="O358" s="84"/>
      <c r="R358" s="84"/>
    </row>
    <row r="359" ht="15.75" customHeight="1">
      <c r="E359" s="84"/>
      <c r="J359" s="84"/>
      <c r="L359" s="84"/>
      <c r="M359" s="84"/>
      <c r="O359" s="84"/>
      <c r="R359" s="84"/>
    </row>
    <row r="360" ht="15.75" customHeight="1">
      <c r="E360" s="84"/>
      <c r="J360" s="84"/>
      <c r="L360" s="84"/>
      <c r="M360" s="84"/>
      <c r="O360" s="84"/>
      <c r="R360" s="84"/>
    </row>
    <row r="361" ht="15.75" customHeight="1">
      <c r="E361" s="84"/>
      <c r="J361" s="84"/>
      <c r="L361" s="84"/>
      <c r="M361" s="84"/>
      <c r="O361" s="84"/>
      <c r="R361" s="84"/>
    </row>
    <row r="362" ht="15.75" customHeight="1">
      <c r="E362" s="84"/>
      <c r="J362" s="84"/>
      <c r="L362" s="84"/>
      <c r="M362" s="84"/>
      <c r="O362" s="84"/>
      <c r="R362" s="84"/>
    </row>
    <row r="363" ht="15.75" customHeight="1">
      <c r="E363" s="84"/>
      <c r="J363" s="84"/>
      <c r="L363" s="84"/>
      <c r="M363" s="84"/>
      <c r="O363" s="84"/>
      <c r="R363" s="84"/>
    </row>
    <row r="364" ht="15.75" customHeight="1">
      <c r="E364" s="84"/>
      <c r="J364" s="84"/>
      <c r="L364" s="84"/>
      <c r="M364" s="84"/>
      <c r="O364" s="84"/>
      <c r="R364" s="84"/>
    </row>
    <row r="365" ht="15.75" customHeight="1">
      <c r="E365" s="84"/>
      <c r="J365" s="84"/>
      <c r="L365" s="84"/>
      <c r="M365" s="84"/>
      <c r="O365" s="84"/>
      <c r="R365" s="84"/>
    </row>
    <row r="366" ht="15.75" customHeight="1">
      <c r="E366" s="84"/>
      <c r="J366" s="84"/>
      <c r="L366" s="84"/>
      <c r="M366" s="84"/>
      <c r="O366" s="84"/>
      <c r="R366" s="84"/>
    </row>
    <row r="367" ht="15.75" customHeight="1">
      <c r="E367" s="84"/>
      <c r="J367" s="84"/>
      <c r="L367" s="84"/>
      <c r="M367" s="84"/>
      <c r="O367" s="84"/>
      <c r="R367" s="84"/>
    </row>
    <row r="368" ht="15.75" customHeight="1">
      <c r="E368" s="84"/>
      <c r="J368" s="84"/>
      <c r="L368" s="84"/>
      <c r="M368" s="84"/>
      <c r="O368" s="84"/>
      <c r="R368" s="84"/>
    </row>
    <row r="369" ht="15.75" customHeight="1">
      <c r="E369" s="84"/>
      <c r="J369" s="84"/>
      <c r="L369" s="84"/>
      <c r="M369" s="84"/>
      <c r="O369" s="84"/>
      <c r="R369" s="84"/>
    </row>
    <row r="370" ht="15.75" customHeight="1">
      <c r="E370" s="84"/>
      <c r="J370" s="84"/>
      <c r="L370" s="84"/>
      <c r="M370" s="84"/>
      <c r="O370" s="84"/>
      <c r="R370" s="84"/>
    </row>
    <row r="371" ht="15.75" customHeight="1">
      <c r="E371" s="84"/>
      <c r="J371" s="84"/>
      <c r="L371" s="84"/>
      <c r="M371" s="84"/>
      <c r="O371" s="84"/>
      <c r="R371" s="84"/>
    </row>
    <row r="372" ht="15.75" customHeight="1">
      <c r="E372" s="84"/>
      <c r="J372" s="84"/>
      <c r="L372" s="84"/>
      <c r="M372" s="84"/>
      <c r="O372" s="84"/>
      <c r="R372" s="84"/>
    </row>
    <row r="373" ht="15.75" customHeight="1">
      <c r="E373" s="84"/>
      <c r="J373" s="84"/>
      <c r="L373" s="84"/>
      <c r="M373" s="84"/>
      <c r="O373" s="84"/>
      <c r="R373" s="84"/>
    </row>
    <row r="374" ht="15.75" customHeight="1">
      <c r="E374" s="84"/>
      <c r="J374" s="84"/>
      <c r="L374" s="84"/>
      <c r="M374" s="84"/>
      <c r="O374" s="84"/>
      <c r="R374" s="84"/>
    </row>
    <row r="375" ht="15.75" customHeight="1">
      <c r="E375" s="84"/>
      <c r="J375" s="84"/>
      <c r="L375" s="84"/>
      <c r="M375" s="84"/>
      <c r="O375" s="84"/>
      <c r="R375" s="84"/>
    </row>
    <row r="376" ht="15.75" customHeight="1">
      <c r="E376" s="84"/>
      <c r="J376" s="84"/>
      <c r="L376" s="84"/>
      <c r="M376" s="84"/>
      <c r="O376" s="84"/>
      <c r="R376" s="84"/>
    </row>
    <row r="377" ht="15.75" customHeight="1">
      <c r="E377" s="84"/>
      <c r="J377" s="84"/>
      <c r="L377" s="84"/>
      <c r="M377" s="84"/>
      <c r="O377" s="84"/>
      <c r="R377" s="84"/>
    </row>
    <row r="378" ht="15.75" customHeight="1">
      <c r="E378" s="84"/>
      <c r="J378" s="84"/>
      <c r="L378" s="84"/>
      <c r="M378" s="84"/>
      <c r="O378" s="84"/>
      <c r="R378" s="84"/>
    </row>
    <row r="379" ht="15.75" customHeight="1">
      <c r="E379" s="84"/>
      <c r="J379" s="84"/>
      <c r="L379" s="84"/>
      <c r="M379" s="84"/>
      <c r="O379" s="84"/>
      <c r="R379" s="84"/>
    </row>
    <row r="380" ht="15.75" customHeight="1">
      <c r="E380" s="84"/>
      <c r="J380" s="84"/>
      <c r="L380" s="84"/>
      <c r="M380" s="84"/>
      <c r="O380" s="84"/>
      <c r="R380" s="84"/>
    </row>
    <row r="381" ht="15.75" customHeight="1">
      <c r="E381" s="84"/>
      <c r="J381" s="84"/>
      <c r="L381" s="84"/>
      <c r="M381" s="84"/>
      <c r="O381" s="84"/>
      <c r="R381" s="84"/>
    </row>
    <row r="382" ht="15.75" customHeight="1">
      <c r="E382" s="84"/>
      <c r="J382" s="84"/>
      <c r="L382" s="84"/>
      <c r="M382" s="84"/>
      <c r="O382" s="84"/>
      <c r="R382" s="84"/>
    </row>
    <row r="383" ht="15.75" customHeight="1">
      <c r="E383" s="84"/>
      <c r="J383" s="84"/>
      <c r="L383" s="84"/>
      <c r="M383" s="84"/>
      <c r="O383" s="84"/>
      <c r="R383" s="84"/>
    </row>
    <row r="384" ht="15.75" customHeight="1">
      <c r="E384" s="84"/>
      <c r="J384" s="84"/>
      <c r="L384" s="84"/>
      <c r="M384" s="84"/>
      <c r="O384" s="84"/>
      <c r="R384" s="84"/>
    </row>
    <row r="385" ht="15.75" customHeight="1">
      <c r="E385" s="84"/>
      <c r="J385" s="84"/>
      <c r="L385" s="84"/>
      <c r="M385" s="84"/>
      <c r="O385" s="84"/>
      <c r="R385" s="84"/>
    </row>
    <row r="386" ht="15.75" customHeight="1">
      <c r="E386" s="84"/>
      <c r="J386" s="84"/>
      <c r="L386" s="84"/>
      <c r="M386" s="84"/>
      <c r="O386" s="84"/>
      <c r="R386" s="84"/>
    </row>
    <row r="387" ht="15.75" customHeight="1">
      <c r="E387" s="84"/>
      <c r="J387" s="84"/>
      <c r="L387" s="84"/>
      <c r="M387" s="84"/>
      <c r="O387" s="84"/>
      <c r="R387" s="84"/>
    </row>
    <row r="388" ht="15.75" customHeight="1">
      <c r="E388" s="84"/>
      <c r="J388" s="84"/>
      <c r="L388" s="84"/>
      <c r="M388" s="84"/>
      <c r="O388" s="84"/>
      <c r="R388" s="84"/>
    </row>
    <row r="389" ht="15.75" customHeight="1">
      <c r="E389" s="84"/>
      <c r="J389" s="84"/>
      <c r="L389" s="84"/>
      <c r="M389" s="84"/>
      <c r="O389" s="84"/>
      <c r="R389" s="84"/>
    </row>
    <row r="390" ht="15.75" customHeight="1">
      <c r="E390" s="84"/>
      <c r="J390" s="84"/>
      <c r="L390" s="84"/>
      <c r="M390" s="84"/>
      <c r="O390" s="84"/>
      <c r="R390" s="84"/>
    </row>
    <row r="391" ht="15.75" customHeight="1">
      <c r="E391" s="84"/>
      <c r="J391" s="84"/>
      <c r="L391" s="84"/>
      <c r="M391" s="84"/>
      <c r="O391" s="84"/>
      <c r="R391" s="84"/>
    </row>
    <row r="392" ht="15.75" customHeight="1">
      <c r="E392" s="84"/>
      <c r="J392" s="84"/>
      <c r="L392" s="84"/>
      <c r="M392" s="84"/>
      <c r="O392" s="84"/>
      <c r="R392" s="84"/>
    </row>
    <row r="393" ht="15.75" customHeight="1">
      <c r="E393" s="84"/>
      <c r="J393" s="84"/>
      <c r="L393" s="84"/>
      <c r="M393" s="84"/>
      <c r="O393" s="84"/>
      <c r="R393" s="84"/>
    </row>
    <row r="394" ht="15.75" customHeight="1">
      <c r="E394" s="84"/>
      <c r="J394" s="84"/>
      <c r="L394" s="84"/>
      <c r="M394" s="84"/>
      <c r="O394" s="84"/>
      <c r="R394" s="84"/>
    </row>
    <row r="395" ht="15.75" customHeight="1">
      <c r="E395" s="84"/>
      <c r="J395" s="84"/>
      <c r="L395" s="84"/>
      <c r="M395" s="84"/>
      <c r="O395" s="84"/>
      <c r="R395" s="84"/>
    </row>
    <row r="396" ht="15.75" customHeight="1">
      <c r="E396" s="84"/>
      <c r="J396" s="84"/>
      <c r="L396" s="84"/>
      <c r="M396" s="84"/>
      <c r="O396" s="84"/>
      <c r="R396" s="84"/>
    </row>
    <row r="397" ht="15.75" customHeight="1">
      <c r="E397" s="84"/>
      <c r="J397" s="84"/>
      <c r="L397" s="84"/>
      <c r="M397" s="84"/>
      <c r="O397" s="84"/>
      <c r="R397" s="84"/>
    </row>
    <row r="398" ht="15.75" customHeight="1">
      <c r="E398" s="84"/>
      <c r="J398" s="84"/>
      <c r="L398" s="84"/>
      <c r="M398" s="84"/>
      <c r="O398" s="84"/>
      <c r="R398" s="84"/>
    </row>
    <row r="399" ht="15.75" customHeight="1">
      <c r="E399" s="84"/>
      <c r="J399" s="84"/>
      <c r="L399" s="84"/>
      <c r="M399" s="84"/>
      <c r="O399" s="84"/>
      <c r="R399" s="84"/>
    </row>
    <row r="400" ht="15.75" customHeight="1">
      <c r="E400" s="84"/>
      <c r="J400" s="84"/>
      <c r="L400" s="84"/>
      <c r="M400" s="84"/>
      <c r="O400" s="84"/>
      <c r="R400" s="84"/>
    </row>
    <row r="401" ht="15.75" customHeight="1">
      <c r="E401" s="84"/>
      <c r="J401" s="84"/>
      <c r="L401" s="84"/>
      <c r="M401" s="84"/>
      <c r="O401" s="84"/>
      <c r="R401" s="84"/>
    </row>
    <row r="402" ht="15.75" customHeight="1">
      <c r="E402" s="84"/>
      <c r="J402" s="84"/>
      <c r="L402" s="84"/>
      <c r="M402" s="84"/>
      <c r="O402" s="84"/>
      <c r="R402" s="84"/>
    </row>
    <row r="403" ht="15.75" customHeight="1">
      <c r="E403" s="84"/>
      <c r="J403" s="84"/>
      <c r="L403" s="84"/>
      <c r="M403" s="84"/>
      <c r="O403" s="84"/>
      <c r="R403" s="84"/>
    </row>
    <row r="404" ht="15.75" customHeight="1">
      <c r="E404" s="84"/>
      <c r="J404" s="84"/>
      <c r="L404" s="84"/>
      <c r="M404" s="84"/>
      <c r="O404" s="84"/>
      <c r="R404" s="84"/>
    </row>
    <row r="405" ht="15.75" customHeight="1">
      <c r="E405" s="84"/>
      <c r="J405" s="84"/>
      <c r="L405" s="84"/>
      <c r="M405" s="84"/>
      <c r="O405" s="84"/>
      <c r="R405" s="84"/>
    </row>
    <row r="406" ht="15.75" customHeight="1">
      <c r="E406" s="84"/>
      <c r="J406" s="84"/>
      <c r="L406" s="84"/>
      <c r="M406" s="84"/>
      <c r="O406" s="84"/>
      <c r="R406" s="84"/>
    </row>
    <row r="407" ht="15.75" customHeight="1">
      <c r="E407" s="84"/>
      <c r="J407" s="84"/>
      <c r="L407" s="84"/>
      <c r="M407" s="84"/>
      <c r="O407" s="84"/>
      <c r="R407" s="84"/>
    </row>
    <row r="408" ht="15.75" customHeight="1">
      <c r="E408" s="84"/>
      <c r="J408" s="84"/>
      <c r="L408" s="84"/>
      <c r="M408" s="84"/>
      <c r="O408" s="84"/>
      <c r="R408" s="84"/>
    </row>
    <row r="409" ht="15.75" customHeight="1">
      <c r="E409" s="84"/>
      <c r="J409" s="84"/>
      <c r="L409" s="84"/>
      <c r="M409" s="84"/>
      <c r="O409" s="84"/>
      <c r="R409" s="84"/>
    </row>
    <row r="410" ht="15.75" customHeight="1">
      <c r="E410" s="84"/>
      <c r="J410" s="84"/>
      <c r="L410" s="84"/>
      <c r="M410" s="84"/>
      <c r="O410" s="84"/>
      <c r="R410" s="84"/>
    </row>
    <row r="411" ht="15.75" customHeight="1">
      <c r="E411" s="84"/>
      <c r="J411" s="84"/>
      <c r="L411" s="84"/>
      <c r="M411" s="84"/>
      <c r="O411" s="84"/>
      <c r="R411" s="84"/>
    </row>
    <row r="412" ht="15.75" customHeight="1">
      <c r="E412" s="84"/>
      <c r="J412" s="84"/>
      <c r="L412" s="84"/>
      <c r="M412" s="84"/>
      <c r="O412" s="84"/>
      <c r="R412" s="84"/>
    </row>
    <row r="413" ht="15.75" customHeight="1">
      <c r="E413" s="84"/>
      <c r="J413" s="84"/>
      <c r="L413" s="84"/>
      <c r="M413" s="84"/>
      <c r="O413" s="84"/>
      <c r="R413" s="84"/>
    </row>
    <row r="414" ht="15.75" customHeight="1">
      <c r="E414" s="84"/>
      <c r="J414" s="84"/>
      <c r="L414" s="84"/>
      <c r="M414" s="84"/>
      <c r="O414" s="84"/>
      <c r="R414" s="84"/>
    </row>
    <row r="415" ht="15.75" customHeight="1">
      <c r="E415" s="84"/>
      <c r="J415" s="84"/>
      <c r="L415" s="84"/>
      <c r="M415" s="84"/>
      <c r="O415" s="84"/>
      <c r="R415" s="84"/>
    </row>
    <row r="416" ht="15.75" customHeight="1">
      <c r="E416" s="84"/>
      <c r="J416" s="84"/>
      <c r="L416" s="84"/>
      <c r="M416" s="84"/>
      <c r="O416" s="84"/>
      <c r="R416" s="84"/>
    </row>
    <row r="417" ht="15.75" customHeight="1">
      <c r="E417" s="84"/>
      <c r="J417" s="84"/>
      <c r="L417" s="84"/>
      <c r="M417" s="84"/>
      <c r="O417" s="84"/>
      <c r="R417" s="84"/>
    </row>
    <row r="418" ht="15.75" customHeight="1">
      <c r="E418" s="84"/>
      <c r="J418" s="84"/>
      <c r="L418" s="84"/>
      <c r="M418" s="84"/>
      <c r="O418" s="84"/>
      <c r="R418" s="84"/>
    </row>
    <row r="419" ht="15.75" customHeight="1">
      <c r="E419" s="84"/>
      <c r="J419" s="84"/>
      <c r="L419" s="84"/>
      <c r="M419" s="84"/>
      <c r="O419" s="84"/>
      <c r="R419" s="84"/>
    </row>
    <row r="420" ht="15.75" customHeight="1">
      <c r="E420" s="84"/>
      <c r="J420" s="84"/>
      <c r="L420" s="84"/>
      <c r="M420" s="84"/>
      <c r="O420" s="84"/>
      <c r="R420" s="84"/>
    </row>
    <row r="421" ht="15.75" customHeight="1">
      <c r="E421" s="84"/>
      <c r="J421" s="84"/>
      <c r="L421" s="84"/>
      <c r="M421" s="84"/>
      <c r="O421" s="84"/>
      <c r="R421" s="84"/>
    </row>
    <row r="422" ht="15.75" customHeight="1">
      <c r="E422" s="84"/>
      <c r="J422" s="84"/>
      <c r="L422" s="84"/>
      <c r="M422" s="84"/>
      <c r="O422" s="84"/>
      <c r="R422" s="84"/>
    </row>
    <row r="423" ht="15.75" customHeight="1">
      <c r="E423" s="84"/>
      <c r="J423" s="84"/>
      <c r="L423" s="84"/>
      <c r="M423" s="84"/>
      <c r="O423" s="84"/>
      <c r="R423" s="84"/>
    </row>
    <row r="424" ht="15.75" customHeight="1">
      <c r="E424" s="84"/>
      <c r="J424" s="84"/>
      <c r="L424" s="84"/>
      <c r="M424" s="84"/>
      <c r="O424" s="84"/>
      <c r="R424" s="84"/>
    </row>
    <row r="425" ht="15.75" customHeight="1">
      <c r="E425" s="84"/>
      <c r="J425" s="84"/>
      <c r="L425" s="84"/>
      <c r="M425" s="84"/>
      <c r="O425" s="84"/>
      <c r="R425" s="84"/>
    </row>
    <row r="426" ht="15.75" customHeight="1">
      <c r="E426" s="84"/>
      <c r="J426" s="84"/>
      <c r="L426" s="84"/>
      <c r="M426" s="84"/>
      <c r="O426" s="84"/>
      <c r="R426" s="84"/>
    </row>
    <row r="427" ht="15.75" customHeight="1">
      <c r="E427" s="84"/>
      <c r="J427" s="84"/>
      <c r="L427" s="84"/>
      <c r="M427" s="84"/>
      <c r="O427" s="84"/>
      <c r="R427" s="84"/>
    </row>
    <row r="428" ht="15.75" customHeight="1">
      <c r="E428" s="84"/>
      <c r="J428" s="84"/>
      <c r="L428" s="84"/>
      <c r="M428" s="84"/>
      <c r="O428" s="84"/>
      <c r="R428" s="84"/>
    </row>
    <row r="429" ht="15.75" customHeight="1">
      <c r="E429" s="84"/>
      <c r="J429" s="84"/>
      <c r="L429" s="84"/>
      <c r="M429" s="84"/>
      <c r="O429" s="84"/>
      <c r="R429" s="84"/>
    </row>
    <row r="430" ht="15.75" customHeight="1">
      <c r="E430" s="84"/>
      <c r="J430" s="84"/>
      <c r="L430" s="84"/>
      <c r="M430" s="84"/>
      <c r="O430" s="84"/>
      <c r="R430" s="84"/>
    </row>
    <row r="431" ht="15.75" customHeight="1">
      <c r="E431" s="84"/>
      <c r="J431" s="84"/>
      <c r="L431" s="84"/>
      <c r="M431" s="84"/>
      <c r="O431" s="84"/>
      <c r="R431" s="84"/>
    </row>
    <row r="432" ht="15.75" customHeight="1">
      <c r="E432" s="84"/>
      <c r="J432" s="84"/>
      <c r="L432" s="84"/>
      <c r="M432" s="84"/>
      <c r="O432" s="84"/>
      <c r="R432" s="84"/>
    </row>
    <row r="433" ht="15.75" customHeight="1">
      <c r="E433" s="84"/>
      <c r="J433" s="84"/>
      <c r="L433" s="84"/>
      <c r="M433" s="84"/>
      <c r="O433" s="84"/>
      <c r="R433" s="84"/>
    </row>
    <row r="434" ht="15.75" customHeight="1">
      <c r="E434" s="84"/>
      <c r="J434" s="84"/>
      <c r="L434" s="84"/>
      <c r="M434" s="84"/>
      <c r="O434" s="84"/>
      <c r="R434" s="84"/>
    </row>
    <row r="435" ht="15.75" customHeight="1">
      <c r="E435" s="84"/>
      <c r="J435" s="84"/>
      <c r="L435" s="84"/>
      <c r="M435" s="84"/>
      <c r="O435" s="84"/>
      <c r="R435" s="84"/>
    </row>
    <row r="436" ht="15.75" customHeight="1">
      <c r="E436" s="84"/>
      <c r="J436" s="84"/>
      <c r="L436" s="84"/>
      <c r="M436" s="84"/>
      <c r="O436" s="84"/>
      <c r="R436" s="84"/>
    </row>
    <row r="437" ht="15.75" customHeight="1">
      <c r="E437" s="84"/>
      <c r="J437" s="84"/>
      <c r="L437" s="84"/>
      <c r="M437" s="84"/>
      <c r="O437" s="84"/>
      <c r="R437" s="84"/>
    </row>
    <row r="438" ht="15.75" customHeight="1">
      <c r="E438" s="84"/>
      <c r="J438" s="84"/>
      <c r="L438" s="84"/>
      <c r="M438" s="84"/>
      <c r="O438" s="84"/>
      <c r="R438" s="84"/>
    </row>
    <row r="439" ht="15.75" customHeight="1">
      <c r="E439" s="84"/>
      <c r="J439" s="84"/>
      <c r="L439" s="84"/>
      <c r="M439" s="84"/>
      <c r="O439" s="84"/>
      <c r="R439" s="84"/>
    </row>
    <row r="440" ht="15.75" customHeight="1">
      <c r="E440" s="84"/>
      <c r="J440" s="84"/>
      <c r="L440" s="84"/>
      <c r="M440" s="84"/>
      <c r="O440" s="84"/>
      <c r="R440" s="84"/>
    </row>
    <row r="441" ht="15.75" customHeight="1">
      <c r="E441" s="84"/>
      <c r="J441" s="84"/>
      <c r="L441" s="84"/>
      <c r="M441" s="84"/>
      <c r="O441" s="84"/>
      <c r="R441" s="84"/>
    </row>
    <row r="442" ht="15.75" customHeight="1">
      <c r="E442" s="84"/>
      <c r="J442" s="84"/>
      <c r="L442" s="84"/>
      <c r="M442" s="84"/>
      <c r="O442" s="84"/>
      <c r="R442" s="84"/>
    </row>
    <row r="443" ht="15.75" customHeight="1">
      <c r="E443" s="84"/>
      <c r="J443" s="84"/>
      <c r="L443" s="84"/>
      <c r="M443" s="84"/>
      <c r="O443" s="84"/>
      <c r="R443" s="84"/>
    </row>
    <row r="444" ht="15.75" customHeight="1">
      <c r="E444" s="84"/>
      <c r="J444" s="84"/>
      <c r="L444" s="84"/>
      <c r="M444" s="84"/>
      <c r="O444" s="84"/>
      <c r="R444" s="84"/>
    </row>
    <row r="445" ht="15.75" customHeight="1">
      <c r="E445" s="84"/>
      <c r="J445" s="84"/>
      <c r="L445" s="84"/>
      <c r="M445" s="84"/>
      <c r="O445" s="84"/>
      <c r="R445" s="84"/>
    </row>
    <row r="446" ht="15.75" customHeight="1">
      <c r="E446" s="84"/>
      <c r="J446" s="84"/>
      <c r="L446" s="84"/>
      <c r="M446" s="84"/>
      <c r="O446" s="84"/>
      <c r="R446" s="84"/>
    </row>
    <row r="447" ht="15.75" customHeight="1">
      <c r="E447" s="84"/>
      <c r="J447" s="84"/>
      <c r="L447" s="84"/>
      <c r="M447" s="84"/>
      <c r="O447" s="84"/>
      <c r="R447" s="84"/>
    </row>
    <row r="448" ht="15.75" customHeight="1">
      <c r="E448" s="84"/>
      <c r="J448" s="84"/>
      <c r="L448" s="84"/>
      <c r="M448" s="84"/>
      <c r="O448" s="84"/>
      <c r="R448" s="84"/>
    </row>
    <row r="449" ht="15.75" customHeight="1">
      <c r="E449" s="84"/>
      <c r="J449" s="84"/>
      <c r="L449" s="84"/>
      <c r="M449" s="84"/>
      <c r="O449" s="84"/>
      <c r="R449" s="84"/>
    </row>
    <row r="450" ht="15.75" customHeight="1">
      <c r="E450" s="84"/>
      <c r="J450" s="84"/>
      <c r="L450" s="84"/>
      <c r="M450" s="84"/>
      <c r="O450" s="84"/>
      <c r="R450" s="84"/>
    </row>
    <row r="451" ht="15.75" customHeight="1">
      <c r="E451" s="84"/>
      <c r="J451" s="84"/>
      <c r="L451" s="84"/>
      <c r="M451" s="84"/>
      <c r="O451" s="84"/>
      <c r="R451" s="84"/>
    </row>
    <row r="452" ht="15.75" customHeight="1">
      <c r="E452" s="84"/>
      <c r="J452" s="84"/>
      <c r="L452" s="84"/>
      <c r="M452" s="84"/>
      <c r="O452" s="84"/>
      <c r="R452" s="84"/>
    </row>
    <row r="453" ht="15.75" customHeight="1">
      <c r="E453" s="84"/>
      <c r="J453" s="84"/>
      <c r="L453" s="84"/>
      <c r="M453" s="84"/>
      <c r="O453" s="84"/>
      <c r="R453" s="84"/>
    </row>
    <row r="454" ht="15.75" customHeight="1">
      <c r="E454" s="84"/>
      <c r="J454" s="84"/>
      <c r="L454" s="84"/>
      <c r="M454" s="84"/>
      <c r="O454" s="84"/>
      <c r="R454" s="84"/>
    </row>
    <row r="455" ht="15.75" customHeight="1">
      <c r="E455" s="84"/>
      <c r="J455" s="84"/>
      <c r="L455" s="84"/>
      <c r="M455" s="84"/>
      <c r="O455" s="84"/>
      <c r="R455" s="84"/>
    </row>
    <row r="456" ht="15.75" customHeight="1">
      <c r="E456" s="84"/>
      <c r="J456" s="84"/>
      <c r="L456" s="84"/>
      <c r="M456" s="84"/>
      <c r="O456" s="84"/>
      <c r="R456" s="84"/>
    </row>
    <row r="457" ht="15.75" customHeight="1">
      <c r="E457" s="84"/>
      <c r="J457" s="84"/>
      <c r="L457" s="84"/>
      <c r="M457" s="84"/>
      <c r="O457" s="84"/>
      <c r="R457" s="84"/>
    </row>
    <row r="458" ht="15.75" customHeight="1">
      <c r="E458" s="84"/>
      <c r="J458" s="84"/>
      <c r="L458" s="84"/>
      <c r="M458" s="84"/>
      <c r="O458" s="84"/>
      <c r="R458" s="84"/>
    </row>
    <row r="459" ht="15.75" customHeight="1">
      <c r="E459" s="84"/>
      <c r="J459" s="84"/>
      <c r="L459" s="84"/>
      <c r="M459" s="84"/>
      <c r="O459" s="84"/>
      <c r="R459" s="84"/>
    </row>
    <row r="460" ht="15.75" customHeight="1">
      <c r="E460" s="84"/>
      <c r="J460" s="84"/>
      <c r="L460" s="84"/>
      <c r="M460" s="84"/>
      <c r="O460" s="84"/>
      <c r="R460" s="84"/>
    </row>
    <row r="461" ht="15.75" customHeight="1">
      <c r="E461" s="84"/>
      <c r="J461" s="84"/>
      <c r="L461" s="84"/>
      <c r="M461" s="84"/>
      <c r="O461" s="84"/>
      <c r="R461" s="84"/>
    </row>
    <row r="462" ht="15.75" customHeight="1">
      <c r="E462" s="84"/>
      <c r="J462" s="84"/>
      <c r="L462" s="84"/>
      <c r="M462" s="84"/>
      <c r="O462" s="84"/>
      <c r="R462" s="84"/>
    </row>
    <row r="463" ht="15.75" customHeight="1">
      <c r="E463" s="84"/>
      <c r="J463" s="84"/>
      <c r="L463" s="84"/>
      <c r="M463" s="84"/>
      <c r="O463" s="84"/>
      <c r="R463" s="84"/>
    </row>
    <row r="464" ht="15.75" customHeight="1">
      <c r="E464" s="84"/>
      <c r="J464" s="84"/>
      <c r="L464" s="84"/>
      <c r="M464" s="84"/>
      <c r="O464" s="84"/>
      <c r="R464" s="84"/>
    </row>
    <row r="465" ht="15.75" customHeight="1">
      <c r="E465" s="84"/>
      <c r="J465" s="84"/>
      <c r="L465" s="84"/>
      <c r="M465" s="84"/>
      <c r="O465" s="84"/>
      <c r="R465" s="84"/>
    </row>
    <row r="466" ht="15.75" customHeight="1">
      <c r="E466" s="84"/>
      <c r="J466" s="84"/>
      <c r="L466" s="84"/>
      <c r="M466" s="84"/>
      <c r="O466" s="84"/>
      <c r="R466" s="84"/>
    </row>
    <row r="467" ht="15.75" customHeight="1">
      <c r="E467" s="84"/>
      <c r="J467" s="84"/>
      <c r="L467" s="84"/>
      <c r="M467" s="84"/>
      <c r="O467" s="84"/>
      <c r="R467" s="84"/>
    </row>
    <row r="468" ht="15.75" customHeight="1">
      <c r="E468" s="84"/>
      <c r="J468" s="84"/>
      <c r="L468" s="84"/>
      <c r="M468" s="84"/>
      <c r="O468" s="84"/>
      <c r="R468" s="84"/>
    </row>
    <row r="469" ht="15.75" customHeight="1">
      <c r="E469" s="84"/>
      <c r="J469" s="84"/>
      <c r="L469" s="84"/>
      <c r="M469" s="84"/>
      <c r="O469" s="84"/>
      <c r="R469" s="84"/>
    </row>
    <row r="470" ht="15.75" customHeight="1">
      <c r="E470" s="84"/>
      <c r="J470" s="84"/>
      <c r="L470" s="84"/>
      <c r="M470" s="84"/>
      <c r="O470" s="84"/>
      <c r="R470" s="84"/>
    </row>
    <row r="471" ht="15.75" customHeight="1">
      <c r="E471" s="84"/>
      <c r="J471" s="84"/>
      <c r="L471" s="84"/>
      <c r="M471" s="84"/>
      <c r="O471" s="84"/>
      <c r="R471" s="84"/>
    </row>
    <row r="472" ht="15.75" customHeight="1">
      <c r="E472" s="84"/>
      <c r="J472" s="84"/>
      <c r="L472" s="84"/>
      <c r="M472" s="84"/>
      <c r="O472" s="84"/>
      <c r="R472" s="84"/>
    </row>
    <row r="473" ht="15.75" customHeight="1">
      <c r="E473" s="84"/>
      <c r="J473" s="84"/>
      <c r="L473" s="84"/>
      <c r="M473" s="84"/>
      <c r="O473" s="84"/>
      <c r="R473" s="84"/>
    </row>
    <row r="474" ht="15.75" customHeight="1">
      <c r="E474" s="84"/>
      <c r="J474" s="84"/>
      <c r="L474" s="84"/>
      <c r="M474" s="84"/>
      <c r="O474" s="84"/>
      <c r="R474" s="84"/>
    </row>
    <row r="475" ht="15.75" customHeight="1">
      <c r="E475" s="84"/>
      <c r="J475" s="84"/>
      <c r="L475" s="84"/>
      <c r="M475" s="84"/>
      <c r="O475" s="84"/>
      <c r="R475" s="84"/>
    </row>
    <row r="476" ht="15.75" customHeight="1">
      <c r="E476" s="84"/>
      <c r="J476" s="84"/>
      <c r="L476" s="84"/>
      <c r="M476" s="84"/>
      <c r="O476" s="84"/>
      <c r="R476" s="84"/>
    </row>
    <row r="477" ht="15.75" customHeight="1">
      <c r="E477" s="84"/>
      <c r="J477" s="84"/>
      <c r="L477" s="84"/>
      <c r="M477" s="84"/>
      <c r="O477" s="84"/>
      <c r="R477" s="84"/>
    </row>
    <row r="478" ht="15.75" customHeight="1">
      <c r="E478" s="84"/>
      <c r="J478" s="84"/>
      <c r="L478" s="84"/>
      <c r="M478" s="84"/>
      <c r="O478" s="84"/>
      <c r="R478" s="84"/>
    </row>
    <row r="479" ht="15.75" customHeight="1">
      <c r="E479" s="84"/>
      <c r="J479" s="84"/>
      <c r="L479" s="84"/>
      <c r="M479" s="84"/>
      <c r="O479" s="84"/>
      <c r="R479" s="84"/>
    </row>
    <row r="480" ht="15.75" customHeight="1">
      <c r="E480" s="84"/>
      <c r="J480" s="84"/>
      <c r="L480" s="84"/>
      <c r="M480" s="84"/>
      <c r="O480" s="84"/>
      <c r="R480" s="84"/>
    </row>
    <row r="481" ht="15.75" customHeight="1">
      <c r="E481" s="84"/>
      <c r="J481" s="84"/>
      <c r="L481" s="84"/>
      <c r="M481" s="84"/>
      <c r="O481" s="84"/>
      <c r="R481" s="84"/>
    </row>
    <row r="482" ht="15.75" customHeight="1">
      <c r="E482" s="84"/>
      <c r="J482" s="84"/>
      <c r="L482" s="84"/>
      <c r="M482" s="84"/>
      <c r="O482" s="84"/>
      <c r="R482" s="84"/>
    </row>
    <row r="483" ht="15.75" customHeight="1">
      <c r="E483" s="84"/>
      <c r="J483" s="84"/>
      <c r="L483" s="84"/>
      <c r="M483" s="84"/>
      <c r="O483" s="84"/>
      <c r="R483" s="84"/>
    </row>
    <row r="484" ht="15.75" customHeight="1">
      <c r="E484" s="84"/>
      <c r="J484" s="84"/>
      <c r="L484" s="84"/>
      <c r="M484" s="84"/>
      <c r="O484" s="84"/>
      <c r="R484" s="84"/>
    </row>
    <row r="485" ht="15.75" customHeight="1">
      <c r="E485" s="84"/>
      <c r="J485" s="84"/>
      <c r="L485" s="84"/>
      <c r="M485" s="84"/>
      <c r="O485" s="84"/>
      <c r="R485" s="84"/>
    </row>
    <row r="486" ht="15.75" customHeight="1">
      <c r="E486" s="84"/>
      <c r="J486" s="84"/>
      <c r="L486" s="84"/>
      <c r="M486" s="84"/>
      <c r="O486" s="84"/>
      <c r="R486" s="84"/>
    </row>
    <row r="487" ht="15.75" customHeight="1">
      <c r="E487" s="84"/>
      <c r="J487" s="84"/>
      <c r="L487" s="84"/>
      <c r="M487" s="84"/>
      <c r="O487" s="84"/>
      <c r="R487" s="84"/>
    </row>
    <row r="488" ht="15.75" customHeight="1">
      <c r="E488" s="84"/>
      <c r="J488" s="84"/>
      <c r="L488" s="84"/>
      <c r="M488" s="84"/>
      <c r="O488" s="84"/>
      <c r="R488" s="84"/>
    </row>
    <row r="489" ht="15.75" customHeight="1">
      <c r="E489" s="84"/>
      <c r="J489" s="84"/>
      <c r="L489" s="84"/>
      <c r="M489" s="84"/>
      <c r="O489" s="84"/>
      <c r="R489" s="84"/>
    </row>
    <row r="490" ht="15.75" customHeight="1">
      <c r="E490" s="84"/>
      <c r="J490" s="84"/>
      <c r="L490" s="84"/>
      <c r="M490" s="84"/>
      <c r="O490" s="84"/>
      <c r="R490" s="84"/>
    </row>
    <row r="491" ht="15.75" customHeight="1">
      <c r="E491" s="84"/>
      <c r="J491" s="84"/>
      <c r="L491" s="84"/>
      <c r="M491" s="84"/>
      <c r="O491" s="84"/>
      <c r="R491" s="84"/>
    </row>
    <row r="492" ht="15.75" customHeight="1">
      <c r="E492" s="84"/>
      <c r="J492" s="84"/>
      <c r="L492" s="84"/>
      <c r="M492" s="84"/>
      <c r="O492" s="84"/>
      <c r="R492" s="84"/>
    </row>
    <row r="493" ht="15.75" customHeight="1">
      <c r="E493" s="84"/>
      <c r="J493" s="84"/>
      <c r="L493" s="84"/>
      <c r="M493" s="84"/>
      <c r="O493" s="84"/>
      <c r="R493" s="84"/>
    </row>
    <row r="494" ht="15.75" customHeight="1">
      <c r="E494" s="84"/>
      <c r="J494" s="84"/>
      <c r="L494" s="84"/>
      <c r="M494" s="84"/>
      <c r="O494" s="84"/>
      <c r="R494" s="84"/>
    </row>
    <row r="495" ht="15.75" customHeight="1">
      <c r="E495" s="84"/>
      <c r="J495" s="84"/>
      <c r="L495" s="84"/>
      <c r="M495" s="84"/>
      <c r="O495" s="84"/>
      <c r="R495" s="84"/>
    </row>
    <row r="496" ht="15.75" customHeight="1">
      <c r="E496" s="84"/>
      <c r="J496" s="84"/>
      <c r="L496" s="84"/>
      <c r="M496" s="84"/>
      <c r="O496" s="84"/>
      <c r="R496" s="84"/>
    </row>
    <row r="497" ht="15.75" customHeight="1">
      <c r="E497" s="84"/>
      <c r="J497" s="84"/>
      <c r="L497" s="84"/>
      <c r="M497" s="84"/>
      <c r="O497" s="84"/>
      <c r="R497" s="84"/>
    </row>
    <row r="498" ht="15.75" customHeight="1">
      <c r="E498" s="84"/>
      <c r="J498" s="84"/>
      <c r="L498" s="84"/>
      <c r="M498" s="84"/>
      <c r="O498" s="84"/>
      <c r="R498" s="84"/>
    </row>
    <row r="499" ht="15.75" customHeight="1">
      <c r="E499" s="84"/>
      <c r="J499" s="84"/>
      <c r="L499" s="84"/>
      <c r="M499" s="84"/>
      <c r="O499" s="84"/>
      <c r="R499" s="84"/>
    </row>
    <row r="500" ht="15.75" customHeight="1">
      <c r="E500" s="84"/>
      <c r="J500" s="84"/>
      <c r="L500" s="84"/>
      <c r="M500" s="84"/>
      <c r="O500" s="84"/>
      <c r="R500" s="84"/>
    </row>
    <row r="501" ht="15.75" customHeight="1">
      <c r="E501" s="84"/>
      <c r="J501" s="84"/>
      <c r="L501" s="84"/>
      <c r="M501" s="84"/>
      <c r="O501" s="84"/>
      <c r="R501" s="84"/>
    </row>
    <row r="502" ht="15.75" customHeight="1">
      <c r="E502" s="84"/>
      <c r="J502" s="84"/>
      <c r="L502" s="84"/>
      <c r="M502" s="84"/>
      <c r="O502" s="84"/>
      <c r="R502" s="84"/>
    </row>
    <row r="503" ht="15.75" customHeight="1">
      <c r="E503" s="84"/>
      <c r="J503" s="84"/>
      <c r="L503" s="84"/>
      <c r="M503" s="84"/>
      <c r="O503" s="84"/>
      <c r="R503" s="84"/>
    </row>
    <row r="504" ht="15.75" customHeight="1">
      <c r="E504" s="84"/>
      <c r="J504" s="84"/>
      <c r="L504" s="84"/>
      <c r="M504" s="84"/>
      <c r="O504" s="84"/>
      <c r="R504" s="84"/>
    </row>
    <row r="505" ht="15.75" customHeight="1">
      <c r="E505" s="84"/>
      <c r="J505" s="84"/>
      <c r="L505" s="84"/>
      <c r="M505" s="84"/>
      <c r="O505" s="84"/>
      <c r="R505" s="84"/>
    </row>
    <row r="506" ht="15.75" customHeight="1">
      <c r="E506" s="84"/>
      <c r="J506" s="84"/>
      <c r="L506" s="84"/>
      <c r="M506" s="84"/>
      <c r="O506" s="84"/>
      <c r="R506" s="84"/>
    </row>
    <row r="507" ht="15.75" customHeight="1">
      <c r="E507" s="84"/>
      <c r="J507" s="84"/>
      <c r="L507" s="84"/>
      <c r="M507" s="84"/>
      <c r="O507" s="84"/>
      <c r="R507" s="84"/>
    </row>
    <row r="508" ht="15.75" customHeight="1">
      <c r="E508" s="84"/>
      <c r="J508" s="84"/>
      <c r="L508" s="84"/>
      <c r="M508" s="84"/>
      <c r="O508" s="84"/>
      <c r="R508" s="84"/>
    </row>
    <row r="509" ht="15.75" customHeight="1">
      <c r="E509" s="84"/>
      <c r="J509" s="84"/>
      <c r="L509" s="84"/>
      <c r="M509" s="84"/>
      <c r="O509" s="84"/>
      <c r="R509" s="84"/>
    </row>
    <row r="510" ht="15.75" customHeight="1">
      <c r="E510" s="84"/>
      <c r="J510" s="84"/>
      <c r="L510" s="84"/>
      <c r="M510" s="84"/>
      <c r="O510" s="84"/>
      <c r="R510" s="84"/>
    </row>
    <row r="511" ht="15.75" customHeight="1">
      <c r="E511" s="84"/>
      <c r="J511" s="84"/>
      <c r="L511" s="84"/>
      <c r="M511" s="84"/>
      <c r="O511" s="84"/>
      <c r="R511" s="84"/>
    </row>
    <row r="512" ht="15.75" customHeight="1">
      <c r="E512" s="84"/>
      <c r="J512" s="84"/>
      <c r="L512" s="84"/>
      <c r="M512" s="84"/>
      <c r="O512" s="84"/>
      <c r="R512" s="84"/>
    </row>
    <row r="513" ht="15.75" customHeight="1">
      <c r="E513" s="84"/>
      <c r="J513" s="84"/>
      <c r="L513" s="84"/>
      <c r="M513" s="84"/>
      <c r="O513" s="84"/>
      <c r="R513" s="84"/>
    </row>
    <row r="514" ht="15.75" customHeight="1">
      <c r="E514" s="84"/>
      <c r="J514" s="84"/>
      <c r="L514" s="84"/>
      <c r="M514" s="84"/>
      <c r="O514" s="84"/>
      <c r="R514" s="84"/>
    </row>
    <row r="515" ht="15.75" customHeight="1">
      <c r="E515" s="84"/>
      <c r="J515" s="84"/>
      <c r="L515" s="84"/>
      <c r="M515" s="84"/>
      <c r="O515" s="84"/>
      <c r="R515" s="84"/>
    </row>
    <row r="516" ht="15.75" customHeight="1">
      <c r="E516" s="84"/>
      <c r="J516" s="84"/>
      <c r="L516" s="84"/>
      <c r="M516" s="84"/>
      <c r="O516" s="84"/>
      <c r="R516" s="84"/>
    </row>
    <row r="517" ht="15.75" customHeight="1">
      <c r="E517" s="84"/>
      <c r="J517" s="84"/>
      <c r="L517" s="84"/>
      <c r="M517" s="84"/>
      <c r="O517" s="84"/>
      <c r="R517" s="84"/>
    </row>
    <row r="518" ht="15.75" customHeight="1">
      <c r="E518" s="84"/>
      <c r="J518" s="84"/>
      <c r="L518" s="84"/>
      <c r="M518" s="84"/>
      <c r="O518" s="84"/>
      <c r="R518" s="84"/>
    </row>
    <row r="519" ht="15.75" customHeight="1">
      <c r="E519" s="84"/>
      <c r="J519" s="84"/>
      <c r="L519" s="84"/>
      <c r="M519" s="84"/>
      <c r="O519" s="84"/>
      <c r="R519" s="84"/>
    </row>
    <row r="520" ht="15.75" customHeight="1">
      <c r="E520" s="84"/>
      <c r="J520" s="84"/>
      <c r="L520" s="84"/>
      <c r="M520" s="84"/>
      <c r="O520" s="84"/>
      <c r="R520" s="84"/>
    </row>
    <row r="521" ht="15.75" customHeight="1">
      <c r="E521" s="84"/>
      <c r="J521" s="84"/>
      <c r="L521" s="84"/>
      <c r="M521" s="84"/>
      <c r="O521" s="84"/>
      <c r="R521" s="84"/>
    </row>
    <row r="522" ht="15.75" customHeight="1">
      <c r="E522" s="84"/>
      <c r="J522" s="84"/>
      <c r="L522" s="84"/>
      <c r="M522" s="84"/>
      <c r="O522" s="84"/>
      <c r="R522" s="84"/>
    </row>
    <row r="523" ht="15.75" customHeight="1">
      <c r="E523" s="84"/>
      <c r="J523" s="84"/>
      <c r="L523" s="84"/>
      <c r="M523" s="84"/>
      <c r="O523" s="84"/>
      <c r="R523" s="84"/>
    </row>
    <row r="524" ht="15.75" customHeight="1">
      <c r="E524" s="84"/>
      <c r="J524" s="84"/>
      <c r="L524" s="84"/>
      <c r="M524" s="84"/>
      <c r="O524" s="84"/>
      <c r="R524" s="84"/>
    </row>
    <row r="525" ht="15.75" customHeight="1">
      <c r="E525" s="84"/>
      <c r="J525" s="84"/>
      <c r="L525" s="84"/>
      <c r="M525" s="84"/>
      <c r="O525" s="84"/>
      <c r="R525" s="84"/>
    </row>
    <row r="526" ht="15.75" customHeight="1">
      <c r="E526" s="84"/>
      <c r="J526" s="84"/>
      <c r="L526" s="84"/>
      <c r="M526" s="84"/>
      <c r="O526" s="84"/>
      <c r="R526" s="84"/>
    </row>
    <row r="527" ht="15.75" customHeight="1">
      <c r="E527" s="84"/>
      <c r="J527" s="84"/>
      <c r="L527" s="84"/>
      <c r="M527" s="84"/>
      <c r="O527" s="84"/>
      <c r="R527" s="84"/>
    </row>
    <row r="528" ht="15.75" customHeight="1">
      <c r="E528" s="84"/>
      <c r="J528" s="84"/>
      <c r="L528" s="84"/>
      <c r="M528" s="84"/>
      <c r="O528" s="84"/>
      <c r="R528" s="84"/>
    </row>
    <row r="529" ht="15.75" customHeight="1">
      <c r="E529" s="84"/>
      <c r="J529" s="84"/>
      <c r="L529" s="84"/>
      <c r="M529" s="84"/>
      <c r="O529" s="84"/>
      <c r="R529" s="84"/>
    </row>
    <row r="530" ht="15.75" customHeight="1">
      <c r="E530" s="84"/>
      <c r="J530" s="84"/>
      <c r="L530" s="84"/>
      <c r="M530" s="84"/>
      <c r="O530" s="84"/>
      <c r="R530" s="84"/>
    </row>
    <row r="531" ht="15.75" customHeight="1">
      <c r="E531" s="84"/>
      <c r="J531" s="84"/>
      <c r="L531" s="84"/>
      <c r="M531" s="84"/>
      <c r="O531" s="84"/>
      <c r="R531" s="84"/>
    </row>
    <row r="532" ht="15.75" customHeight="1">
      <c r="E532" s="84"/>
      <c r="J532" s="84"/>
      <c r="L532" s="84"/>
      <c r="M532" s="84"/>
      <c r="O532" s="84"/>
      <c r="R532" s="84"/>
    </row>
    <row r="533" ht="15.75" customHeight="1">
      <c r="E533" s="84"/>
      <c r="J533" s="84"/>
      <c r="L533" s="84"/>
      <c r="M533" s="84"/>
      <c r="O533" s="84"/>
      <c r="R533" s="84"/>
    </row>
    <row r="534" ht="15.75" customHeight="1">
      <c r="E534" s="84"/>
      <c r="J534" s="84"/>
      <c r="L534" s="84"/>
      <c r="M534" s="84"/>
      <c r="O534" s="84"/>
      <c r="R534" s="84"/>
    </row>
    <row r="535" ht="15.75" customHeight="1">
      <c r="E535" s="84"/>
      <c r="J535" s="84"/>
      <c r="L535" s="84"/>
      <c r="M535" s="84"/>
      <c r="O535" s="84"/>
      <c r="R535" s="84"/>
    </row>
    <row r="536" ht="15.75" customHeight="1">
      <c r="E536" s="84"/>
      <c r="J536" s="84"/>
      <c r="L536" s="84"/>
      <c r="M536" s="84"/>
      <c r="O536" s="84"/>
      <c r="R536" s="84"/>
    </row>
    <row r="537" ht="15.75" customHeight="1">
      <c r="E537" s="84"/>
      <c r="J537" s="84"/>
      <c r="L537" s="84"/>
      <c r="M537" s="84"/>
      <c r="O537" s="84"/>
      <c r="R537" s="84"/>
    </row>
    <row r="538" ht="15.75" customHeight="1">
      <c r="E538" s="84"/>
      <c r="J538" s="84"/>
      <c r="L538" s="84"/>
      <c r="M538" s="84"/>
      <c r="O538" s="84"/>
      <c r="R538" s="84"/>
    </row>
    <row r="539" ht="15.75" customHeight="1">
      <c r="E539" s="84"/>
      <c r="J539" s="84"/>
      <c r="L539" s="84"/>
      <c r="M539" s="84"/>
      <c r="O539" s="84"/>
      <c r="R539" s="84"/>
    </row>
    <row r="540" ht="15.75" customHeight="1">
      <c r="E540" s="84"/>
      <c r="J540" s="84"/>
      <c r="L540" s="84"/>
      <c r="M540" s="84"/>
      <c r="O540" s="84"/>
      <c r="R540" s="84"/>
    </row>
    <row r="541" ht="15.75" customHeight="1">
      <c r="E541" s="84"/>
      <c r="J541" s="84"/>
      <c r="L541" s="84"/>
      <c r="M541" s="84"/>
      <c r="O541" s="84"/>
      <c r="R541" s="84"/>
    </row>
    <row r="542" ht="15.75" customHeight="1">
      <c r="E542" s="84"/>
      <c r="J542" s="84"/>
      <c r="L542" s="84"/>
      <c r="M542" s="84"/>
      <c r="O542" s="84"/>
      <c r="R542" s="84"/>
    </row>
    <row r="543" ht="15.75" customHeight="1">
      <c r="E543" s="84"/>
      <c r="J543" s="84"/>
      <c r="L543" s="84"/>
      <c r="M543" s="84"/>
      <c r="O543" s="84"/>
      <c r="R543" s="84"/>
    </row>
    <row r="544" ht="15.75" customHeight="1">
      <c r="E544" s="84"/>
      <c r="J544" s="84"/>
      <c r="L544" s="84"/>
      <c r="M544" s="84"/>
      <c r="O544" s="84"/>
      <c r="R544" s="84"/>
    </row>
    <row r="545" ht="15.75" customHeight="1">
      <c r="E545" s="84"/>
      <c r="J545" s="84"/>
      <c r="L545" s="84"/>
      <c r="M545" s="84"/>
      <c r="O545" s="84"/>
      <c r="R545" s="84"/>
    </row>
    <row r="546" ht="15.75" customHeight="1">
      <c r="E546" s="84"/>
      <c r="J546" s="84"/>
      <c r="L546" s="84"/>
      <c r="M546" s="84"/>
      <c r="O546" s="84"/>
      <c r="R546" s="84"/>
    </row>
    <row r="547" ht="15.75" customHeight="1">
      <c r="E547" s="84"/>
      <c r="J547" s="84"/>
      <c r="L547" s="84"/>
      <c r="M547" s="84"/>
      <c r="O547" s="84"/>
      <c r="R547" s="84"/>
    </row>
    <row r="548" ht="15.75" customHeight="1">
      <c r="E548" s="84"/>
      <c r="J548" s="84"/>
      <c r="L548" s="84"/>
      <c r="M548" s="84"/>
      <c r="O548" s="84"/>
      <c r="R548" s="84"/>
    </row>
    <row r="549" ht="15.75" customHeight="1">
      <c r="E549" s="84"/>
      <c r="J549" s="84"/>
      <c r="L549" s="84"/>
      <c r="M549" s="84"/>
      <c r="O549" s="84"/>
      <c r="R549" s="84"/>
    </row>
    <row r="550" ht="15.75" customHeight="1">
      <c r="E550" s="84"/>
      <c r="J550" s="84"/>
      <c r="L550" s="84"/>
      <c r="M550" s="84"/>
      <c r="O550" s="84"/>
      <c r="R550" s="84"/>
    </row>
    <row r="551" ht="15.75" customHeight="1">
      <c r="E551" s="84"/>
      <c r="J551" s="84"/>
      <c r="L551" s="84"/>
      <c r="M551" s="84"/>
      <c r="O551" s="84"/>
      <c r="R551" s="84"/>
    </row>
    <row r="552" ht="15.75" customHeight="1">
      <c r="E552" s="84"/>
      <c r="J552" s="84"/>
      <c r="L552" s="84"/>
      <c r="M552" s="84"/>
      <c r="O552" s="84"/>
      <c r="R552" s="84"/>
    </row>
    <row r="553" ht="15.75" customHeight="1">
      <c r="E553" s="84"/>
      <c r="J553" s="84"/>
      <c r="L553" s="84"/>
      <c r="M553" s="84"/>
      <c r="O553" s="84"/>
      <c r="R553" s="84"/>
    </row>
    <row r="554" ht="15.75" customHeight="1">
      <c r="E554" s="84"/>
      <c r="J554" s="84"/>
      <c r="L554" s="84"/>
      <c r="M554" s="84"/>
      <c r="O554" s="84"/>
      <c r="R554" s="84"/>
    </row>
    <row r="555" ht="15.75" customHeight="1">
      <c r="E555" s="84"/>
      <c r="J555" s="84"/>
      <c r="L555" s="84"/>
      <c r="M555" s="84"/>
      <c r="O555" s="84"/>
      <c r="R555" s="84"/>
    </row>
    <row r="556" ht="15.75" customHeight="1">
      <c r="E556" s="84"/>
      <c r="J556" s="84"/>
      <c r="L556" s="84"/>
      <c r="M556" s="84"/>
      <c r="O556" s="84"/>
      <c r="R556" s="84"/>
    </row>
    <row r="557" ht="15.75" customHeight="1">
      <c r="E557" s="84"/>
      <c r="J557" s="84"/>
      <c r="L557" s="84"/>
      <c r="M557" s="84"/>
      <c r="O557" s="84"/>
      <c r="R557" s="84"/>
    </row>
    <row r="558" ht="15.75" customHeight="1">
      <c r="E558" s="84"/>
      <c r="J558" s="84"/>
      <c r="L558" s="84"/>
      <c r="M558" s="84"/>
      <c r="O558" s="84"/>
      <c r="R558" s="84"/>
    </row>
    <row r="559" ht="15.75" customHeight="1">
      <c r="E559" s="84"/>
      <c r="J559" s="84"/>
      <c r="L559" s="84"/>
      <c r="M559" s="84"/>
      <c r="O559" s="84"/>
      <c r="R559" s="84"/>
    </row>
    <row r="560" ht="15.75" customHeight="1">
      <c r="E560" s="84"/>
      <c r="J560" s="84"/>
      <c r="L560" s="84"/>
      <c r="M560" s="84"/>
      <c r="O560" s="84"/>
      <c r="R560" s="84"/>
    </row>
    <row r="561" ht="15.75" customHeight="1">
      <c r="E561" s="84"/>
      <c r="J561" s="84"/>
      <c r="L561" s="84"/>
      <c r="M561" s="84"/>
      <c r="O561" s="84"/>
      <c r="R561" s="84"/>
    </row>
    <row r="562" ht="15.75" customHeight="1">
      <c r="E562" s="84"/>
      <c r="J562" s="84"/>
      <c r="L562" s="84"/>
      <c r="M562" s="84"/>
      <c r="O562" s="84"/>
      <c r="R562" s="84"/>
    </row>
    <row r="563" ht="15.75" customHeight="1">
      <c r="E563" s="84"/>
      <c r="J563" s="84"/>
      <c r="L563" s="84"/>
      <c r="M563" s="84"/>
      <c r="O563" s="84"/>
      <c r="R563" s="84"/>
    </row>
    <row r="564" ht="15.75" customHeight="1">
      <c r="E564" s="84"/>
      <c r="J564" s="84"/>
      <c r="L564" s="84"/>
      <c r="M564" s="84"/>
      <c r="O564" s="84"/>
      <c r="R564" s="84"/>
    </row>
    <row r="565" ht="15.75" customHeight="1">
      <c r="E565" s="84"/>
      <c r="J565" s="84"/>
      <c r="L565" s="84"/>
      <c r="M565" s="84"/>
      <c r="O565" s="84"/>
      <c r="R565" s="84"/>
    </row>
    <row r="566" ht="15.75" customHeight="1">
      <c r="E566" s="84"/>
      <c r="J566" s="84"/>
      <c r="L566" s="84"/>
      <c r="M566" s="84"/>
      <c r="O566" s="84"/>
      <c r="R566" s="84"/>
    </row>
    <row r="567" ht="15.75" customHeight="1">
      <c r="E567" s="84"/>
      <c r="J567" s="84"/>
      <c r="L567" s="84"/>
      <c r="M567" s="84"/>
      <c r="O567" s="84"/>
      <c r="R567" s="84"/>
    </row>
    <row r="568" ht="15.75" customHeight="1">
      <c r="E568" s="84"/>
      <c r="J568" s="84"/>
      <c r="L568" s="84"/>
      <c r="M568" s="84"/>
      <c r="O568" s="84"/>
      <c r="R568" s="84"/>
    </row>
    <row r="569" ht="15.75" customHeight="1">
      <c r="E569" s="84"/>
      <c r="J569" s="84"/>
      <c r="L569" s="84"/>
      <c r="M569" s="84"/>
      <c r="O569" s="84"/>
      <c r="R569" s="84"/>
    </row>
    <row r="570" ht="15.75" customHeight="1">
      <c r="E570" s="84"/>
      <c r="J570" s="84"/>
      <c r="L570" s="84"/>
      <c r="M570" s="84"/>
      <c r="O570" s="84"/>
      <c r="R570" s="84"/>
    </row>
    <row r="571" ht="15.75" customHeight="1">
      <c r="E571" s="84"/>
      <c r="J571" s="84"/>
      <c r="L571" s="84"/>
      <c r="M571" s="84"/>
      <c r="O571" s="84"/>
      <c r="R571" s="84"/>
    </row>
    <row r="572" ht="15.75" customHeight="1">
      <c r="E572" s="84"/>
      <c r="J572" s="84"/>
      <c r="L572" s="84"/>
      <c r="M572" s="84"/>
      <c r="O572" s="84"/>
      <c r="R572" s="84"/>
    </row>
    <row r="573" ht="15.75" customHeight="1">
      <c r="E573" s="84"/>
      <c r="J573" s="84"/>
      <c r="L573" s="84"/>
      <c r="M573" s="84"/>
      <c r="O573" s="84"/>
      <c r="R573" s="84"/>
    </row>
    <row r="574" ht="15.75" customHeight="1">
      <c r="E574" s="84"/>
      <c r="J574" s="84"/>
      <c r="L574" s="84"/>
      <c r="M574" s="84"/>
      <c r="O574" s="84"/>
      <c r="R574" s="84"/>
    </row>
    <row r="575" ht="15.75" customHeight="1">
      <c r="E575" s="84"/>
      <c r="J575" s="84"/>
      <c r="L575" s="84"/>
      <c r="M575" s="84"/>
      <c r="O575" s="84"/>
      <c r="R575" s="84"/>
    </row>
    <row r="576" ht="15.75" customHeight="1">
      <c r="E576" s="84"/>
      <c r="J576" s="84"/>
      <c r="L576" s="84"/>
      <c r="M576" s="84"/>
      <c r="O576" s="84"/>
      <c r="R576" s="84"/>
    </row>
    <row r="577" ht="15.75" customHeight="1">
      <c r="E577" s="84"/>
      <c r="J577" s="84"/>
      <c r="L577" s="84"/>
      <c r="M577" s="84"/>
      <c r="O577" s="84"/>
      <c r="R577" s="84"/>
    </row>
    <row r="578" ht="15.75" customHeight="1">
      <c r="E578" s="84"/>
      <c r="J578" s="84"/>
      <c r="L578" s="84"/>
      <c r="M578" s="84"/>
      <c r="O578" s="84"/>
      <c r="R578" s="84"/>
    </row>
    <row r="579" ht="15.75" customHeight="1">
      <c r="E579" s="84"/>
      <c r="J579" s="84"/>
      <c r="L579" s="84"/>
      <c r="M579" s="84"/>
      <c r="O579" s="84"/>
      <c r="R579" s="84"/>
    </row>
    <row r="580" ht="15.75" customHeight="1">
      <c r="E580" s="84"/>
      <c r="J580" s="84"/>
      <c r="L580" s="84"/>
      <c r="M580" s="84"/>
      <c r="O580" s="84"/>
      <c r="R580" s="84"/>
    </row>
    <row r="581" ht="15.75" customHeight="1">
      <c r="E581" s="84"/>
      <c r="J581" s="84"/>
      <c r="L581" s="84"/>
      <c r="M581" s="84"/>
      <c r="O581" s="84"/>
      <c r="R581" s="84"/>
    </row>
    <row r="582" ht="15.75" customHeight="1">
      <c r="E582" s="84"/>
      <c r="J582" s="84"/>
      <c r="L582" s="84"/>
      <c r="M582" s="84"/>
      <c r="O582" s="84"/>
      <c r="R582" s="84"/>
    </row>
    <row r="583" ht="15.75" customHeight="1">
      <c r="E583" s="84"/>
      <c r="J583" s="84"/>
      <c r="L583" s="84"/>
      <c r="M583" s="84"/>
      <c r="O583" s="84"/>
      <c r="R583" s="84"/>
    </row>
    <row r="584" ht="15.75" customHeight="1">
      <c r="E584" s="84"/>
      <c r="J584" s="84"/>
      <c r="L584" s="84"/>
      <c r="M584" s="84"/>
      <c r="O584" s="84"/>
      <c r="R584" s="84"/>
    </row>
    <row r="585" ht="15.75" customHeight="1">
      <c r="E585" s="84"/>
      <c r="J585" s="84"/>
      <c r="L585" s="84"/>
      <c r="M585" s="84"/>
      <c r="O585" s="84"/>
      <c r="R585" s="84"/>
    </row>
    <row r="586" ht="15.75" customHeight="1">
      <c r="E586" s="84"/>
      <c r="J586" s="84"/>
      <c r="L586" s="84"/>
      <c r="M586" s="84"/>
      <c r="O586" s="84"/>
      <c r="R586" s="84"/>
    </row>
    <row r="587" ht="15.75" customHeight="1">
      <c r="E587" s="84"/>
      <c r="J587" s="84"/>
      <c r="L587" s="84"/>
      <c r="M587" s="84"/>
      <c r="O587" s="84"/>
      <c r="R587" s="84"/>
    </row>
    <row r="588" ht="15.75" customHeight="1">
      <c r="E588" s="84"/>
      <c r="J588" s="84"/>
      <c r="L588" s="84"/>
      <c r="M588" s="84"/>
      <c r="O588" s="84"/>
      <c r="R588" s="84"/>
    </row>
    <row r="589" ht="15.75" customHeight="1">
      <c r="E589" s="84"/>
      <c r="J589" s="84"/>
      <c r="L589" s="84"/>
      <c r="M589" s="84"/>
      <c r="O589" s="84"/>
      <c r="R589" s="84"/>
    </row>
    <row r="590" ht="15.75" customHeight="1">
      <c r="E590" s="84"/>
      <c r="J590" s="84"/>
      <c r="L590" s="84"/>
      <c r="M590" s="84"/>
      <c r="O590" s="84"/>
      <c r="R590" s="84"/>
    </row>
    <row r="591" ht="15.75" customHeight="1">
      <c r="E591" s="84"/>
      <c r="J591" s="84"/>
      <c r="L591" s="84"/>
      <c r="M591" s="84"/>
      <c r="O591" s="84"/>
      <c r="R591" s="84"/>
    </row>
    <row r="592" ht="15.75" customHeight="1">
      <c r="E592" s="84"/>
      <c r="J592" s="84"/>
      <c r="L592" s="84"/>
      <c r="M592" s="84"/>
      <c r="O592" s="84"/>
      <c r="R592" s="84"/>
    </row>
    <row r="593" ht="15.75" customHeight="1">
      <c r="E593" s="84"/>
      <c r="J593" s="84"/>
      <c r="L593" s="84"/>
      <c r="M593" s="84"/>
      <c r="O593" s="84"/>
      <c r="R593" s="84"/>
    </row>
    <row r="594" ht="15.75" customHeight="1">
      <c r="E594" s="84"/>
      <c r="J594" s="84"/>
      <c r="L594" s="84"/>
      <c r="M594" s="84"/>
      <c r="O594" s="84"/>
      <c r="R594" s="84"/>
    </row>
    <row r="595" ht="15.75" customHeight="1">
      <c r="E595" s="84"/>
      <c r="J595" s="84"/>
      <c r="L595" s="84"/>
      <c r="M595" s="84"/>
      <c r="O595" s="84"/>
      <c r="R595" s="84"/>
    </row>
    <row r="596" ht="15.75" customHeight="1">
      <c r="E596" s="84"/>
      <c r="J596" s="84"/>
      <c r="L596" s="84"/>
      <c r="M596" s="84"/>
      <c r="O596" s="84"/>
      <c r="R596" s="84"/>
    </row>
    <row r="597" ht="15.75" customHeight="1">
      <c r="E597" s="84"/>
      <c r="J597" s="84"/>
      <c r="L597" s="84"/>
      <c r="M597" s="84"/>
      <c r="O597" s="84"/>
      <c r="R597" s="84"/>
    </row>
    <row r="598" ht="15.75" customHeight="1">
      <c r="E598" s="84"/>
      <c r="J598" s="84"/>
      <c r="L598" s="84"/>
      <c r="M598" s="84"/>
      <c r="O598" s="84"/>
      <c r="R598" s="84"/>
    </row>
    <row r="599" ht="15.75" customHeight="1">
      <c r="E599" s="84"/>
      <c r="J599" s="84"/>
      <c r="L599" s="84"/>
      <c r="M599" s="84"/>
      <c r="O599" s="84"/>
      <c r="R599" s="84"/>
    </row>
    <row r="600" ht="15.75" customHeight="1">
      <c r="E600" s="84"/>
      <c r="J600" s="84"/>
      <c r="L600" s="84"/>
      <c r="M600" s="84"/>
      <c r="O600" s="84"/>
      <c r="R600" s="84"/>
    </row>
    <row r="601" ht="15.75" customHeight="1">
      <c r="E601" s="84"/>
      <c r="J601" s="84"/>
      <c r="L601" s="84"/>
      <c r="M601" s="84"/>
      <c r="O601" s="84"/>
      <c r="R601" s="84"/>
    </row>
    <row r="602" ht="15.75" customHeight="1">
      <c r="E602" s="84"/>
      <c r="J602" s="84"/>
      <c r="L602" s="84"/>
      <c r="M602" s="84"/>
      <c r="O602" s="84"/>
      <c r="R602" s="84"/>
    </row>
    <row r="603" ht="15.75" customHeight="1">
      <c r="E603" s="84"/>
      <c r="J603" s="84"/>
      <c r="L603" s="84"/>
      <c r="M603" s="84"/>
      <c r="O603" s="84"/>
      <c r="R603" s="84"/>
    </row>
    <row r="604" ht="15.75" customHeight="1">
      <c r="E604" s="84"/>
      <c r="J604" s="84"/>
      <c r="L604" s="84"/>
      <c r="M604" s="84"/>
      <c r="O604" s="84"/>
      <c r="R604" s="84"/>
    </row>
    <row r="605" ht="15.75" customHeight="1">
      <c r="E605" s="84"/>
      <c r="J605" s="84"/>
      <c r="L605" s="84"/>
      <c r="M605" s="84"/>
      <c r="O605" s="84"/>
      <c r="R605" s="84"/>
    </row>
    <row r="606" ht="15.75" customHeight="1">
      <c r="E606" s="84"/>
      <c r="J606" s="84"/>
      <c r="L606" s="84"/>
      <c r="M606" s="84"/>
      <c r="O606" s="84"/>
      <c r="R606" s="84"/>
    </row>
    <row r="607" ht="15.75" customHeight="1">
      <c r="E607" s="84"/>
      <c r="J607" s="84"/>
      <c r="L607" s="84"/>
      <c r="M607" s="84"/>
      <c r="O607" s="84"/>
      <c r="R607" s="84"/>
    </row>
    <row r="608" ht="15.75" customHeight="1">
      <c r="E608" s="84"/>
      <c r="J608" s="84"/>
      <c r="L608" s="84"/>
      <c r="M608" s="84"/>
      <c r="O608" s="84"/>
      <c r="R608" s="84"/>
    </row>
    <row r="609" ht="15.75" customHeight="1">
      <c r="E609" s="84"/>
      <c r="J609" s="84"/>
      <c r="L609" s="84"/>
      <c r="M609" s="84"/>
      <c r="O609" s="84"/>
      <c r="R609" s="84"/>
    </row>
    <row r="610" ht="15.75" customHeight="1">
      <c r="E610" s="84"/>
      <c r="J610" s="84"/>
      <c r="L610" s="84"/>
      <c r="M610" s="84"/>
      <c r="O610" s="84"/>
      <c r="R610" s="84"/>
    </row>
    <row r="611" ht="15.75" customHeight="1">
      <c r="E611" s="84"/>
      <c r="J611" s="84"/>
      <c r="L611" s="84"/>
      <c r="M611" s="84"/>
      <c r="O611" s="84"/>
      <c r="R611" s="84"/>
    </row>
    <row r="612" ht="15.75" customHeight="1">
      <c r="E612" s="84"/>
      <c r="J612" s="84"/>
      <c r="L612" s="84"/>
      <c r="M612" s="84"/>
      <c r="O612" s="84"/>
      <c r="R612" s="84"/>
    </row>
    <row r="613" ht="15.75" customHeight="1">
      <c r="E613" s="84"/>
      <c r="J613" s="84"/>
      <c r="L613" s="84"/>
      <c r="M613" s="84"/>
      <c r="O613" s="84"/>
      <c r="R613" s="84"/>
    </row>
    <row r="614" ht="15.75" customHeight="1">
      <c r="E614" s="84"/>
      <c r="J614" s="84"/>
      <c r="L614" s="84"/>
      <c r="M614" s="84"/>
      <c r="O614" s="84"/>
      <c r="R614" s="84"/>
    </row>
    <row r="615" ht="15.75" customHeight="1">
      <c r="E615" s="84"/>
      <c r="J615" s="84"/>
      <c r="L615" s="84"/>
      <c r="M615" s="84"/>
      <c r="O615" s="84"/>
      <c r="R615" s="84"/>
    </row>
    <row r="616" ht="15.75" customHeight="1">
      <c r="E616" s="84"/>
      <c r="J616" s="84"/>
      <c r="L616" s="84"/>
      <c r="M616" s="84"/>
      <c r="O616" s="84"/>
      <c r="R616" s="84"/>
    </row>
    <row r="617" ht="15.75" customHeight="1">
      <c r="E617" s="84"/>
      <c r="J617" s="84"/>
      <c r="L617" s="84"/>
      <c r="M617" s="84"/>
      <c r="O617" s="84"/>
      <c r="R617" s="84"/>
    </row>
    <row r="618" ht="15.75" customHeight="1">
      <c r="E618" s="84"/>
      <c r="J618" s="84"/>
      <c r="L618" s="84"/>
      <c r="M618" s="84"/>
      <c r="O618" s="84"/>
      <c r="R618" s="84"/>
    </row>
    <row r="619" ht="15.75" customHeight="1">
      <c r="E619" s="84"/>
      <c r="J619" s="84"/>
      <c r="L619" s="84"/>
      <c r="M619" s="84"/>
      <c r="O619" s="84"/>
      <c r="R619" s="84"/>
    </row>
    <row r="620" ht="15.75" customHeight="1">
      <c r="E620" s="84"/>
      <c r="J620" s="84"/>
      <c r="L620" s="84"/>
      <c r="M620" s="84"/>
      <c r="O620" s="84"/>
      <c r="R620" s="84"/>
    </row>
    <row r="621" ht="15.75" customHeight="1">
      <c r="E621" s="84"/>
      <c r="J621" s="84"/>
      <c r="L621" s="84"/>
      <c r="M621" s="84"/>
      <c r="O621" s="84"/>
      <c r="R621" s="84"/>
    </row>
    <row r="622" ht="15.75" customHeight="1">
      <c r="E622" s="84"/>
      <c r="J622" s="84"/>
      <c r="L622" s="84"/>
      <c r="M622" s="84"/>
      <c r="O622" s="84"/>
      <c r="R622" s="84"/>
    </row>
    <row r="623" ht="15.75" customHeight="1">
      <c r="E623" s="84"/>
      <c r="J623" s="84"/>
      <c r="L623" s="84"/>
      <c r="M623" s="84"/>
      <c r="O623" s="84"/>
      <c r="R623" s="84"/>
    </row>
    <row r="624" ht="15.75" customHeight="1">
      <c r="E624" s="84"/>
      <c r="J624" s="84"/>
      <c r="L624" s="84"/>
      <c r="M624" s="84"/>
      <c r="O624" s="84"/>
      <c r="R624" s="84"/>
    </row>
    <row r="625" ht="15.75" customHeight="1">
      <c r="E625" s="84"/>
      <c r="J625" s="84"/>
      <c r="L625" s="84"/>
      <c r="M625" s="84"/>
      <c r="O625" s="84"/>
      <c r="R625" s="84"/>
    </row>
    <row r="626" ht="15.75" customHeight="1">
      <c r="E626" s="84"/>
      <c r="J626" s="84"/>
      <c r="L626" s="84"/>
      <c r="M626" s="84"/>
      <c r="O626" s="84"/>
      <c r="R626" s="84"/>
    </row>
    <row r="627" ht="15.75" customHeight="1">
      <c r="E627" s="84"/>
      <c r="J627" s="84"/>
      <c r="L627" s="84"/>
      <c r="M627" s="84"/>
      <c r="O627" s="84"/>
      <c r="R627" s="84"/>
    </row>
    <row r="628" ht="15.75" customHeight="1">
      <c r="E628" s="84"/>
      <c r="J628" s="84"/>
      <c r="L628" s="84"/>
      <c r="M628" s="84"/>
      <c r="O628" s="84"/>
      <c r="R628" s="84"/>
    </row>
    <row r="629" ht="15.75" customHeight="1">
      <c r="E629" s="84"/>
      <c r="J629" s="84"/>
      <c r="L629" s="84"/>
      <c r="M629" s="84"/>
      <c r="O629" s="84"/>
      <c r="R629" s="84"/>
    </row>
    <row r="630" ht="15.75" customHeight="1">
      <c r="E630" s="84"/>
      <c r="J630" s="84"/>
      <c r="L630" s="84"/>
      <c r="M630" s="84"/>
      <c r="O630" s="84"/>
      <c r="R630" s="84"/>
    </row>
    <row r="631" ht="15.75" customHeight="1">
      <c r="E631" s="84"/>
      <c r="J631" s="84"/>
      <c r="L631" s="84"/>
      <c r="M631" s="84"/>
      <c r="O631" s="84"/>
      <c r="R631" s="84"/>
    </row>
    <row r="632" ht="15.75" customHeight="1">
      <c r="E632" s="84"/>
      <c r="J632" s="84"/>
      <c r="L632" s="84"/>
      <c r="M632" s="84"/>
      <c r="O632" s="84"/>
      <c r="R632" s="84"/>
    </row>
    <row r="633" ht="15.75" customHeight="1">
      <c r="E633" s="84"/>
      <c r="J633" s="84"/>
      <c r="L633" s="84"/>
      <c r="M633" s="84"/>
      <c r="O633" s="84"/>
      <c r="R633" s="84"/>
    </row>
    <row r="634" ht="15.75" customHeight="1">
      <c r="E634" s="84"/>
      <c r="J634" s="84"/>
      <c r="L634" s="84"/>
      <c r="M634" s="84"/>
      <c r="O634" s="84"/>
      <c r="R634" s="84"/>
    </row>
    <row r="635" ht="15.75" customHeight="1">
      <c r="E635" s="84"/>
      <c r="J635" s="84"/>
      <c r="L635" s="84"/>
      <c r="M635" s="84"/>
      <c r="O635" s="84"/>
      <c r="R635" s="84"/>
    </row>
    <row r="636" ht="15.75" customHeight="1">
      <c r="E636" s="84"/>
      <c r="J636" s="84"/>
      <c r="L636" s="84"/>
      <c r="M636" s="84"/>
      <c r="O636" s="84"/>
      <c r="R636" s="84"/>
    </row>
    <row r="637" ht="15.75" customHeight="1">
      <c r="E637" s="84"/>
      <c r="J637" s="84"/>
      <c r="L637" s="84"/>
      <c r="M637" s="84"/>
      <c r="O637" s="84"/>
      <c r="R637" s="84"/>
    </row>
    <row r="638" ht="15.75" customHeight="1">
      <c r="E638" s="84"/>
      <c r="J638" s="84"/>
      <c r="L638" s="84"/>
      <c r="M638" s="84"/>
      <c r="O638" s="84"/>
      <c r="R638" s="84"/>
    </row>
    <row r="639" ht="15.75" customHeight="1">
      <c r="E639" s="84"/>
      <c r="J639" s="84"/>
      <c r="L639" s="84"/>
      <c r="M639" s="84"/>
      <c r="O639" s="84"/>
      <c r="R639" s="84"/>
    </row>
    <row r="640" ht="15.75" customHeight="1">
      <c r="E640" s="84"/>
      <c r="J640" s="84"/>
      <c r="L640" s="84"/>
      <c r="M640" s="84"/>
      <c r="O640" s="84"/>
      <c r="R640" s="84"/>
    </row>
    <row r="641" ht="15.75" customHeight="1">
      <c r="E641" s="84"/>
      <c r="J641" s="84"/>
      <c r="L641" s="84"/>
      <c r="M641" s="84"/>
      <c r="O641" s="84"/>
      <c r="R641" s="84"/>
    </row>
    <row r="642" ht="15.75" customHeight="1">
      <c r="E642" s="84"/>
      <c r="J642" s="84"/>
      <c r="L642" s="84"/>
      <c r="M642" s="84"/>
      <c r="O642" s="84"/>
      <c r="R642" s="84"/>
    </row>
    <row r="643" ht="15.75" customHeight="1">
      <c r="E643" s="84"/>
      <c r="J643" s="84"/>
      <c r="L643" s="84"/>
      <c r="M643" s="84"/>
      <c r="O643" s="84"/>
      <c r="R643" s="84"/>
    </row>
    <row r="644" ht="15.75" customHeight="1">
      <c r="E644" s="84"/>
      <c r="J644" s="84"/>
      <c r="L644" s="84"/>
      <c r="M644" s="84"/>
      <c r="O644" s="84"/>
      <c r="R644" s="84"/>
    </row>
    <row r="645" ht="15.75" customHeight="1">
      <c r="E645" s="84"/>
      <c r="J645" s="84"/>
      <c r="L645" s="84"/>
      <c r="M645" s="84"/>
      <c r="O645" s="84"/>
      <c r="R645" s="84"/>
    </row>
    <row r="646" ht="15.75" customHeight="1">
      <c r="E646" s="84"/>
      <c r="J646" s="84"/>
      <c r="L646" s="84"/>
      <c r="M646" s="84"/>
      <c r="O646" s="84"/>
      <c r="R646" s="84"/>
    </row>
    <row r="647" ht="15.75" customHeight="1">
      <c r="E647" s="84"/>
      <c r="J647" s="84"/>
      <c r="L647" s="84"/>
      <c r="M647" s="84"/>
      <c r="O647" s="84"/>
      <c r="R647" s="84"/>
    </row>
    <row r="648" ht="15.75" customHeight="1">
      <c r="E648" s="84"/>
      <c r="J648" s="84"/>
      <c r="L648" s="84"/>
      <c r="M648" s="84"/>
      <c r="O648" s="84"/>
      <c r="R648" s="84"/>
    </row>
    <row r="649" ht="15.75" customHeight="1">
      <c r="E649" s="84"/>
      <c r="J649" s="84"/>
      <c r="L649" s="84"/>
      <c r="M649" s="84"/>
      <c r="O649" s="84"/>
      <c r="R649" s="84"/>
    </row>
    <row r="650" ht="15.75" customHeight="1">
      <c r="E650" s="84"/>
      <c r="J650" s="84"/>
      <c r="L650" s="84"/>
      <c r="M650" s="84"/>
      <c r="O650" s="84"/>
      <c r="R650" s="84"/>
    </row>
    <row r="651" ht="15.75" customHeight="1">
      <c r="E651" s="84"/>
      <c r="J651" s="84"/>
      <c r="L651" s="84"/>
      <c r="M651" s="84"/>
      <c r="O651" s="84"/>
      <c r="R651" s="84"/>
    </row>
    <row r="652" ht="15.75" customHeight="1">
      <c r="E652" s="84"/>
      <c r="J652" s="84"/>
      <c r="L652" s="84"/>
      <c r="M652" s="84"/>
      <c r="O652" s="84"/>
      <c r="R652" s="84"/>
    </row>
    <row r="653" ht="15.75" customHeight="1">
      <c r="E653" s="84"/>
      <c r="J653" s="84"/>
      <c r="L653" s="84"/>
      <c r="M653" s="84"/>
      <c r="O653" s="84"/>
      <c r="R653" s="84"/>
    </row>
    <row r="654" ht="15.75" customHeight="1">
      <c r="E654" s="84"/>
      <c r="J654" s="84"/>
      <c r="L654" s="84"/>
      <c r="M654" s="84"/>
      <c r="O654" s="84"/>
      <c r="R654" s="84"/>
    </row>
    <row r="655" ht="15.75" customHeight="1">
      <c r="E655" s="84"/>
      <c r="J655" s="84"/>
      <c r="L655" s="84"/>
      <c r="M655" s="84"/>
      <c r="O655" s="84"/>
      <c r="R655" s="84"/>
    </row>
    <row r="656" ht="15.75" customHeight="1">
      <c r="E656" s="84"/>
      <c r="J656" s="84"/>
      <c r="L656" s="84"/>
      <c r="M656" s="84"/>
      <c r="O656" s="84"/>
      <c r="R656" s="84"/>
    </row>
    <row r="657" ht="15.75" customHeight="1">
      <c r="E657" s="84"/>
      <c r="J657" s="84"/>
      <c r="L657" s="84"/>
      <c r="M657" s="84"/>
      <c r="O657" s="84"/>
      <c r="R657" s="84"/>
    </row>
    <row r="658" ht="15.75" customHeight="1">
      <c r="E658" s="84"/>
      <c r="J658" s="84"/>
      <c r="L658" s="84"/>
      <c r="M658" s="84"/>
      <c r="O658" s="84"/>
      <c r="R658" s="84"/>
    </row>
    <row r="659" ht="15.75" customHeight="1">
      <c r="E659" s="84"/>
      <c r="J659" s="84"/>
      <c r="L659" s="84"/>
      <c r="M659" s="84"/>
      <c r="O659" s="84"/>
      <c r="R659" s="84"/>
    </row>
    <row r="660" ht="15.75" customHeight="1">
      <c r="E660" s="84"/>
      <c r="J660" s="84"/>
      <c r="L660" s="84"/>
      <c r="M660" s="84"/>
      <c r="O660" s="84"/>
      <c r="R660" s="84"/>
    </row>
    <row r="661" ht="15.75" customHeight="1">
      <c r="E661" s="84"/>
      <c r="J661" s="84"/>
      <c r="L661" s="84"/>
      <c r="M661" s="84"/>
      <c r="O661" s="84"/>
      <c r="R661" s="84"/>
    </row>
    <row r="662" ht="15.75" customHeight="1">
      <c r="E662" s="84"/>
      <c r="J662" s="84"/>
      <c r="L662" s="84"/>
      <c r="M662" s="84"/>
      <c r="O662" s="84"/>
      <c r="R662" s="84"/>
    </row>
    <row r="663" ht="15.75" customHeight="1">
      <c r="E663" s="84"/>
      <c r="J663" s="84"/>
      <c r="L663" s="84"/>
      <c r="M663" s="84"/>
      <c r="O663" s="84"/>
      <c r="R663" s="84"/>
    </row>
    <row r="664" ht="15.75" customHeight="1">
      <c r="E664" s="84"/>
      <c r="J664" s="84"/>
      <c r="L664" s="84"/>
      <c r="M664" s="84"/>
      <c r="O664" s="84"/>
      <c r="R664" s="84"/>
    </row>
    <row r="665" ht="15.75" customHeight="1">
      <c r="E665" s="84"/>
      <c r="J665" s="84"/>
      <c r="L665" s="84"/>
      <c r="M665" s="84"/>
      <c r="O665" s="84"/>
      <c r="R665" s="84"/>
    </row>
    <row r="666" ht="15.75" customHeight="1">
      <c r="E666" s="84"/>
      <c r="J666" s="84"/>
      <c r="L666" s="84"/>
      <c r="M666" s="84"/>
      <c r="O666" s="84"/>
      <c r="R666" s="84"/>
    </row>
    <row r="667" ht="15.75" customHeight="1">
      <c r="E667" s="84"/>
      <c r="J667" s="84"/>
      <c r="L667" s="84"/>
      <c r="M667" s="84"/>
      <c r="O667" s="84"/>
      <c r="R667" s="84"/>
    </row>
    <row r="668" ht="15.75" customHeight="1">
      <c r="E668" s="84"/>
      <c r="J668" s="84"/>
      <c r="L668" s="84"/>
      <c r="M668" s="84"/>
      <c r="O668" s="84"/>
      <c r="R668" s="84"/>
    </row>
    <row r="669" ht="15.75" customHeight="1">
      <c r="E669" s="84"/>
      <c r="J669" s="84"/>
      <c r="L669" s="84"/>
      <c r="M669" s="84"/>
      <c r="O669" s="84"/>
      <c r="R669" s="84"/>
    </row>
    <row r="670" ht="15.75" customHeight="1">
      <c r="E670" s="84"/>
      <c r="J670" s="84"/>
      <c r="L670" s="84"/>
      <c r="M670" s="84"/>
      <c r="O670" s="84"/>
      <c r="R670" s="84"/>
    </row>
    <row r="671" ht="15.75" customHeight="1">
      <c r="E671" s="84"/>
      <c r="J671" s="84"/>
      <c r="L671" s="84"/>
      <c r="M671" s="84"/>
      <c r="O671" s="84"/>
      <c r="R671" s="84"/>
    </row>
    <row r="672" ht="15.75" customHeight="1">
      <c r="E672" s="84"/>
      <c r="J672" s="84"/>
      <c r="L672" s="84"/>
      <c r="M672" s="84"/>
      <c r="O672" s="84"/>
      <c r="R672" s="84"/>
    </row>
    <row r="673" ht="15.75" customHeight="1">
      <c r="E673" s="84"/>
      <c r="J673" s="84"/>
      <c r="L673" s="84"/>
      <c r="M673" s="84"/>
      <c r="O673" s="84"/>
      <c r="R673" s="84"/>
    </row>
    <row r="674" ht="15.75" customHeight="1">
      <c r="E674" s="84"/>
      <c r="J674" s="84"/>
      <c r="L674" s="84"/>
      <c r="M674" s="84"/>
      <c r="O674" s="84"/>
      <c r="R674" s="84"/>
    </row>
    <row r="675" ht="15.75" customHeight="1">
      <c r="E675" s="84"/>
      <c r="J675" s="84"/>
      <c r="L675" s="84"/>
      <c r="M675" s="84"/>
      <c r="O675" s="84"/>
      <c r="R675" s="84"/>
    </row>
    <row r="676" ht="15.75" customHeight="1">
      <c r="E676" s="84"/>
      <c r="J676" s="84"/>
      <c r="L676" s="84"/>
      <c r="M676" s="84"/>
      <c r="O676" s="84"/>
      <c r="R676" s="84"/>
    </row>
    <row r="677" ht="15.75" customHeight="1">
      <c r="E677" s="84"/>
      <c r="J677" s="84"/>
      <c r="L677" s="84"/>
      <c r="M677" s="84"/>
      <c r="O677" s="84"/>
      <c r="R677" s="84"/>
    </row>
    <row r="678" ht="15.75" customHeight="1">
      <c r="E678" s="84"/>
      <c r="J678" s="84"/>
      <c r="L678" s="84"/>
      <c r="M678" s="84"/>
      <c r="O678" s="84"/>
      <c r="R678" s="84"/>
    </row>
    <row r="679" ht="15.75" customHeight="1">
      <c r="E679" s="84"/>
      <c r="J679" s="84"/>
      <c r="L679" s="84"/>
      <c r="M679" s="84"/>
      <c r="O679" s="84"/>
      <c r="R679" s="84"/>
    </row>
    <row r="680" ht="15.75" customHeight="1">
      <c r="E680" s="84"/>
      <c r="J680" s="84"/>
      <c r="L680" s="84"/>
      <c r="M680" s="84"/>
      <c r="O680" s="84"/>
      <c r="R680" s="84"/>
    </row>
    <row r="681" ht="15.75" customHeight="1">
      <c r="E681" s="84"/>
      <c r="J681" s="84"/>
      <c r="L681" s="84"/>
      <c r="M681" s="84"/>
      <c r="O681" s="84"/>
      <c r="R681" s="84"/>
    </row>
    <row r="682" ht="15.75" customHeight="1">
      <c r="E682" s="84"/>
      <c r="J682" s="84"/>
      <c r="L682" s="84"/>
      <c r="M682" s="84"/>
      <c r="O682" s="84"/>
      <c r="R682" s="84"/>
    </row>
    <row r="683" ht="15.75" customHeight="1">
      <c r="E683" s="84"/>
      <c r="J683" s="84"/>
      <c r="L683" s="84"/>
      <c r="M683" s="84"/>
      <c r="O683" s="84"/>
      <c r="R683" s="84"/>
    </row>
    <row r="684" ht="15.75" customHeight="1">
      <c r="E684" s="84"/>
      <c r="J684" s="84"/>
      <c r="L684" s="84"/>
      <c r="M684" s="84"/>
      <c r="O684" s="84"/>
      <c r="R684" s="84"/>
    </row>
    <row r="685" ht="15.75" customHeight="1">
      <c r="E685" s="84"/>
      <c r="J685" s="84"/>
      <c r="L685" s="84"/>
      <c r="M685" s="84"/>
      <c r="O685" s="84"/>
      <c r="R685" s="84"/>
    </row>
    <row r="686" ht="15.75" customHeight="1">
      <c r="E686" s="84"/>
      <c r="J686" s="84"/>
      <c r="L686" s="84"/>
      <c r="M686" s="84"/>
      <c r="O686" s="84"/>
      <c r="R686" s="84"/>
    </row>
    <row r="687" ht="15.75" customHeight="1">
      <c r="E687" s="84"/>
      <c r="J687" s="84"/>
      <c r="L687" s="84"/>
      <c r="M687" s="84"/>
      <c r="O687" s="84"/>
      <c r="R687" s="84"/>
    </row>
    <row r="688" ht="15.75" customHeight="1">
      <c r="E688" s="84"/>
      <c r="J688" s="84"/>
      <c r="L688" s="84"/>
      <c r="M688" s="84"/>
      <c r="O688" s="84"/>
      <c r="R688" s="84"/>
    </row>
    <row r="689" ht="15.75" customHeight="1">
      <c r="E689" s="84"/>
      <c r="J689" s="84"/>
      <c r="L689" s="84"/>
      <c r="M689" s="84"/>
      <c r="O689" s="84"/>
      <c r="R689" s="84"/>
    </row>
    <row r="690" ht="15.75" customHeight="1">
      <c r="E690" s="84"/>
      <c r="J690" s="84"/>
      <c r="L690" s="84"/>
      <c r="M690" s="84"/>
      <c r="O690" s="84"/>
      <c r="R690" s="84"/>
    </row>
    <row r="691" ht="15.75" customHeight="1">
      <c r="E691" s="84"/>
      <c r="J691" s="84"/>
      <c r="L691" s="84"/>
      <c r="M691" s="84"/>
      <c r="O691" s="84"/>
      <c r="R691" s="84"/>
    </row>
    <row r="692" ht="15.75" customHeight="1">
      <c r="E692" s="84"/>
      <c r="J692" s="84"/>
      <c r="L692" s="84"/>
      <c r="M692" s="84"/>
      <c r="O692" s="84"/>
      <c r="R692" s="84"/>
    </row>
    <row r="693" ht="15.75" customHeight="1">
      <c r="E693" s="84"/>
      <c r="J693" s="84"/>
      <c r="L693" s="84"/>
      <c r="M693" s="84"/>
      <c r="O693" s="84"/>
      <c r="R693" s="84"/>
    </row>
    <row r="694" ht="15.75" customHeight="1">
      <c r="E694" s="84"/>
      <c r="J694" s="84"/>
      <c r="L694" s="84"/>
      <c r="M694" s="84"/>
      <c r="O694" s="84"/>
      <c r="R694" s="84"/>
    </row>
    <row r="695" ht="15.75" customHeight="1">
      <c r="E695" s="84"/>
      <c r="J695" s="84"/>
      <c r="L695" s="84"/>
      <c r="M695" s="84"/>
      <c r="O695" s="84"/>
      <c r="R695" s="84"/>
    </row>
    <row r="696" ht="15.75" customHeight="1">
      <c r="E696" s="84"/>
      <c r="J696" s="84"/>
      <c r="L696" s="84"/>
      <c r="M696" s="84"/>
      <c r="O696" s="84"/>
      <c r="R696" s="84"/>
    </row>
    <row r="697" ht="15.75" customHeight="1">
      <c r="E697" s="84"/>
      <c r="J697" s="84"/>
      <c r="L697" s="84"/>
      <c r="M697" s="84"/>
      <c r="O697" s="84"/>
      <c r="R697" s="84"/>
    </row>
    <row r="698" ht="15.75" customHeight="1">
      <c r="E698" s="84"/>
      <c r="J698" s="84"/>
      <c r="L698" s="84"/>
      <c r="M698" s="84"/>
      <c r="O698" s="84"/>
      <c r="R698" s="84"/>
    </row>
    <row r="699" ht="15.75" customHeight="1">
      <c r="E699" s="84"/>
      <c r="J699" s="84"/>
      <c r="L699" s="84"/>
      <c r="M699" s="84"/>
      <c r="O699" s="84"/>
      <c r="R699" s="84"/>
    </row>
    <row r="700" ht="15.75" customHeight="1">
      <c r="E700" s="84"/>
      <c r="J700" s="84"/>
      <c r="L700" s="84"/>
      <c r="M700" s="84"/>
      <c r="O700" s="84"/>
      <c r="R700" s="84"/>
    </row>
    <row r="701" ht="15.75" customHeight="1">
      <c r="E701" s="84"/>
      <c r="J701" s="84"/>
      <c r="L701" s="84"/>
      <c r="M701" s="84"/>
      <c r="O701" s="84"/>
      <c r="R701" s="84"/>
    </row>
    <row r="702" ht="15.75" customHeight="1">
      <c r="E702" s="84"/>
      <c r="J702" s="84"/>
      <c r="L702" s="84"/>
      <c r="M702" s="84"/>
      <c r="O702" s="84"/>
      <c r="R702" s="84"/>
    </row>
    <row r="703" ht="15.75" customHeight="1">
      <c r="E703" s="84"/>
      <c r="J703" s="84"/>
      <c r="L703" s="84"/>
      <c r="M703" s="84"/>
      <c r="O703" s="84"/>
      <c r="R703" s="84"/>
    </row>
    <row r="704" ht="15.75" customHeight="1">
      <c r="E704" s="84"/>
      <c r="J704" s="84"/>
      <c r="L704" s="84"/>
      <c r="M704" s="84"/>
      <c r="O704" s="84"/>
      <c r="R704" s="84"/>
    </row>
    <row r="705" ht="15.75" customHeight="1">
      <c r="E705" s="84"/>
      <c r="J705" s="84"/>
      <c r="L705" s="84"/>
      <c r="M705" s="84"/>
      <c r="O705" s="84"/>
      <c r="R705" s="84"/>
    </row>
    <row r="706" ht="15.75" customHeight="1">
      <c r="E706" s="84"/>
      <c r="J706" s="84"/>
      <c r="L706" s="84"/>
      <c r="M706" s="84"/>
      <c r="O706" s="84"/>
      <c r="R706" s="84"/>
    </row>
    <row r="707" ht="15.75" customHeight="1">
      <c r="E707" s="84"/>
      <c r="J707" s="84"/>
      <c r="L707" s="84"/>
      <c r="M707" s="84"/>
      <c r="O707" s="84"/>
      <c r="R707" s="84"/>
    </row>
    <row r="708" ht="15.75" customHeight="1">
      <c r="E708" s="84"/>
      <c r="J708" s="84"/>
      <c r="L708" s="84"/>
      <c r="M708" s="84"/>
      <c r="O708" s="84"/>
      <c r="R708" s="84"/>
    </row>
    <row r="709" ht="15.75" customHeight="1">
      <c r="E709" s="84"/>
      <c r="J709" s="84"/>
      <c r="L709" s="84"/>
      <c r="M709" s="84"/>
      <c r="O709" s="84"/>
      <c r="R709" s="84"/>
    </row>
    <row r="710" ht="15.75" customHeight="1">
      <c r="E710" s="84"/>
      <c r="J710" s="84"/>
      <c r="L710" s="84"/>
      <c r="M710" s="84"/>
      <c r="O710" s="84"/>
      <c r="R710" s="84"/>
    </row>
    <row r="711" ht="15.75" customHeight="1">
      <c r="E711" s="84"/>
      <c r="J711" s="84"/>
      <c r="L711" s="84"/>
      <c r="M711" s="84"/>
      <c r="O711" s="84"/>
      <c r="R711" s="84"/>
    </row>
    <row r="712" ht="15.75" customHeight="1">
      <c r="E712" s="84"/>
      <c r="J712" s="84"/>
      <c r="L712" s="84"/>
      <c r="M712" s="84"/>
      <c r="O712" s="84"/>
      <c r="R712" s="84"/>
    </row>
    <row r="713" ht="15.75" customHeight="1">
      <c r="E713" s="84"/>
      <c r="J713" s="84"/>
      <c r="L713" s="84"/>
      <c r="M713" s="84"/>
      <c r="O713" s="84"/>
      <c r="R713" s="84"/>
    </row>
    <row r="714" ht="15.75" customHeight="1">
      <c r="E714" s="84"/>
      <c r="J714" s="84"/>
      <c r="L714" s="84"/>
      <c r="M714" s="84"/>
      <c r="O714" s="84"/>
      <c r="R714" s="84"/>
    </row>
    <row r="715" ht="15.75" customHeight="1">
      <c r="E715" s="84"/>
      <c r="J715" s="84"/>
      <c r="L715" s="84"/>
      <c r="M715" s="84"/>
      <c r="O715" s="84"/>
      <c r="R715" s="84"/>
    </row>
    <row r="716" ht="15.75" customHeight="1">
      <c r="E716" s="84"/>
      <c r="J716" s="84"/>
      <c r="L716" s="84"/>
      <c r="M716" s="84"/>
      <c r="O716" s="84"/>
      <c r="R716" s="84"/>
    </row>
    <row r="717" ht="15.75" customHeight="1">
      <c r="E717" s="84"/>
      <c r="J717" s="84"/>
      <c r="L717" s="84"/>
      <c r="M717" s="84"/>
      <c r="O717" s="84"/>
      <c r="R717" s="84"/>
    </row>
    <row r="718" ht="15.75" customHeight="1">
      <c r="E718" s="84"/>
      <c r="J718" s="84"/>
      <c r="L718" s="84"/>
      <c r="M718" s="84"/>
      <c r="O718" s="84"/>
      <c r="R718" s="84"/>
    </row>
    <row r="719" ht="15.75" customHeight="1">
      <c r="E719" s="84"/>
      <c r="J719" s="84"/>
      <c r="L719" s="84"/>
      <c r="M719" s="84"/>
      <c r="O719" s="84"/>
      <c r="R719" s="84"/>
    </row>
    <row r="720" ht="15.75" customHeight="1">
      <c r="E720" s="84"/>
      <c r="J720" s="84"/>
      <c r="L720" s="84"/>
      <c r="M720" s="84"/>
      <c r="O720" s="84"/>
      <c r="R720" s="84"/>
    </row>
    <row r="721" ht="15.75" customHeight="1">
      <c r="E721" s="84"/>
      <c r="J721" s="84"/>
      <c r="L721" s="84"/>
      <c r="M721" s="84"/>
      <c r="O721" s="84"/>
      <c r="R721" s="84"/>
    </row>
    <row r="722" ht="15.75" customHeight="1">
      <c r="E722" s="84"/>
      <c r="J722" s="84"/>
      <c r="L722" s="84"/>
      <c r="M722" s="84"/>
      <c r="O722" s="84"/>
      <c r="R722" s="84"/>
    </row>
    <row r="723" ht="15.75" customHeight="1">
      <c r="E723" s="84"/>
      <c r="J723" s="84"/>
      <c r="L723" s="84"/>
      <c r="M723" s="84"/>
      <c r="O723" s="84"/>
      <c r="R723" s="84"/>
    </row>
    <row r="724" ht="15.75" customHeight="1">
      <c r="E724" s="84"/>
      <c r="J724" s="84"/>
      <c r="L724" s="84"/>
      <c r="M724" s="84"/>
      <c r="O724" s="84"/>
      <c r="R724" s="84"/>
    </row>
    <row r="725" ht="15.75" customHeight="1">
      <c r="E725" s="84"/>
      <c r="J725" s="84"/>
      <c r="L725" s="84"/>
      <c r="M725" s="84"/>
      <c r="O725" s="84"/>
      <c r="R725" s="84"/>
    </row>
    <row r="726" ht="15.75" customHeight="1">
      <c r="E726" s="84"/>
      <c r="J726" s="84"/>
      <c r="L726" s="84"/>
      <c r="M726" s="84"/>
      <c r="O726" s="84"/>
      <c r="R726" s="84"/>
    </row>
    <row r="727" ht="15.75" customHeight="1">
      <c r="E727" s="84"/>
      <c r="J727" s="84"/>
      <c r="L727" s="84"/>
      <c r="M727" s="84"/>
      <c r="O727" s="84"/>
      <c r="R727" s="84"/>
    </row>
    <row r="728" ht="15.75" customHeight="1">
      <c r="E728" s="84"/>
      <c r="J728" s="84"/>
      <c r="L728" s="84"/>
      <c r="M728" s="84"/>
      <c r="O728" s="84"/>
      <c r="R728" s="84"/>
    </row>
    <row r="729" ht="15.75" customHeight="1">
      <c r="E729" s="84"/>
      <c r="J729" s="84"/>
      <c r="L729" s="84"/>
      <c r="M729" s="84"/>
      <c r="O729" s="84"/>
      <c r="R729" s="84"/>
    </row>
    <row r="730" ht="15.75" customHeight="1">
      <c r="E730" s="84"/>
      <c r="J730" s="84"/>
      <c r="L730" s="84"/>
      <c r="M730" s="84"/>
      <c r="O730" s="84"/>
      <c r="R730" s="84"/>
    </row>
    <row r="731" ht="15.75" customHeight="1">
      <c r="E731" s="84"/>
      <c r="J731" s="84"/>
      <c r="L731" s="84"/>
      <c r="M731" s="84"/>
      <c r="O731" s="84"/>
      <c r="R731" s="84"/>
    </row>
    <row r="732" ht="15.75" customHeight="1">
      <c r="E732" s="84"/>
      <c r="J732" s="84"/>
      <c r="L732" s="84"/>
      <c r="M732" s="84"/>
      <c r="O732" s="84"/>
      <c r="R732" s="84"/>
    </row>
    <row r="733" ht="15.75" customHeight="1">
      <c r="E733" s="84"/>
      <c r="J733" s="84"/>
      <c r="L733" s="84"/>
      <c r="M733" s="84"/>
      <c r="O733" s="84"/>
      <c r="R733" s="84"/>
    </row>
    <row r="734" ht="15.75" customHeight="1">
      <c r="E734" s="84"/>
      <c r="J734" s="84"/>
      <c r="L734" s="84"/>
      <c r="M734" s="84"/>
      <c r="O734" s="84"/>
      <c r="R734" s="84"/>
    </row>
    <row r="735" ht="15.75" customHeight="1">
      <c r="E735" s="84"/>
      <c r="J735" s="84"/>
      <c r="L735" s="84"/>
      <c r="M735" s="84"/>
      <c r="O735" s="84"/>
      <c r="R735" s="84"/>
    </row>
    <row r="736" ht="15.75" customHeight="1">
      <c r="E736" s="84"/>
      <c r="J736" s="84"/>
      <c r="L736" s="84"/>
      <c r="M736" s="84"/>
      <c r="O736" s="84"/>
      <c r="R736" s="84"/>
    </row>
    <row r="737" ht="15.75" customHeight="1">
      <c r="E737" s="84"/>
      <c r="J737" s="84"/>
      <c r="L737" s="84"/>
      <c r="M737" s="84"/>
      <c r="O737" s="84"/>
      <c r="R737" s="84"/>
    </row>
    <row r="738" ht="15.75" customHeight="1">
      <c r="E738" s="84"/>
      <c r="J738" s="84"/>
      <c r="L738" s="84"/>
      <c r="M738" s="84"/>
      <c r="O738" s="84"/>
      <c r="R738" s="84"/>
    </row>
    <row r="739" ht="15.75" customHeight="1">
      <c r="E739" s="84"/>
      <c r="J739" s="84"/>
      <c r="L739" s="84"/>
      <c r="M739" s="84"/>
      <c r="O739" s="84"/>
      <c r="R739" s="84"/>
    </row>
    <row r="740" ht="15.75" customHeight="1">
      <c r="E740" s="84"/>
      <c r="J740" s="84"/>
      <c r="L740" s="84"/>
      <c r="M740" s="84"/>
      <c r="O740" s="84"/>
      <c r="R740" s="84"/>
    </row>
    <row r="741" ht="15.75" customHeight="1">
      <c r="E741" s="84"/>
      <c r="J741" s="84"/>
      <c r="L741" s="84"/>
      <c r="M741" s="84"/>
      <c r="O741" s="84"/>
      <c r="R741" s="84"/>
    </row>
    <row r="742" ht="15.75" customHeight="1">
      <c r="E742" s="84"/>
      <c r="J742" s="84"/>
      <c r="L742" s="84"/>
      <c r="M742" s="84"/>
      <c r="O742" s="84"/>
      <c r="R742" s="84"/>
    </row>
    <row r="743" ht="15.75" customHeight="1">
      <c r="E743" s="84"/>
      <c r="J743" s="84"/>
      <c r="L743" s="84"/>
      <c r="M743" s="84"/>
      <c r="O743" s="84"/>
      <c r="R743" s="84"/>
    </row>
    <row r="744" ht="15.75" customHeight="1">
      <c r="E744" s="84"/>
      <c r="J744" s="84"/>
      <c r="L744" s="84"/>
      <c r="M744" s="84"/>
      <c r="O744" s="84"/>
      <c r="R744" s="84"/>
    </row>
    <row r="745" ht="15.75" customHeight="1">
      <c r="E745" s="84"/>
      <c r="J745" s="84"/>
      <c r="L745" s="84"/>
      <c r="M745" s="84"/>
      <c r="O745" s="84"/>
      <c r="R745" s="84"/>
    </row>
    <row r="746" ht="15.75" customHeight="1">
      <c r="E746" s="84"/>
      <c r="J746" s="84"/>
      <c r="L746" s="84"/>
      <c r="M746" s="84"/>
      <c r="O746" s="84"/>
      <c r="R746" s="84"/>
    </row>
    <row r="747" ht="15.75" customHeight="1">
      <c r="E747" s="84"/>
      <c r="J747" s="84"/>
      <c r="L747" s="84"/>
      <c r="M747" s="84"/>
      <c r="O747" s="84"/>
      <c r="R747" s="84"/>
    </row>
    <row r="748" ht="15.75" customHeight="1">
      <c r="E748" s="84"/>
      <c r="J748" s="84"/>
      <c r="L748" s="84"/>
      <c r="M748" s="84"/>
      <c r="O748" s="84"/>
      <c r="R748" s="84"/>
    </row>
    <row r="749" ht="15.75" customHeight="1">
      <c r="E749" s="84"/>
      <c r="J749" s="84"/>
      <c r="L749" s="84"/>
      <c r="M749" s="84"/>
      <c r="O749" s="84"/>
      <c r="R749" s="84"/>
    </row>
    <row r="750" ht="15.75" customHeight="1">
      <c r="E750" s="84"/>
      <c r="J750" s="84"/>
      <c r="L750" s="84"/>
      <c r="M750" s="84"/>
      <c r="O750" s="84"/>
      <c r="R750" s="84"/>
    </row>
    <row r="751" ht="15.75" customHeight="1">
      <c r="E751" s="84"/>
      <c r="J751" s="84"/>
      <c r="L751" s="84"/>
      <c r="M751" s="84"/>
      <c r="O751" s="84"/>
      <c r="R751" s="84"/>
    </row>
    <row r="752" ht="15.75" customHeight="1">
      <c r="E752" s="84"/>
      <c r="J752" s="84"/>
      <c r="L752" s="84"/>
      <c r="M752" s="84"/>
      <c r="O752" s="84"/>
      <c r="R752" s="84"/>
    </row>
    <row r="753" ht="15.75" customHeight="1">
      <c r="E753" s="84"/>
      <c r="J753" s="84"/>
      <c r="L753" s="84"/>
      <c r="M753" s="84"/>
      <c r="O753" s="84"/>
      <c r="R753" s="84"/>
    </row>
    <row r="754" ht="15.75" customHeight="1">
      <c r="E754" s="84"/>
      <c r="J754" s="84"/>
      <c r="L754" s="84"/>
      <c r="M754" s="84"/>
      <c r="O754" s="84"/>
      <c r="R754" s="84"/>
    </row>
    <row r="755" ht="15.75" customHeight="1">
      <c r="E755" s="84"/>
      <c r="J755" s="84"/>
      <c r="L755" s="84"/>
      <c r="M755" s="84"/>
      <c r="O755" s="84"/>
      <c r="R755" s="84"/>
    </row>
    <row r="756" ht="15.75" customHeight="1">
      <c r="E756" s="84"/>
      <c r="J756" s="84"/>
      <c r="L756" s="84"/>
      <c r="M756" s="84"/>
      <c r="O756" s="84"/>
      <c r="R756" s="84"/>
    </row>
    <row r="757" ht="15.75" customHeight="1">
      <c r="E757" s="84"/>
      <c r="J757" s="84"/>
      <c r="L757" s="84"/>
      <c r="M757" s="84"/>
      <c r="O757" s="84"/>
      <c r="R757" s="84"/>
    </row>
    <row r="758" ht="15.75" customHeight="1">
      <c r="E758" s="84"/>
      <c r="J758" s="84"/>
      <c r="L758" s="84"/>
      <c r="M758" s="84"/>
      <c r="O758" s="84"/>
      <c r="R758" s="84"/>
    </row>
    <row r="759" ht="15.75" customHeight="1">
      <c r="E759" s="84"/>
      <c r="J759" s="84"/>
      <c r="L759" s="84"/>
      <c r="M759" s="84"/>
      <c r="O759" s="84"/>
      <c r="R759" s="84"/>
    </row>
    <row r="760" ht="15.75" customHeight="1">
      <c r="E760" s="84"/>
      <c r="J760" s="84"/>
      <c r="L760" s="84"/>
      <c r="M760" s="84"/>
      <c r="O760" s="84"/>
      <c r="R760" s="84"/>
    </row>
    <row r="761" ht="15.75" customHeight="1">
      <c r="E761" s="84"/>
      <c r="J761" s="84"/>
      <c r="L761" s="84"/>
      <c r="M761" s="84"/>
      <c r="O761" s="84"/>
      <c r="R761" s="84"/>
    </row>
    <row r="762" ht="15.75" customHeight="1">
      <c r="E762" s="84"/>
      <c r="J762" s="84"/>
      <c r="L762" s="84"/>
      <c r="M762" s="84"/>
      <c r="O762" s="84"/>
      <c r="R762" s="84"/>
    </row>
    <row r="763" ht="15.75" customHeight="1">
      <c r="E763" s="84"/>
      <c r="J763" s="84"/>
      <c r="L763" s="84"/>
      <c r="M763" s="84"/>
      <c r="O763" s="84"/>
      <c r="R763" s="84"/>
    </row>
    <row r="764" ht="15.75" customHeight="1">
      <c r="E764" s="84"/>
      <c r="J764" s="84"/>
      <c r="L764" s="84"/>
      <c r="M764" s="84"/>
      <c r="O764" s="84"/>
      <c r="R764" s="84"/>
    </row>
    <row r="765" ht="15.75" customHeight="1">
      <c r="E765" s="84"/>
      <c r="J765" s="84"/>
      <c r="L765" s="84"/>
      <c r="M765" s="84"/>
      <c r="O765" s="84"/>
      <c r="R765" s="84"/>
    </row>
    <row r="766" ht="15.75" customHeight="1">
      <c r="E766" s="84"/>
      <c r="J766" s="84"/>
      <c r="L766" s="84"/>
      <c r="M766" s="84"/>
      <c r="O766" s="84"/>
      <c r="R766" s="84"/>
    </row>
    <row r="767" ht="15.75" customHeight="1">
      <c r="E767" s="84"/>
      <c r="J767" s="84"/>
      <c r="L767" s="84"/>
      <c r="M767" s="84"/>
      <c r="O767" s="84"/>
      <c r="R767" s="84"/>
    </row>
    <row r="768" ht="15.75" customHeight="1">
      <c r="E768" s="84"/>
      <c r="J768" s="84"/>
      <c r="L768" s="84"/>
      <c r="M768" s="84"/>
      <c r="O768" s="84"/>
      <c r="R768" s="84"/>
    </row>
    <row r="769" ht="15.75" customHeight="1">
      <c r="E769" s="84"/>
      <c r="J769" s="84"/>
      <c r="L769" s="84"/>
      <c r="M769" s="84"/>
      <c r="O769" s="84"/>
      <c r="R769" s="84"/>
    </row>
    <row r="770" ht="15.75" customHeight="1">
      <c r="E770" s="84"/>
      <c r="J770" s="84"/>
      <c r="L770" s="84"/>
      <c r="M770" s="84"/>
      <c r="O770" s="84"/>
      <c r="R770" s="84"/>
    </row>
    <row r="771" ht="15.75" customHeight="1">
      <c r="E771" s="84"/>
      <c r="J771" s="84"/>
      <c r="L771" s="84"/>
      <c r="M771" s="84"/>
      <c r="O771" s="84"/>
      <c r="R771" s="84"/>
    </row>
    <row r="772" ht="15.75" customHeight="1">
      <c r="E772" s="84"/>
      <c r="J772" s="84"/>
      <c r="L772" s="84"/>
      <c r="M772" s="84"/>
      <c r="O772" s="84"/>
      <c r="R772" s="84"/>
    </row>
    <row r="773" ht="15.75" customHeight="1">
      <c r="E773" s="84"/>
      <c r="J773" s="84"/>
      <c r="L773" s="84"/>
      <c r="M773" s="84"/>
      <c r="O773" s="84"/>
      <c r="R773" s="84"/>
    </row>
    <row r="774" ht="15.75" customHeight="1">
      <c r="E774" s="84"/>
      <c r="J774" s="84"/>
      <c r="L774" s="84"/>
      <c r="M774" s="84"/>
      <c r="O774" s="84"/>
      <c r="R774" s="84"/>
    </row>
    <row r="775" ht="15.75" customHeight="1">
      <c r="E775" s="84"/>
      <c r="J775" s="84"/>
      <c r="L775" s="84"/>
      <c r="M775" s="84"/>
      <c r="O775" s="84"/>
      <c r="R775" s="84"/>
    </row>
    <row r="776" ht="15.75" customHeight="1">
      <c r="E776" s="84"/>
      <c r="J776" s="84"/>
      <c r="L776" s="84"/>
      <c r="M776" s="84"/>
      <c r="O776" s="84"/>
      <c r="R776" s="84"/>
    </row>
    <row r="777" ht="15.75" customHeight="1">
      <c r="E777" s="84"/>
      <c r="J777" s="84"/>
      <c r="L777" s="84"/>
      <c r="M777" s="84"/>
      <c r="O777" s="84"/>
      <c r="R777" s="84"/>
    </row>
    <row r="778" ht="15.75" customHeight="1">
      <c r="E778" s="84"/>
      <c r="J778" s="84"/>
      <c r="L778" s="84"/>
      <c r="M778" s="84"/>
      <c r="O778" s="84"/>
      <c r="R778" s="84"/>
    </row>
    <row r="779" ht="15.75" customHeight="1">
      <c r="E779" s="84"/>
      <c r="J779" s="84"/>
      <c r="L779" s="84"/>
      <c r="M779" s="84"/>
      <c r="O779" s="84"/>
      <c r="R779" s="84"/>
    </row>
    <row r="780" ht="15.75" customHeight="1">
      <c r="E780" s="84"/>
      <c r="J780" s="84"/>
      <c r="L780" s="84"/>
      <c r="M780" s="84"/>
      <c r="O780" s="84"/>
      <c r="R780" s="84"/>
    </row>
    <row r="781" ht="15.75" customHeight="1">
      <c r="E781" s="84"/>
      <c r="J781" s="84"/>
      <c r="L781" s="84"/>
      <c r="M781" s="84"/>
      <c r="O781" s="84"/>
      <c r="R781" s="84"/>
    </row>
    <row r="782" ht="15.75" customHeight="1">
      <c r="E782" s="84"/>
      <c r="J782" s="84"/>
      <c r="L782" s="84"/>
      <c r="M782" s="84"/>
      <c r="O782" s="84"/>
      <c r="R782" s="84"/>
    </row>
    <row r="783" ht="15.75" customHeight="1">
      <c r="E783" s="84"/>
      <c r="J783" s="84"/>
      <c r="L783" s="84"/>
      <c r="M783" s="84"/>
      <c r="O783" s="84"/>
      <c r="R783" s="84"/>
    </row>
    <row r="784" ht="15.75" customHeight="1">
      <c r="E784" s="84"/>
      <c r="J784" s="84"/>
      <c r="L784" s="84"/>
      <c r="M784" s="84"/>
      <c r="O784" s="84"/>
      <c r="R784" s="84"/>
    </row>
    <row r="785" ht="15.75" customHeight="1">
      <c r="E785" s="84"/>
      <c r="J785" s="84"/>
      <c r="L785" s="84"/>
      <c r="M785" s="84"/>
      <c r="O785" s="84"/>
      <c r="R785" s="84"/>
    </row>
    <row r="786" ht="15.75" customHeight="1">
      <c r="E786" s="84"/>
      <c r="J786" s="84"/>
      <c r="L786" s="84"/>
      <c r="M786" s="84"/>
      <c r="O786" s="84"/>
      <c r="R786" s="84"/>
    </row>
    <row r="787" ht="15.75" customHeight="1">
      <c r="E787" s="84"/>
      <c r="J787" s="84"/>
      <c r="L787" s="84"/>
      <c r="M787" s="84"/>
      <c r="O787" s="84"/>
      <c r="R787" s="84"/>
    </row>
    <row r="788" ht="15.75" customHeight="1">
      <c r="E788" s="84"/>
      <c r="J788" s="84"/>
      <c r="L788" s="84"/>
      <c r="M788" s="84"/>
      <c r="O788" s="84"/>
      <c r="R788" s="84"/>
    </row>
    <row r="789" ht="15.75" customHeight="1">
      <c r="E789" s="84"/>
      <c r="J789" s="84"/>
      <c r="L789" s="84"/>
      <c r="M789" s="84"/>
      <c r="O789" s="84"/>
      <c r="R789" s="84"/>
    </row>
    <row r="790" ht="15.75" customHeight="1">
      <c r="E790" s="84"/>
      <c r="J790" s="84"/>
      <c r="L790" s="84"/>
      <c r="M790" s="84"/>
      <c r="O790" s="84"/>
      <c r="R790" s="84"/>
    </row>
    <row r="791" ht="15.75" customHeight="1">
      <c r="E791" s="84"/>
      <c r="J791" s="84"/>
      <c r="L791" s="84"/>
      <c r="M791" s="84"/>
      <c r="O791" s="84"/>
      <c r="R791" s="84"/>
    </row>
    <row r="792" ht="15.75" customHeight="1">
      <c r="E792" s="84"/>
      <c r="J792" s="84"/>
      <c r="L792" s="84"/>
      <c r="M792" s="84"/>
      <c r="O792" s="84"/>
      <c r="R792" s="84"/>
    </row>
    <row r="793" ht="15.75" customHeight="1">
      <c r="E793" s="84"/>
      <c r="J793" s="84"/>
      <c r="L793" s="84"/>
      <c r="M793" s="84"/>
      <c r="O793" s="84"/>
      <c r="R793" s="84"/>
    </row>
    <row r="794" ht="15.75" customHeight="1">
      <c r="E794" s="84"/>
      <c r="J794" s="84"/>
      <c r="L794" s="84"/>
      <c r="M794" s="84"/>
      <c r="O794" s="84"/>
      <c r="R794" s="84"/>
    </row>
    <row r="795" ht="15.75" customHeight="1">
      <c r="E795" s="84"/>
      <c r="J795" s="84"/>
      <c r="L795" s="84"/>
      <c r="M795" s="84"/>
      <c r="O795" s="84"/>
      <c r="R795" s="84"/>
    </row>
    <row r="796" ht="15.75" customHeight="1">
      <c r="E796" s="84"/>
      <c r="J796" s="84"/>
      <c r="L796" s="84"/>
      <c r="M796" s="84"/>
      <c r="O796" s="84"/>
      <c r="R796" s="84"/>
    </row>
    <row r="797" ht="15.75" customHeight="1">
      <c r="E797" s="84"/>
      <c r="J797" s="84"/>
      <c r="L797" s="84"/>
      <c r="M797" s="84"/>
      <c r="O797" s="84"/>
      <c r="R797" s="84"/>
    </row>
    <row r="798" ht="15.75" customHeight="1">
      <c r="E798" s="84"/>
      <c r="J798" s="84"/>
      <c r="L798" s="84"/>
      <c r="M798" s="84"/>
      <c r="O798" s="84"/>
      <c r="R798" s="84"/>
    </row>
    <row r="799" ht="15.75" customHeight="1">
      <c r="E799" s="84"/>
      <c r="J799" s="84"/>
      <c r="L799" s="84"/>
      <c r="M799" s="84"/>
      <c r="O799" s="84"/>
      <c r="R799" s="84"/>
    </row>
    <row r="800" ht="15.75" customHeight="1">
      <c r="E800" s="84"/>
      <c r="J800" s="84"/>
      <c r="L800" s="84"/>
      <c r="M800" s="84"/>
      <c r="O800" s="84"/>
      <c r="R800" s="84"/>
    </row>
    <row r="801" ht="15.75" customHeight="1">
      <c r="E801" s="84"/>
      <c r="J801" s="84"/>
      <c r="L801" s="84"/>
      <c r="M801" s="84"/>
      <c r="O801" s="84"/>
      <c r="R801" s="84"/>
    </row>
    <row r="802" ht="15.75" customHeight="1">
      <c r="E802" s="84"/>
      <c r="J802" s="84"/>
      <c r="L802" s="84"/>
      <c r="M802" s="84"/>
      <c r="O802" s="84"/>
      <c r="R802" s="84"/>
    </row>
    <row r="803" ht="15.75" customHeight="1">
      <c r="E803" s="84"/>
      <c r="J803" s="84"/>
      <c r="L803" s="84"/>
      <c r="M803" s="84"/>
      <c r="O803" s="84"/>
      <c r="R803" s="84"/>
    </row>
    <row r="804" ht="15.75" customHeight="1">
      <c r="E804" s="84"/>
      <c r="J804" s="84"/>
      <c r="L804" s="84"/>
      <c r="M804" s="84"/>
      <c r="O804" s="84"/>
      <c r="R804" s="84"/>
    </row>
    <row r="805" ht="15.75" customHeight="1">
      <c r="E805" s="84"/>
      <c r="J805" s="84"/>
      <c r="L805" s="84"/>
      <c r="M805" s="84"/>
      <c r="O805" s="84"/>
      <c r="R805" s="84"/>
    </row>
    <row r="806" ht="15.75" customHeight="1">
      <c r="E806" s="84"/>
      <c r="J806" s="84"/>
      <c r="L806" s="84"/>
      <c r="M806" s="84"/>
      <c r="O806" s="84"/>
      <c r="R806" s="84"/>
    </row>
    <row r="807" ht="15.75" customHeight="1">
      <c r="E807" s="84"/>
      <c r="J807" s="84"/>
      <c r="L807" s="84"/>
      <c r="M807" s="84"/>
      <c r="O807" s="84"/>
      <c r="R807" s="84"/>
    </row>
    <row r="808" ht="15.75" customHeight="1">
      <c r="E808" s="84"/>
      <c r="J808" s="84"/>
      <c r="L808" s="84"/>
      <c r="M808" s="84"/>
      <c r="O808" s="84"/>
      <c r="R808" s="84"/>
    </row>
    <row r="809" ht="15.75" customHeight="1">
      <c r="E809" s="84"/>
      <c r="J809" s="84"/>
      <c r="L809" s="84"/>
      <c r="M809" s="84"/>
      <c r="O809" s="84"/>
      <c r="R809" s="84"/>
    </row>
    <row r="810" ht="15.75" customHeight="1">
      <c r="E810" s="84"/>
      <c r="J810" s="84"/>
      <c r="L810" s="84"/>
      <c r="M810" s="84"/>
      <c r="O810" s="84"/>
      <c r="R810" s="84"/>
    </row>
    <row r="811" ht="15.75" customHeight="1">
      <c r="E811" s="84"/>
      <c r="J811" s="84"/>
      <c r="L811" s="84"/>
      <c r="M811" s="84"/>
      <c r="O811" s="84"/>
      <c r="R811" s="84"/>
    </row>
    <row r="812" ht="15.75" customHeight="1">
      <c r="E812" s="84"/>
      <c r="J812" s="84"/>
      <c r="L812" s="84"/>
      <c r="M812" s="84"/>
      <c r="O812" s="84"/>
      <c r="R812" s="84"/>
    </row>
    <row r="813" ht="15.75" customHeight="1">
      <c r="E813" s="84"/>
      <c r="J813" s="84"/>
      <c r="L813" s="84"/>
      <c r="M813" s="84"/>
      <c r="O813" s="84"/>
      <c r="R813" s="84"/>
    </row>
    <row r="814" ht="15.75" customHeight="1">
      <c r="E814" s="84"/>
      <c r="J814" s="84"/>
      <c r="L814" s="84"/>
      <c r="M814" s="84"/>
      <c r="O814" s="84"/>
      <c r="R814" s="84"/>
    </row>
    <row r="815" ht="15.75" customHeight="1">
      <c r="E815" s="84"/>
      <c r="J815" s="84"/>
      <c r="L815" s="84"/>
      <c r="M815" s="84"/>
      <c r="O815" s="84"/>
      <c r="R815" s="84"/>
    </row>
    <row r="816" ht="15.75" customHeight="1">
      <c r="E816" s="84"/>
      <c r="J816" s="84"/>
      <c r="L816" s="84"/>
      <c r="M816" s="84"/>
      <c r="O816" s="84"/>
      <c r="R816" s="84"/>
    </row>
    <row r="817" ht="15.75" customHeight="1">
      <c r="E817" s="84"/>
      <c r="J817" s="84"/>
      <c r="L817" s="84"/>
      <c r="M817" s="84"/>
      <c r="O817" s="84"/>
      <c r="R817" s="84"/>
    </row>
    <row r="818" ht="15.75" customHeight="1">
      <c r="E818" s="84"/>
      <c r="J818" s="84"/>
      <c r="L818" s="84"/>
      <c r="M818" s="84"/>
      <c r="O818" s="84"/>
      <c r="R818" s="84"/>
    </row>
    <row r="819" ht="15.75" customHeight="1">
      <c r="E819" s="84"/>
      <c r="J819" s="84"/>
      <c r="L819" s="84"/>
      <c r="M819" s="84"/>
      <c r="O819" s="84"/>
      <c r="R819" s="84"/>
    </row>
    <row r="820" ht="15.75" customHeight="1">
      <c r="E820" s="84"/>
      <c r="J820" s="84"/>
      <c r="L820" s="84"/>
      <c r="M820" s="84"/>
      <c r="O820" s="84"/>
      <c r="R820" s="84"/>
    </row>
    <row r="821" ht="15.75" customHeight="1">
      <c r="E821" s="84"/>
      <c r="J821" s="84"/>
      <c r="L821" s="84"/>
      <c r="M821" s="84"/>
      <c r="O821" s="84"/>
      <c r="R821" s="84"/>
    </row>
    <row r="822" ht="15.75" customHeight="1">
      <c r="E822" s="84"/>
      <c r="J822" s="84"/>
      <c r="L822" s="84"/>
      <c r="M822" s="84"/>
      <c r="O822" s="84"/>
      <c r="R822" s="84"/>
    </row>
    <row r="823" ht="15.75" customHeight="1">
      <c r="E823" s="84"/>
      <c r="J823" s="84"/>
      <c r="L823" s="84"/>
      <c r="M823" s="84"/>
      <c r="O823" s="84"/>
      <c r="R823" s="84"/>
    </row>
    <row r="824" ht="15.75" customHeight="1">
      <c r="E824" s="84"/>
      <c r="J824" s="84"/>
      <c r="L824" s="84"/>
      <c r="M824" s="84"/>
      <c r="O824" s="84"/>
      <c r="R824" s="84"/>
    </row>
    <row r="825" ht="15.75" customHeight="1">
      <c r="E825" s="84"/>
      <c r="J825" s="84"/>
      <c r="L825" s="84"/>
      <c r="M825" s="84"/>
      <c r="O825" s="84"/>
      <c r="R825" s="84"/>
    </row>
    <row r="826" ht="15.75" customHeight="1">
      <c r="E826" s="84"/>
      <c r="J826" s="84"/>
      <c r="L826" s="84"/>
      <c r="M826" s="84"/>
      <c r="O826" s="84"/>
      <c r="R826" s="84"/>
    </row>
    <row r="827" ht="15.75" customHeight="1">
      <c r="E827" s="84"/>
      <c r="J827" s="84"/>
      <c r="L827" s="84"/>
      <c r="M827" s="84"/>
      <c r="O827" s="84"/>
      <c r="R827" s="84"/>
    </row>
    <row r="828" ht="15.75" customHeight="1">
      <c r="E828" s="84"/>
      <c r="J828" s="84"/>
      <c r="L828" s="84"/>
      <c r="M828" s="84"/>
      <c r="O828" s="84"/>
      <c r="R828" s="84"/>
    </row>
    <row r="829" ht="15.75" customHeight="1">
      <c r="E829" s="84"/>
      <c r="J829" s="84"/>
      <c r="L829" s="84"/>
      <c r="M829" s="84"/>
      <c r="O829" s="84"/>
      <c r="R829" s="84"/>
    </row>
    <row r="830" ht="15.75" customHeight="1">
      <c r="E830" s="84"/>
      <c r="J830" s="84"/>
      <c r="L830" s="84"/>
      <c r="M830" s="84"/>
      <c r="O830" s="84"/>
      <c r="R830" s="84"/>
    </row>
    <row r="831" ht="15.75" customHeight="1">
      <c r="E831" s="84"/>
      <c r="J831" s="84"/>
      <c r="L831" s="84"/>
      <c r="M831" s="84"/>
      <c r="O831" s="84"/>
      <c r="R831" s="84"/>
    </row>
    <row r="832" ht="15.75" customHeight="1">
      <c r="E832" s="84"/>
      <c r="J832" s="84"/>
      <c r="L832" s="84"/>
      <c r="M832" s="84"/>
      <c r="O832" s="84"/>
      <c r="R832" s="84"/>
    </row>
    <row r="833" ht="15.75" customHeight="1">
      <c r="E833" s="84"/>
      <c r="J833" s="84"/>
      <c r="L833" s="84"/>
      <c r="M833" s="84"/>
      <c r="O833" s="84"/>
      <c r="R833" s="84"/>
    </row>
    <row r="834" ht="15.75" customHeight="1">
      <c r="E834" s="84"/>
      <c r="J834" s="84"/>
      <c r="L834" s="84"/>
      <c r="M834" s="84"/>
      <c r="O834" s="84"/>
      <c r="R834" s="84"/>
    </row>
    <row r="835" ht="15.75" customHeight="1">
      <c r="E835" s="84"/>
      <c r="J835" s="84"/>
      <c r="L835" s="84"/>
      <c r="M835" s="84"/>
      <c r="O835" s="84"/>
      <c r="R835" s="84"/>
    </row>
    <row r="836" ht="15.75" customHeight="1">
      <c r="E836" s="84"/>
      <c r="J836" s="84"/>
      <c r="L836" s="84"/>
      <c r="M836" s="84"/>
      <c r="O836" s="84"/>
      <c r="R836" s="84"/>
    </row>
    <row r="837" ht="15.75" customHeight="1">
      <c r="E837" s="84"/>
      <c r="J837" s="84"/>
      <c r="L837" s="84"/>
      <c r="M837" s="84"/>
      <c r="O837" s="84"/>
      <c r="R837" s="84"/>
    </row>
    <row r="838" ht="15.75" customHeight="1">
      <c r="E838" s="84"/>
      <c r="J838" s="84"/>
      <c r="L838" s="84"/>
      <c r="M838" s="84"/>
      <c r="O838" s="84"/>
      <c r="R838" s="84"/>
    </row>
    <row r="839" ht="15.75" customHeight="1">
      <c r="E839" s="84"/>
      <c r="J839" s="84"/>
      <c r="L839" s="84"/>
      <c r="M839" s="84"/>
      <c r="O839" s="84"/>
      <c r="R839" s="84"/>
    </row>
    <row r="840" ht="15.75" customHeight="1">
      <c r="E840" s="84"/>
      <c r="J840" s="84"/>
      <c r="L840" s="84"/>
      <c r="M840" s="84"/>
      <c r="O840" s="84"/>
      <c r="R840" s="84"/>
    </row>
    <row r="841" ht="15.75" customHeight="1">
      <c r="E841" s="84"/>
      <c r="J841" s="84"/>
      <c r="L841" s="84"/>
      <c r="M841" s="84"/>
      <c r="O841" s="84"/>
      <c r="R841" s="84"/>
    </row>
    <row r="842" ht="15.75" customHeight="1">
      <c r="E842" s="84"/>
      <c r="J842" s="84"/>
      <c r="L842" s="84"/>
      <c r="M842" s="84"/>
      <c r="O842" s="84"/>
      <c r="R842" s="84"/>
    </row>
    <row r="843" ht="15.75" customHeight="1">
      <c r="E843" s="84"/>
      <c r="J843" s="84"/>
      <c r="L843" s="84"/>
      <c r="M843" s="84"/>
      <c r="O843" s="84"/>
      <c r="R843" s="84"/>
    </row>
    <row r="844" ht="15.75" customHeight="1">
      <c r="E844" s="84"/>
      <c r="J844" s="84"/>
      <c r="L844" s="84"/>
      <c r="M844" s="84"/>
      <c r="O844" s="84"/>
      <c r="R844" s="84"/>
    </row>
    <row r="845" ht="15.75" customHeight="1">
      <c r="E845" s="84"/>
      <c r="J845" s="84"/>
      <c r="L845" s="84"/>
      <c r="M845" s="84"/>
      <c r="O845" s="84"/>
      <c r="R845" s="84"/>
    </row>
    <row r="846" ht="15.75" customHeight="1">
      <c r="E846" s="84"/>
      <c r="J846" s="84"/>
      <c r="L846" s="84"/>
      <c r="M846" s="84"/>
      <c r="O846" s="84"/>
      <c r="R846" s="84"/>
    </row>
    <row r="847" ht="15.75" customHeight="1">
      <c r="E847" s="84"/>
      <c r="J847" s="84"/>
      <c r="L847" s="84"/>
      <c r="M847" s="84"/>
      <c r="O847" s="84"/>
      <c r="R847" s="84"/>
    </row>
    <row r="848" ht="15.75" customHeight="1">
      <c r="E848" s="84"/>
      <c r="J848" s="84"/>
      <c r="L848" s="84"/>
      <c r="M848" s="84"/>
      <c r="O848" s="84"/>
      <c r="R848" s="84"/>
    </row>
    <row r="849" ht="15.75" customHeight="1">
      <c r="E849" s="84"/>
      <c r="J849" s="84"/>
      <c r="L849" s="84"/>
      <c r="M849" s="84"/>
      <c r="O849" s="84"/>
      <c r="R849" s="84"/>
    </row>
    <row r="850" ht="15.75" customHeight="1">
      <c r="E850" s="84"/>
      <c r="J850" s="84"/>
      <c r="L850" s="84"/>
      <c r="M850" s="84"/>
      <c r="O850" s="84"/>
      <c r="R850" s="84"/>
    </row>
    <row r="851" ht="15.75" customHeight="1">
      <c r="E851" s="84"/>
      <c r="J851" s="84"/>
      <c r="L851" s="84"/>
      <c r="M851" s="84"/>
      <c r="O851" s="84"/>
      <c r="R851" s="84"/>
    </row>
    <row r="852" ht="15.75" customHeight="1">
      <c r="E852" s="84"/>
      <c r="J852" s="84"/>
      <c r="L852" s="84"/>
      <c r="M852" s="84"/>
      <c r="O852" s="84"/>
      <c r="R852" s="84"/>
    </row>
    <row r="853" ht="15.75" customHeight="1">
      <c r="E853" s="84"/>
      <c r="J853" s="84"/>
      <c r="L853" s="84"/>
      <c r="M853" s="84"/>
      <c r="O853" s="84"/>
      <c r="R853" s="84"/>
    </row>
    <row r="854" ht="15.75" customHeight="1">
      <c r="E854" s="84"/>
      <c r="J854" s="84"/>
      <c r="L854" s="84"/>
      <c r="M854" s="84"/>
      <c r="O854" s="84"/>
      <c r="R854" s="84"/>
    </row>
    <row r="855" ht="15.75" customHeight="1">
      <c r="E855" s="84"/>
      <c r="J855" s="84"/>
      <c r="L855" s="84"/>
      <c r="M855" s="84"/>
      <c r="O855" s="84"/>
      <c r="R855" s="84"/>
    </row>
    <row r="856" ht="15.75" customHeight="1">
      <c r="E856" s="84"/>
      <c r="J856" s="84"/>
      <c r="L856" s="84"/>
      <c r="M856" s="84"/>
      <c r="O856" s="84"/>
      <c r="R856" s="84"/>
    </row>
    <row r="857" ht="15.75" customHeight="1">
      <c r="E857" s="84"/>
      <c r="J857" s="84"/>
      <c r="L857" s="84"/>
      <c r="M857" s="84"/>
      <c r="O857" s="84"/>
      <c r="R857" s="84"/>
    </row>
    <row r="858" ht="15.75" customHeight="1">
      <c r="E858" s="84"/>
      <c r="J858" s="84"/>
      <c r="L858" s="84"/>
      <c r="M858" s="84"/>
      <c r="O858" s="84"/>
      <c r="R858" s="84"/>
    </row>
    <row r="859" ht="15.75" customHeight="1">
      <c r="E859" s="84"/>
      <c r="J859" s="84"/>
      <c r="L859" s="84"/>
      <c r="M859" s="84"/>
      <c r="O859" s="84"/>
      <c r="R859" s="84"/>
    </row>
    <row r="860" ht="15.75" customHeight="1">
      <c r="E860" s="84"/>
      <c r="J860" s="84"/>
      <c r="L860" s="84"/>
      <c r="M860" s="84"/>
      <c r="O860" s="84"/>
      <c r="R860" s="84"/>
    </row>
    <row r="861" ht="15.75" customHeight="1">
      <c r="E861" s="84"/>
      <c r="J861" s="84"/>
      <c r="L861" s="84"/>
      <c r="M861" s="84"/>
      <c r="O861" s="84"/>
      <c r="R861" s="84"/>
    </row>
    <row r="862" ht="15.75" customHeight="1">
      <c r="E862" s="84"/>
      <c r="J862" s="84"/>
      <c r="L862" s="84"/>
      <c r="M862" s="84"/>
      <c r="O862" s="84"/>
      <c r="R862" s="84"/>
    </row>
    <row r="863" ht="15.75" customHeight="1">
      <c r="E863" s="84"/>
      <c r="J863" s="84"/>
      <c r="L863" s="84"/>
      <c r="M863" s="84"/>
      <c r="O863" s="84"/>
      <c r="R863" s="84"/>
    </row>
    <row r="864" ht="15.75" customHeight="1">
      <c r="E864" s="84"/>
      <c r="J864" s="84"/>
      <c r="L864" s="84"/>
      <c r="M864" s="84"/>
      <c r="O864" s="84"/>
      <c r="R864" s="84"/>
    </row>
    <row r="865" ht="15.75" customHeight="1">
      <c r="E865" s="84"/>
      <c r="J865" s="84"/>
      <c r="L865" s="84"/>
      <c r="M865" s="84"/>
      <c r="O865" s="84"/>
      <c r="R865" s="84"/>
    </row>
    <row r="866" ht="15.75" customHeight="1">
      <c r="E866" s="84"/>
      <c r="J866" s="84"/>
      <c r="L866" s="84"/>
      <c r="M866" s="84"/>
      <c r="O866" s="84"/>
      <c r="R866" s="84"/>
    </row>
    <row r="867" ht="15.75" customHeight="1">
      <c r="E867" s="84"/>
      <c r="J867" s="84"/>
      <c r="L867" s="84"/>
      <c r="M867" s="84"/>
      <c r="O867" s="84"/>
      <c r="R867" s="84"/>
    </row>
    <row r="868" ht="15.75" customHeight="1">
      <c r="E868" s="84"/>
      <c r="J868" s="84"/>
      <c r="L868" s="84"/>
      <c r="M868" s="84"/>
      <c r="O868" s="84"/>
      <c r="R868" s="84"/>
    </row>
    <row r="869" ht="15.75" customHeight="1">
      <c r="E869" s="84"/>
      <c r="J869" s="84"/>
      <c r="L869" s="84"/>
      <c r="M869" s="84"/>
      <c r="O869" s="84"/>
      <c r="R869" s="84"/>
    </row>
    <row r="870" ht="15.75" customHeight="1">
      <c r="E870" s="84"/>
      <c r="J870" s="84"/>
      <c r="L870" s="84"/>
      <c r="M870" s="84"/>
      <c r="O870" s="84"/>
      <c r="R870" s="84"/>
    </row>
    <row r="871" ht="15.75" customHeight="1">
      <c r="E871" s="84"/>
      <c r="J871" s="84"/>
      <c r="L871" s="84"/>
      <c r="M871" s="84"/>
      <c r="O871" s="84"/>
      <c r="R871" s="84"/>
    </row>
    <row r="872" ht="15.75" customHeight="1">
      <c r="E872" s="84"/>
      <c r="J872" s="84"/>
      <c r="L872" s="84"/>
      <c r="M872" s="84"/>
      <c r="O872" s="84"/>
      <c r="R872" s="84"/>
    </row>
    <row r="873" ht="15.75" customHeight="1">
      <c r="E873" s="84"/>
      <c r="J873" s="84"/>
      <c r="L873" s="84"/>
      <c r="M873" s="84"/>
      <c r="O873" s="84"/>
      <c r="R873" s="84"/>
    </row>
    <row r="874" ht="15.75" customHeight="1">
      <c r="E874" s="84"/>
      <c r="J874" s="84"/>
      <c r="L874" s="84"/>
      <c r="M874" s="84"/>
      <c r="O874" s="84"/>
      <c r="R874" s="84"/>
    </row>
    <row r="875" ht="15.75" customHeight="1">
      <c r="E875" s="84"/>
      <c r="J875" s="84"/>
      <c r="L875" s="84"/>
      <c r="M875" s="84"/>
      <c r="O875" s="84"/>
      <c r="R875" s="84"/>
    </row>
    <row r="876" ht="15.75" customHeight="1">
      <c r="E876" s="84"/>
      <c r="J876" s="84"/>
      <c r="L876" s="84"/>
      <c r="M876" s="84"/>
      <c r="O876" s="84"/>
      <c r="R876" s="84"/>
    </row>
    <row r="877" ht="15.75" customHeight="1">
      <c r="E877" s="84"/>
      <c r="J877" s="84"/>
      <c r="L877" s="84"/>
      <c r="M877" s="84"/>
      <c r="O877" s="84"/>
      <c r="R877" s="84"/>
    </row>
    <row r="878" ht="15.75" customHeight="1">
      <c r="E878" s="84"/>
      <c r="J878" s="84"/>
      <c r="L878" s="84"/>
      <c r="M878" s="84"/>
      <c r="O878" s="84"/>
      <c r="R878" s="84"/>
    </row>
    <row r="879" ht="15.75" customHeight="1">
      <c r="E879" s="84"/>
      <c r="J879" s="84"/>
      <c r="L879" s="84"/>
      <c r="M879" s="84"/>
      <c r="O879" s="84"/>
      <c r="R879" s="84"/>
    </row>
    <row r="880" ht="15.75" customHeight="1">
      <c r="E880" s="84"/>
      <c r="J880" s="84"/>
      <c r="L880" s="84"/>
      <c r="M880" s="84"/>
      <c r="O880" s="84"/>
      <c r="R880" s="84"/>
    </row>
    <row r="881" ht="15.75" customHeight="1">
      <c r="E881" s="84"/>
      <c r="J881" s="84"/>
      <c r="L881" s="84"/>
      <c r="M881" s="84"/>
      <c r="O881" s="84"/>
      <c r="R881" s="84"/>
    </row>
    <row r="882" ht="15.75" customHeight="1">
      <c r="E882" s="84"/>
      <c r="J882" s="84"/>
      <c r="L882" s="84"/>
      <c r="M882" s="84"/>
      <c r="O882" s="84"/>
      <c r="R882" s="84"/>
    </row>
    <row r="883" ht="15.75" customHeight="1">
      <c r="E883" s="84"/>
      <c r="J883" s="84"/>
      <c r="L883" s="84"/>
      <c r="M883" s="84"/>
      <c r="O883" s="84"/>
      <c r="R883" s="84"/>
    </row>
    <row r="884" ht="15.75" customHeight="1">
      <c r="E884" s="84"/>
      <c r="J884" s="84"/>
      <c r="L884" s="84"/>
      <c r="M884" s="84"/>
      <c r="O884" s="84"/>
      <c r="R884" s="84"/>
    </row>
    <row r="885" ht="15.75" customHeight="1">
      <c r="E885" s="84"/>
      <c r="J885" s="84"/>
      <c r="L885" s="84"/>
      <c r="M885" s="84"/>
      <c r="O885" s="84"/>
      <c r="R885" s="84"/>
    </row>
    <row r="886" ht="15.75" customHeight="1">
      <c r="E886" s="84"/>
      <c r="J886" s="84"/>
      <c r="L886" s="84"/>
      <c r="M886" s="84"/>
      <c r="O886" s="84"/>
      <c r="R886" s="84"/>
    </row>
    <row r="887" ht="15.75" customHeight="1">
      <c r="E887" s="84"/>
      <c r="J887" s="84"/>
      <c r="L887" s="84"/>
      <c r="M887" s="84"/>
      <c r="O887" s="84"/>
      <c r="R887" s="84"/>
    </row>
    <row r="888" ht="15.75" customHeight="1">
      <c r="E888" s="84"/>
      <c r="J888" s="84"/>
      <c r="L888" s="84"/>
      <c r="M888" s="84"/>
      <c r="O888" s="84"/>
      <c r="R888" s="84"/>
    </row>
    <row r="889" ht="15.75" customHeight="1">
      <c r="E889" s="84"/>
      <c r="J889" s="84"/>
      <c r="L889" s="84"/>
      <c r="M889" s="84"/>
      <c r="O889" s="84"/>
      <c r="R889" s="84"/>
    </row>
    <row r="890" ht="15.75" customHeight="1">
      <c r="E890" s="84"/>
      <c r="J890" s="84"/>
      <c r="L890" s="84"/>
      <c r="M890" s="84"/>
      <c r="O890" s="84"/>
      <c r="R890" s="84"/>
    </row>
    <row r="891" ht="15.75" customHeight="1">
      <c r="E891" s="84"/>
      <c r="J891" s="84"/>
      <c r="L891" s="84"/>
      <c r="M891" s="84"/>
      <c r="O891" s="84"/>
      <c r="R891" s="84"/>
    </row>
    <row r="892" ht="15.75" customHeight="1">
      <c r="E892" s="84"/>
      <c r="J892" s="84"/>
      <c r="L892" s="84"/>
      <c r="M892" s="84"/>
      <c r="O892" s="84"/>
      <c r="R892" s="84"/>
    </row>
    <row r="893" ht="15.75" customHeight="1">
      <c r="E893" s="84"/>
      <c r="J893" s="84"/>
      <c r="L893" s="84"/>
      <c r="M893" s="84"/>
      <c r="O893" s="84"/>
      <c r="R893" s="84"/>
    </row>
    <row r="894" ht="15.75" customHeight="1">
      <c r="E894" s="84"/>
      <c r="J894" s="84"/>
      <c r="L894" s="84"/>
      <c r="M894" s="84"/>
      <c r="O894" s="84"/>
      <c r="R894" s="84"/>
    </row>
    <row r="895" ht="15.75" customHeight="1">
      <c r="E895" s="84"/>
      <c r="J895" s="84"/>
      <c r="L895" s="84"/>
      <c r="M895" s="84"/>
      <c r="O895" s="84"/>
      <c r="R895" s="84"/>
    </row>
    <row r="896" ht="15.75" customHeight="1">
      <c r="E896" s="84"/>
      <c r="J896" s="84"/>
      <c r="L896" s="84"/>
      <c r="M896" s="84"/>
      <c r="O896" s="84"/>
      <c r="R896" s="84"/>
    </row>
    <row r="897" ht="15.75" customHeight="1">
      <c r="E897" s="84"/>
      <c r="J897" s="84"/>
      <c r="L897" s="84"/>
      <c r="M897" s="84"/>
      <c r="O897" s="84"/>
      <c r="R897" s="84"/>
    </row>
    <row r="898" ht="15.75" customHeight="1">
      <c r="E898" s="84"/>
      <c r="J898" s="84"/>
      <c r="L898" s="84"/>
      <c r="M898" s="84"/>
      <c r="O898" s="84"/>
      <c r="R898" s="84"/>
    </row>
    <row r="899" ht="15.75" customHeight="1">
      <c r="E899" s="84"/>
      <c r="J899" s="84"/>
      <c r="L899" s="84"/>
      <c r="M899" s="84"/>
      <c r="O899" s="84"/>
      <c r="R899" s="84"/>
    </row>
    <row r="900" ht="15.75" customHeight="1">
      <c r="E900" s="84"/>
      <c r="J900" s="84"/>
      <c r="L900" s="84"/>
      <c r="M900" s="84"/>
      <c r="O900" s="84"/>
      <c r="R900" s="84"/>
    </row>
    <row r="901" ht="15.75" customHeight="1">
      <c r="E901" s="84"/>
      <c r="J901" s="84"/>
      <c r="L901" s="84"/>
      <c r="M901" s="84"/>
      <c r="O901" s="84"/>
      <c r="R901" s="84"/>
    </row>
    <row r="902" ht="15.75" customHeight="1">
      <c r="E902" s="84"/>
      <c r="J902" s="84"/>
      <c r="L902" s="84"/>
      <c r="M902" s="84"/>
      <c r="O902" s="84"/>
      <c r="R902" s="84"/>
    </row>
    <row r="903" ht="15.75" customHeight="1">
      <c r="E903" s="84"/>
      <c r="J903" s="84"/>
      <c r="L903" s="84"/>
      <c r="M903" s="84"/>
      <c r="O903" s="84"/>
      <c r="R903" s="84"/>
    </row>
    <row r="904" ht="15.75" customHeight="1">
      <c r="E904" s="84"/>
      <c r="J904" s="84"/>
      <c r="L904" s="84"/>
      <c r="M904" s="84"/>
      <c r="O904" s="84"/>
      <c r="R904" s="84"/>
    </row>
    <row r="905" ht="15.75" customHeight="1">
      <c r="E905" s="84"/>
      <c r="J905" s="84"/>
      <c r="L905" s="84"/>
      <c r="M905" s="84"/>
      <c r="O905" s="84"/>
      <c r="R905" s="84"/>
    </row>
    <row r="906" ht="15.75" customHeight="1">
      <c r="E906" s="84"/>
      <c r="J906" s="84"/>
      <c r="L906" s="84"/>
      <c r="M906" s="84"/>
      <c r="O906" s="84"/>
      <c r="R906" s="84"/>
    </row>
    <row r="907" ht="15.75" customHeight="1">
      <c r="E907" s="84"/>
      <c r="J907" s="84"/>
      <c r="L907" s="84"/>
      <c r="M907" s="84"/>
      <c r="O907" s="84"/>
      <c r="R907" s="84"/>
    </row>
    <row r="908" ht="15.75" customHeight="1">
      <c r="E908" s="84"/>
      <c r="J908" s="84"/>
      <c r="L908" s="84"/>
      <c r="M908" s="84"/>
      <c r="O908" s="84"/>
      <c r="R908" s="84"/>
    </row>
    <row r="909" ht="15.75" customHeight="1">
      <c r="E909" s="84"/>
      <c r="J909" s="84"/>
      <c r="L909" s="84"/>
      <c r="M909" s="84"/>
      <c r="O909" s="84"/>
      <c r="R909" s="84"/>
    </row>
    <row r="910" ht="15.75" customHeight="1">
      <c r="E910" s="84"/>
      <c r="J910" s="84"/>
      <c r="L910" s="84"/>
      <c r="M910" s="84"/>
      <c r="O910" s="84"/>
      <c r="R910" s="84"/>
    </row>
    <row r="911" ht="15.75" customHeight="1">
      <c r="E911" s="84"/>
      <c r="J911" s="84"/>
      <c r="L911" s="84"/>
      <c r="M911" s="84"/>
      <c r="O911" s="84"/>
      <c r="R911" s="84"/>
    </row>
    <row r="912" ht="15.75" customHeight="1">
      <c r="E912" s="84"/>
      <c r="J912" s="84"/>
      <c r="L912" s="84"/>
      <c r="M912" s="84"/>
      <c r="O912" s="84"/>
      <c r="R912" s="84"/>
    </row>
    <row r="913" ht="15.75" customHeight="1">
      <c r="E913" s="84"/>
      <c r="J913" s="84"/>
      <c r="L913" s="84"/>
      <c r="M913" s="84"/>
      <c r="O913" s="84"/>
      <c r="R913" s="84"/>
    </row>
    <row r="914" ht="15.75" customHeight="1">
      <c r="E914" s="84"/>
      <c r="J914" s="84"/>
      <c r="L914" s="84"/>
      <c r="M914" s="84"/>
      <c r="O914" s="84"/>
      <c r="R914" s="84"/>
    </row>
    <row r="915" ht="15.75" customHeight="1">
      <c r="E915" s="84"/>
      <c r="J915" s="84"/>
      <c r="L915" s="84"/>
      <c r="M915" s="84"/>
      <c r="O915" s="84"/>
      <c r="R915" s="84"/>
    </row>
    <row r="916" ht="15.75" customHeight="1">
      <c r="E916" s="84"/>
      <c r="J916" s="84"/>
      <c r="L916" s="84"/>
      <c r="M916" s="84"/>
      <c r="O916" s="84"/>
      <c r="R916" s="84"/>
    </row>
    <row r="917" ht="15.75" customHeight="1">
      <c r="E917" s="84"/>
      <c r="J917" s="84"/>
      <c r="L917" s="84"/>
      <c r="M917" s="84"/>
      <c r="O917" s="84"/>
      <c r="R917" s="84"/>
    </row>
    <row r="918" ht="15.75" customHeight="1">
      <c r="E918" s="84"/>
      <c r="J918" s="84"/>
      <c r="L918" s="84"/>
      <c r="M918" s="84"/>
      <c r="O918" s="84"/>
      <c r="R918" s="84"/>
    </row>
    <row r="919" ht="15.75" customHeight="1">
      <c r="E919" s="84"/>
      <c r="J919" s="84"/>
      <c r="L919" s="84"/>
      <c r="M919" s="84"/>
      <c r="O919" s="84"/>
      <c r="R919" s="84"/>
    </row>
    <row r="920" ht="15.75" customHeight="1">
      <c r="E920" s="84"/>
      <c r="J920" s="84"/>
      <c r="L920" s="84"/>
      <c r="M920" s="84"/>
      <c r="O920" s="84"/>
      <c r="R920" s="84"/>
    </row>
    <row r="921" ht="15.75" customHeight="1">
      <c r="E921" s="84"/>
      <c r="J921" s="84"/>
      <c r="L921" s="84"/>
      <c r="M921" s="84"/>
      <c r="O921" s="84"/>
      <c r="R921" s="84"/>
    </row>
    <row r="922" ht="15.75" customHeight="1">
      <c r="E922" s="84"/>
      <c r="J922" s="84"/>
      <c r="L922" s="84"/>
      <c r="M922" s="84"/>
      <c r="O922" s="84"/>
      <c r="R922" s="84"/>
    </row>
    <row r="923" ht="15.75" customHeight="1">
      <c r="E923" s="84"/>
      <c r="J923" s="84"/>
      <c r="L923" s="84"/>
      <c r="M923" s="84"/>
      <c r="O923" s="84"/>
      <c r="R923" s="84"/>
    </row>
    <row r="924" ht="15.75" customHeight="1">
      <c r="E924" s="84"/>
      <c r="J924" s="84"/>
      <c r="L924" s="84"/>
      <c r="M924" s="84"/>
      <c r="O924" s="84"/>
      <c r="R924" s="84"/>
    </row>
    <row r="925" ht="15.75" customHeight="1">
      <c r="E925" s="84"/>
      <c r="J925" s="84"/>
      <c r="L925" s="84"/>
      <c r="M925" s="84"/>
      <c r="O925" s="84"/>
      <c r="R925" s="84"/>
    </row>
    <row r="926" ht="15.75" customHeight="1">
      <c r="E926" s="84"/>
      <c r="J926" s="84"/>
      <c r="L926" s="84"/>
      <c r="M926" s="84"/>
      <c r="O926" s="84"/>
      <c r="R926" s="84"/>
    </row>
    <row r="927" ht="15.75" customHeight="1">
      <c r="E927" s="84"/>
      <c r="J927" s="84"/>
      <c r="L927" s="84"/>
      <c r="M927" s="84"/>
      <c r="O927" s="84"/>
      <c r="R927" s="84"/>
    </row>
    <row r="928" ht="15.75" customHeight="1">
      <c r="E928" s="84"/>
      <c r="J928" s="84"/>
      <c r="L928" s="84"/>
      <c r="M928" s="84"/>
      <c r="O928" s="84"/>
      <c r="R928" s="84"/>
    </row>
    <row r="929" ht="15.75" customHeight="1">
      <c r="E929" s="84"/>
      <c r="J929" s="84"/>
      <c r="L929" s="84"/>
      <c r="M929" s="84"/>
      <c r="O929" s="84"/>
      <c r="R929" s="84"/>
    </row>
    <row r="930" ht="15.75" customHeight="1">
      <c r="E930" s="84"/>
      <c r="J930" s="84"/>
      <c r="L930" s="84"/>
      <c r="M930" s="84"/>
      <c r="O930" s="84"/>
      <c r="R930" s="84"/>
    </row>
    <row r="931" ht="15.75" customHeight="1">
      <c r="E931" s="84"/>
      <c r="J931" s="84"/>
      <c r="L931" s="84"/>
      <c r="M931" s="84"/>
      <c r="O931" s="84"/>
      <c r="R931" s="84"/>
    </row>
    <row r="932" ht="15.75" customHeight="1">
      <c r="E932" s="84"/>
      <c r="J932" s="84"/>
      <c r="L932" s="84"/>
      <c r="M932" s="84"/>
      <c r="O932" s="84"/>
      <c r="R932" s="84"/>
    </row>
    <row r="933" ht="15.75" customHeight="1">
      <c r="E933" s="84"/>
      <c r="J933" s="84"/>
      <c r="L933" s="84"/>
      <c r="M933" s="84"/>
      <c r="O933" s="84"/>
      <c r="R933" s="84"/>
    </row>
    <row r="934" ht="15.75" customHeight="1">
      <c r="E934" s="84"/>
      <c r="J934" s="84"/>
      <c r="L934" s="84"/>
      <c r="M934" s="84"/>
      <c r="O934" s="84"/>
      <c r="R934" s="84"/>
    </row>
    <row r="935" ht="15.75" customHeight="1">
      <c r="E935" s="84"/>
      <c r="J935" s="84"/>
      <c r="L935" s="84"/>
      <c r="M935" s="84"/>
      <c r="O935" s="84"/>
      <c r="R935" s="84"/>
    </row>
    <row r="936" ht="15.75" customHeight="1">
      <c r="E936" s="84"/>
      <c r="J936" s="84"/>
      <c r="L936" s="84"/>
      <c r="M936" s="84"/>
      <c r="O936" s="84"/>
      <c r="R936" s="84"/>
    </row>
    <row r="937" ht="15.75" customHeight="1">
      <c r="E937" s="84"/>
      <c r="J937" s="84"/>
      <c r="L937" s="84"/>
      <c r="M937" s="84"/>
      <c r="O937" s="84"/>
      <c r="R937" s="84"/>
    </row>
    <row r="938" ht="15.75" customHeight="1">
      <c r="E938" s="84"/>
      <c r="J938" s="84"/>
      <c r="L938" s="84"/>
      <c r="M938" s="84"/>
      <c r="O938" s="84"/>
      <c r="R938" s="84"/>
    </row>
    <row r="939" ht="15.75" customHeight="1">
      <c r="E939" s="84"/>
      <c r="J939" s="84"/>
      <c r="L939" s="84"/>
      <c r="M939" s="84"/>
      <c r="O939" s="84"/>
      <c r="R939" s="84"/>
    </row>
    <row r="940" ht="15.75" customHeight="1">
      <c r="E940" s="84"/>
      <c r="J940" s="84"/>
      <c r="L940" s="84"/>
      <c r="M940" s="84"/>
      <c r="O940" s="84"/>
      <c r="R940" s="84"/>
    </row>
    <row r="941" ht="15.75" customHeight="1">
      <c r="E941" s="84"/>
      <c r="J941" s="84"/>
      <c r="L941" s="84"/>
      <c r="M941" s="84"/>
      <c r="O941" s="84"/>
      <c r="R941" s="84"/>
    </row>
    <row r="942" ht="15.75" customHeight="1">
      <c r="E942" s="84"/>
      <c r="J942" s="84"/>
      <c r="L942" s="84"/>
      <c r="M942" s="84"/>
      <c r="O942" s="84"/>
      <c r="R942" s="84"/>
    </row>
    <row r="943" ht="15.75" customHeight="1">
      <c r="E943" s="84"/>
      <c r="J943" s="84"/>
      <c r="L943" s="84"/>
      <c r="M943" s="84"/>
      <c r="O943" s="84"/>
      <c r="R943" s="84"/>
    </row>
    <row r="944" ht="15.75" customHeight="1">
      <c r="E944" s="84"/>
      <c r="J944" s="84"/>
      <c r="L944" s="84"/>
      <c r="M944" s="84"/>
      <c r="O944" s="84"/>
      <c r="R944" s="84"/>
    </row>
    <row r="945" ht="15.75" customHeight="1">
      <c r="E945" s="84"/>
      <c r="J945" s="84"/>
      <c r="L945" s="84"/>
      <c r="M945" s="84"/>
      <c r="O945" s="84"/>
      <c r="R945" s="84"/>
    </row>
    <row r="946" ht="15.75" customHeight="1">
      <c r="E946" s="84"/>
      <c r="J946" s="84"/>
      <c r="L946" s="84"/>
      <c r="M946" s="84"/>
      <c r="O946" s="84"/>
      <c r="R946" s="84"/>
    </row>
    <row r="947" ht="15.75" customHeight="1">
      <c r="E947" s="84"/>
      <c r="J947" s="84"/>
      <c r="L947" s="84"/>
      <c r="M947" s="84"/>
      <c r="O947" s="84"/>
      <c r="R947" s="84"/>
    </row>
    <row r="948" ht="15.75" customHeight="1">
      <c r="E948" s="84"/>
      <c r="J948" s="84"/>
      <c r="L948" s="84"/>
      <c r="M948" s="84"/>
      <c r="O948" s="84"/>
      <c r="R948" s="84"/>
    </row>
    <row r="949" ht="15.75" customHeight="1">
      <c r="E949" s="84"/>
      <c r="J949" s="84"/>
      <c r="L949" s="84"/>
      <c r="M949" s="84"/>
      <c r="O949" s="84"/>
      <c r="R949" s="84"/>
    </row>
    <row r="950" ht="15.75" customHeight="1">
      <c r="E950" s="84"/>
      <c r="J950" s="84"/>
      <c r="L950" s="84"/>
      <c r="M950" s="84"/>
      <c r="O950" s="84"/>
      <c r="R950" s="84"/>
    </row>
    <row r="951" ht="15.75" customHeight="1">
      <c r="E951" s="84"/>
      <c r="J951" s="84"/>
      <c r="L951" s="84"/>
      <c r="M951" s="84"/>
      <c r="O951" s="84"/>
      <c r="R951" s="84"/>
    </row>
    <row r="952" ht="15.75" customHeight="1">
      <c r="E952" s="84"/>
      <c r="J952" s="84"/>
      <c r="L952" s="84"/>
      <c r="M952" s="84"/>
      <c r="O952" s="84"/>
      <c r="R952" s="84"/>
    </row>
    <row r="953" ht="15.75" customHeight="1">
      <c r="E953" s="84"/>
      <c r="J953" s="84"/>
      <c r="L953" s="84"/>
      <c r="M953" s="84"/>
      <c r="O953" s="84"/>
      <c r="R953" s="84"/>
    </row>
    <row r="954" ht="15.75" customHeight="1">
      <c r="E954" s="84"/>
      <c r="J954" s="84"/>
      <c r="L954" s="84"/>
      <c r="M954" s="84"/>
      <c r="O954" s="84"/>
      <c r="R954" s="84"/>
    </row>
    <row r="955" ht="15.75" customHeight="1">
      <c r="E955" s="84"/>
      <c r="J955" s="84"/>
      <c r="L955" s="84"/>
      <c r="M955" s="84"/>
      <c r="O955" s="84"/>
      <c r="R955" s="84"/>
    </row>
    <row r="956" ht="15.75" customHeight="1">
      <c r="E956" s="84"/>
      <c r="J956" s="84"/>
      <c r="L956" s="84"/>
      <c r="M956" s="84"/>
      <c r="O956" s="84"/>
      <c r="R956" s="84"/>
    </row>
    <row r="957" ht="15.75" customHeight="1">
      <c r="E957" s="84"/>
      <c r="J957" s="84"/>
      <c r="L957" s="84"/>
      <c r="M957" s="84"/>
      <c r="O957" s="84"/>
      <c r="R957" s="84"/>
    </row>
    <row r="958" ht="15.75" customHeight="1">
      <c r="E958" s="84"/>
      <c r="J958" s="84"/>
      <c r="L958" s="84"/>
      <c r="M958" s="84"/>
      <c r="O958" s="84"/>
      <c r="R958" s="84"/>
    </row>
    <row r="959" ht="15.75" customHeight="1">
      <c r="E959" s="84"/>
      <c r="J959" s="84"/>
      <c r="L959" s="84"/>
      <c r="M959" s="84"/>
      <c r="O959" s="84"/>
      <c r="R959" s="84"/>
    </row>
    <row r="960" ht="15.75" customHeight="1">
      <c r="E960" s="84"/>
      <c r="J960" s="84"/>
      <c r="L960" s="84"/>
      <c r="M960" s="84"/>
      <c r="O960" s="84"/>
      <c r="R960" s="84"/>
    </row>
    <row r="961" ht="15.75" customHeight="1">
      <c r="E961" s="84"/>
      <c r="J961" s="84"/>
      <c r="L961" s="84"/>
      <c r="M961" s="84"/>
      <c r="O961" s="84"/>
      <c r="R961" s="84"/>
    </row>
    <row r="962" ht="15.75" customHeight="1">
      <c r="E962" s="84"/>
      <c r="J962" s="84"/>
      <c r="L962" s="84"/>
      <c r="M962" s="84"/>
      <c r="O962" s="84"/>
      <c r="R962" s="84"/>
    </row>
    <row r="963" ht="15.75" customHeight="1">
      <c r="E963" s="84"/>
      <c r="J963" s="84"/>
      <c r="L963" s="84"/>
      <c r="M963" s="84"/>
      <c r="O963" s="84"/>
      <c r="R963" s="84"/>
    </row>
    <row r="964" ht="15.75" customHeight="1">
      <c r="E964" s="84"/>
      <c r="J964" s="84"/>
      <c r="L964" s="84"/>
      <c r="M964" s="84"/>
      <c r="O964" s="84"/>
      <c r="R964" s="84"/>
    </row>
    <row r="965" ht="15.75" customHeight="1">
      <c r="E965" s="84"/>
      <c r="J965" s="84"/>
      <c r="L965" s="84"/>
      <c r="M965" s="84"/>
      <c r="O965" s="84"/>
      <c r="R965" s="84"/>
    </row>
    <row r="966" ht="15.75" customHeight="1">
      <c r="E966" s="84"/>
      <c r="J966" s="84"/>
      <c r="L966" s="84"/>
      <c r="M966" s="84"/>
      <c r="O966" s="84"/>
      <c r="R966" s="84"/>
    </row>
    <row r="967" ht="15.75" customHeight="1">
      <c r="E967" s="84"/>
      <c r="J967" s="84"/>
      <c r="L967" s="84"/>
      <c r="M967" s="84"/>
      <c r="O967" s="84"/>
      <c r="R967" s="84"/>
    </row>
    <row r="968" ht="15.75" customHeight="1">
      <c r="E968" s="84"/>
      <c r="J968" s="84"/>
      <c r="L968" s="84"/>
      <c r="M968" s="84"/>
      <c r="O968" s="84"/>
      <c r="R968" s="84"/>
    </row>
    <row r="969" ht="15.75" customHeight="1">
      <c r="E969" s="84"/>
      <c r="J969" s="84"/>
      <c r="L969" s="84"/>
      <c r="M969" s="84"/>
      <c r="O969" s="84"/>
      <c r="R969" s="84"/>
    </row>
    <row r="970" ht="15.75" customHeight="1">
      <c r="E970" s="84"/>
      <c r="J970" s="84"/>
      <c r="L970" s="84"/>
      <c r="M970" s="84"/>
      <c r="O970" s="84"/>
      <c r="R970" s="84"/>
    </row>
    <row r="971" ht="15.75" customHeight="1">
      <c r="E971" s="84"/>
      <c r="J971" s="84"/>
      <c r="L971" s="84"/>
      <c r="M971" s="84"/>
      <c r="O971" s="84"/>
      <c r="R971" s="84"/>
    </row>
    <row r="972" ht="15.75" customHeight="1">
      <c r="E972" s="84"/>
      <c r="J972" s="84"/>
      <c r="L972" s="84"/>
      <c r="M972" s="84"/>
      <c r="O972" s="84"/>
      <c r="R972" s="84"/>
    </row>
    <row r="973" ht="15.75" customHeight="1">
      <c r="E973" s="84"/>
      <c r="J973" s="84"/>
      <c r="L973" s="84"/>
      <c r="M973" s="84"/>
      <c r="O973" s="84"/>
      <c r="R973" s="84"/>
    </row>
    <row r="974" ht="15.75" customHeight="1">
      <c r="E974" s="84"/>
      <c r="J974" s="84"/>
      <c r="L974" s="84"/>
      <c r="M974" s="84"/>
      <c r="O974" s="84"/>
      <c r="R974" s="84"/>
    </row>
    <row r="975" ht="15.75" customHeight="1">
      <c r="E975" s="84"/>
      <c r="J975" s="84"/>
      <c r="L975" s="84"/>
      <c r="M975" s="84"/>
      <c r="O975" s="84"/>
      <c r="R975" s="84"/>
    </row>
    <row r="976" ht="15.75" customHeight="1">
      <c r="E976" s="84"/>
      <c r="J976" s="84"/>
      <c r="L976" s="84"/>
      <c r="M976" s="84"/>
      <c r="O976" s="84"/>
      <c r="R976" s="84"/>
    </row>
    <row r="977" ht="15.75" customHeight="1">
      <c r="E977" s="84"/>
      <c r="J977" s="84"/>
      <c r="L977" s="84"/>
      <c r="M977" s="84"/>
      <c r="O977" s="84"/>
      <c r="R977" s="84"/>
    </row>
    <row r="978" ht="15.75" customHeight="1">
      <c r="E978" s="84"/>
      <c r="J978" s="84"/>
      <c r="L978" s="84"/>
      <c r="M978" s="84"/>
      <c r="O978" s="84"/>
      <c r="R978" s="84"/>
    </row>
    <row r="979" ht="15.75" customHeight="1">
      <c r="E979" s="84"/>
      <c r="J979" s="84"/>
      <c r="L979" s="84"/>
      <c r="M979" s="84"/>
      <c r="O979" s="84"/>
      <c r="R979" s="84"/>
    </row>
    <row r="980" ht="15.75" customHeight="1">
      <c r="E980" s="84"/>
      <c r="J980" s="84"/>
      <c r="L980" s="84"/>
      <c r="M980" s="84"/>
      <c r="O980" s="84"/>
      <c r="R980" s="84"/>
    </row>
    <row r="981" ht="15.75" customHeight="1">
      <c r="E981" s="84"/>
      <c r="J981" s="84"/>
      <c r="L981" s="84"/>
      <c r="M981" s="84"/>
      <c r="O981" s="84"/>
      <c r="R981" s="84"/>
    </row>
    <row r="982" ht="15.75" customHeight="1">
      <c r="E982" s="84"/>
      <c r="J982" s="84"/>
      <c r="L982" s="84"/>
      <c r="M982" s="84"/>
      <c r="O982" s="84"/>
      <c r="R982" s="84"/>
    </row>
    <row r="983" ht="15.75" customHeight="1">
      <c r="E983" s="84"/>
      <c r="J983" s="84"/>
      <c r="L983" s="84"/>
      <c r="M983" s="84"/>
      <c r="O983" s="84"/>
      <c r="R983" s="84"/>
    </row>
    <row r="984" ht="15.75" customHeight="1">
      <c r="E984" s="84"/>
      <c r="J984" s="84"/>
      <c r="L984" s="84"/>
      <c r="M984" s="84"/>
      <c r="O984" s="84"/>
      <c r="R984" s="84"/>
    </row>
    <row r="985" ht="15.75" customHeight="1">
      <c r="E985" s="84"/>
      <c r="J985" s="84"/>
      <c r="L985" s="84"/>
      <c r="M985" s="84"/>
      <c r="O985" s="84"/>
      <c r="R985" s="84"/>
    </row>
    <row r="986" ht="15.75" customHeight="1">
      <c r="E986" s="84"/>
      <c r="J986" s="84"/>
      <c r="L986" s="84"/>
      <c r="M986" s="84"/>
      <c r="O986" s="84"/>
      <c r="R986" s="84"/>
    </row>
    <row r="987" ht="15.75" customHeight="1">
      <c r="E987" s="84"/>
      <c r="J987" s="84"/>
      <c r="L987" s="84"/>
      <c r="M987" s="84"/>
      <c r="O987" s="84"/>
      <c r="R987" s="84"/>
    </row>
    <row r="988" ht="15.75" customHeight="1">
      <c r="E988" s="84"/>
      <c r="J988" s="84"/>
      <c r="L988" s="84"/>
      <c r="M988" s="84"/>
      <c r="O988" s="84"/>
      <c r="R988" s="84"/>
    </row>
    <row r="989" ht="15.75" customHeight="1">
      <c r="E989" s="84"/>
      <c r="J989" s="84"/>
      <c r="L989" s="84"/>
      <c r="M989" s="84"/>
      <c r="O989" s="84"/>
      <c r="R989" s="84"/>
    </row>
    <row r="990" ht="15.75" customHeight="1">
      <c r="E990" s="84"/>
      <c r="J990" s="84"/>
      <c r="L990" s="84"/>
      <c r="M990" s="84"/>
      <c r="O990" s="84"/>
      <c r="R990" s="84"/>
    </row>
    <row r="991" ht="15.75" customHeight="1">
      <c r="E991" s="84"/>
      <c r="J991" s="84"/>
      <c r="L991" s="84"/>
      <c r="M991" s="84"/>
      <c r="O991" s="84"/>
      <c r="R991" s="84"/>
    </row>
    <row r="992" ht="15.75" customHeight="1">
      <c r="E992" s="84"/>
      <c r="J992" s="84"/>
      <c r="L992" s="84"/>
      <c r="M992" s="84"/>
      <c r="O992" s="84"/>
      <c r="R992" s="84"/>
    </row>
    <row r="993" ht="15.75" customHeight="1">
      <c r="E993" s="84"/>
      <c r="J993" s="84"/>
      <c r="L993" s="84"/>
      <c r="M993" s="84"/>
      <c r="O993" s="84"/>
      <c r="R993" s="84"/>
    </row>
    <row r="994" ht="15.75" customHeight="1">
      <c r="E994" s="84"/>
      <c r="J994" s="84"/>
      <c r="L994" s="84"/>
      <c r="M994" s="84"/>
      <c r="O994" s="84"/>
      <c r="R994" s="84"/>
    </row>
    <row r="995" ht="15.75" customHeight="1">
      <c r="E995" s="84"/>
      <c r="J995" s="84"/>
      <c r="L995" s="84"/>
      <c r="M995" s="84"/>
      <c r="O995" s="84"/>
      <c r="R995" s="84"/>
    </row>
    <row r="996" ht="15.75" customHeight="1">
      <c r="E996" s="84"/>
      <c r="J996" s="84"/>
      <c r="L996" s="84"/>
      <c r="M996" s="84"/>
      <c r="O996" s="84"/>
      <c r="R996" s="84"/>
    </row>
    <row r="997" ht="15.75" customHeight="1">
      <c r="E997" s="84"/>
      <c r="J997" s="84"/>
      <c r="L997" s="84"/>
      <c r="M997" s="84"/>
      <c r="O997" s="84"/>
      <c r="R997" s="84"/>
    </row>
    <row r="998" ht="15.75" customHeight="1">
      <c r="E998" s="84"/>
      <c r="J998" s="84"/>
      <c r="L998" s="84"/>
      <c r="M998" s="84"/>
      <c r="O998" s="84"/>
      <c r="R998" s="84"/>
    </row>
    <row r="999" ht="15.75" customHeight="1">
      <c r="E999" s="84"/>
      <c r="J999" s="84"/>
      <c r="L999" s="84"/>
      <c r="M999" s="84"/>
      <c r="O999" s="84"/>
      <c r="R999" s="84"/>
    </row>
    <row r="1000" ht="15.75" customHeight="1">
      <c r="E1000" s="84"/>
      <c r="J1000" s="84"/>
      <c r="L1000" s="84"/>
      <c r="M1000" s="84"/>
      <c r="O1000" s="84"/>
      <c r="R1000" s="84"/>
    </row>
  </sheetData>
  <mergeCells count="15">
    <mergeCell ref="P2:Q2"/>
    <mergeCell ref="P3:Q3"/>
    <mergeCell ref="P1:Q1"/>
    <mergeCell ref="P4:Q4"/>
    <mergeCell ref="P5:Q5"/>
    <mergeCell ref="A5:B5"/>
    <mergeCell ref="A7:A28"/>
    <mergeCell ref="B7:B28"/>
    <mergeCell ref="A1:B1"/>
    <mergeCell ref="J1:K1"/>
    <mergeCell ref="L1:M1"/>
    <mergeCell ref="N1:O1"/>
    <mergeCell ref="A2:B2"/>
    <mergeCell ref="A3:B3"/>
    <mergeCell ref="A4:B4"/>
  </mergeCells>
  <dataValidations>
    <dataValidation type="list" allowBlank="1" showErrorMessage="1" sqref="E7:E1000">
      <formula1>"UI,API,PL/SQL,DB"</formula1>
    </dataValidation>
    <dataValidation type="list" allowBlank="1" showErrorMessage="1" sqref="M8:M17 M19:M1000">
      <formula1>"High,Medium,Low"</formula1>
    </dataValidation>
    <dataValidation type="list" allowBlank="1" sqref="J7 J18 J29:J1000 R29:R1000">
      <formula1>"PASS,FAIL,NT"</formula1>
    </dataValidation>
    <dataValidation type="list" allowBlank="1" showErrorMessage="1" sqref="O7:O1000">
      <formula1>"Accepted,Rejected"</formula1>
    </dataValidation>
    <dataValidation type="list" allowBlank="1" sqref="L8:L17 L19:L1000">
      <formula1>"Critical,High,Medium,Low"</formula1>
    </dataValidation>
  </dataValidations>
  <hyperlinks>
    <hyperlink display="18218" location="'18218'!A1" ref="E5"/>
    <hyperlink r:id="rId1" ref="N7"/>
    <hyperlink r:id="rId2" ref="S7"/>
    <hyperlink r:id="rId3" ref="N8"/>
    <hyperlink r:id="rId4" ref="S8"/>
    <hyperlink r:id="rId5" ref="N9"/>
    <hyperlink r:id="rId6" ref="S9"/>
    <hyperlink r:id="rId7" ref="N10"/>
    <hyperlink r:id="rId8" ref="S10"/>
    <hyperlink r:id="rId9" ref="N11"/>
    <hyperlink r:id="rId10" ref="S11"/>
    <hyperlink r:id="rId11" ref="N12"/>
    <hyperlink r:id="rId12" ref="S12"/>
    <hyperlink r:id="rId13" ref="N13"/>
    <hyperlink r:id="rId14" ref="S13"/>
    <hyperlink r:id="rId15" ref="N14"/>
    <hyperlink r:id="rId16" ref="S14"/>
    <hyperlink r:id="rId17" ref="N15"/>
    <hyperlink r:id="rId18" ref="S15"/>
    <hyperlink r:id="rId19" ref="N16"/>
    <hyperlink r:id="rId20" ref="S16"/>
    <hyperlink r:id="rId21" ref="N17"/>
    <hyperlink r:id="rId22" ref="S17"/>
    <hyperlink r:id="rId23" ref="N18"/>
    <hyperlink r:id="rId24" ref="S18"/>
    <hyperlink r:id="rId25" ref="N19"/>
    <hyperlink r:id="rId26" ref="S19"/>
    <hyperlink r:id="rId27" ref="N20"/>
    <hyperlink r:id="rId28" ref="S20"/>
    <hyperlink r:id="rId29" ref="N21"/>
    <hyperlink r:id="rId30" ref="S21"/>
    <hyperlink r:id="rId31" ref="N22"/>
    <hyperlink r:id="rId32" ref="S22"/>
    <hyperlink r:id="rId33" ref="N23"/>
    <hyperlink r:id="rId34" ref="S23"/>
    <hyperlink r:id="rId35" ref="N24"/>
    <hyperlink r:id="rId36" ref="S24"/>
    <hyperlink r:id="rId37" ref="N25"/>
    <hyperlink r:id="rId38" ref="S25"/>
    <hyperlink r:id="rId39" ref="N26"/>
    <hyperlink r:id="rId40" ref="S26"/>
    <hyperlink r:id="rId41" ref="N27"/>
    <hyperlink r:id="rId42" ref="S27"/>
    <hyperlink r:id="rId43" ref="S28"/>
  </hyperlinks>
  <drawing r:id="rId44"/>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6.0" topLeftCell="A7" activePane="bottomLeft" state="frozen"/>
      <selection activeCell="B8" sqref="B8" pane="bottomLeft"/>
    </sheetView>
  </sheetViews>
  <sheetFormatPr customHeight="1" defaultColWidth="12.63" defaultRowHeight="15.0"/>
  <cols>
    <col customWidth="1" min="1" max="3" width="12.63"/>
    <col customWidth="1" min="4" max="4" width="25.5"/>
    <col customWidth="1" min="5" max="5" width="12.63"/>
    <col customWidth="1" min="6" max="6" width="15.5"/>
    <col customWidth="1" min="7" max="7" width="41.25"/>
    <col customWidth="1" min="8" max="8" width="25.63"/>
    <col customWidth="1" min="9" max="9" width="25.38"/>
    <col customWidth="1" min="10" max="10" width="25.63"/>
    <col customWidth="1" min="15" max="15" width="25.25"/>
  </cols>
  <sheetData>
    <row r="1" ht="15.75" customHeight="1">
      <c r="A1" s="3" t="s">
        <v>0</v>
      </c>
      <c r="B1" s="4"/>
      <c r="C1" s="5" t="s">
        <v>6</v>
      </c>
      <c r="D1" s="6" t="s">
        <v>7</v>
      </c>
      <c r="E1" s="9"/>
      <c r="F1" s="4"/>
      <c r="G1" s="6" t="s">
        <v>8</v>
      </c>
      <c r="H1" s="12"/>
      <c r="I1" s="13"/>
      <c r="J1" s="15"/>
      <c r="K1" s="3" t="s">
        <v>14</v>
      </c>
      <c r="L1" s="17"/>
      <c r="M1" s="19" t="s">
        <v>16</v>
      </c>
      <c r="N1" s="4"/>
      <c r="O1" s="3" t="s">
        <v>20</v>
      </c>
      <c r="P1" s="4"/>
      <c r="Q1" s="22"/>
      <c r="R1" s="4"/>
      <c r="S1" s="15"/>
      <c r="T1" s="23"/>
      <c r="U1" s="23"/>
      <c r="V1" s="23"/>
      <c r="W1" s="23"/>
      <c r="X1" s="23"/>
      <c r="Y1" s="23"/>
      <c r="Z1" s="23"/>
      <c r="AA1" s="23"/>
      <c r="AB1" s="23"/>
      <c r="AC1" s="23"/>
      <c r="AD1" s="23"/>
      <c r="AE1" s="23"/>
      <c r="AF1" s="23"/>
      <c r="AG1" s="23"/>
    </row>
    <row r="2" ht="15.75" customHeight="1">
      <c r="A2" s="3" t="s">
        <v>27</v>
      </c>
      <c r="B2" s="4"/>
      <c r="C2" s="15"/>
      <c r="D2" s="6" t="s">
        <v>31</v>
      </c>
      <c r="E2" s="9"/>
      <c r="F2" s="4"/>
      <c r="G2" s="6" t="s">
        <v>32</v>
      </c>
      <c r="H2" s="12"/>
      <c r="I2" s="13"/>
      <c r="J2" s="15"/>
      <c r="K2" s="28" t="s">
        <v>35</v>
      </c>
      <c r="L2" s="37">
        <f>COUNTIF(K7:K1040, "PASS")</f>
        <v>81</v>
      </c>
      <c r="M2" s="39" t="s">
        <v>57</v>
      </c>
      <c r="N2" s="37">
        <f>COUNTIF(M7:M1040, "Critical")</f>
        <v>0</v>
      </c>
      <c r="O2" s="42" t="s">
        <v>63</v>
      </c>
      <c r="P2" s="37">
        <f>COUNTIF(N6:N1039, "High")</f>
        <v>0</v>
      </c>
      <c r="Q2" s="22"/>
      <c r="R2" s="4"/>
      <c r="S2" s="15"/>
      <c r="T2" s="23"/>
      <c r="U2" s="23"/>
      <c r="V2" s="23"/>
      <c r="W2" s="23"/>
      <c r="X2" s="23"/>
      <c r="Y2" s="23"/>
      <c r="Z2" s="23"/>
      <c r="AA2" s="23"/>
      <c r="AB2" s="23"/>
      <c r="AC2" s="23"/>
      <c r="AD2" s="23"/>
      <c r="AE2" s="23"/>
      <c r="AF2" s="23"/>
      <c r="AG2" s="23"/>
    </row>
    <row r="3" ht="15.75" customHeight="1">
      <c r="A3" s="3" t="s">
        <v>67</v>
      </c>
      <c r="B3" s="4"/>
      <c r="C3" s="44" t="s">
        <v>76</v>
      </c>
      <c r="D3" s="6" t="s">
        <v>71</v>
      </c>
      <c r="E3" s="46" t="s">
        <v>72</v>
      </c>
      <c r="F3" s="4"/>
      <c r="G3" s="13"/>
      <c r="H3" s="15"/>
      <c r="I3" s="13"/>
      <c r="J3" s="15"/>
      <c r="K3" s="39" t="s">
        <v>77</v>
      </c>
      <c r="L3" s="37">
        <f>COUNTIF(K7:K1040, "FAIL")</f>
        <v>0</v>
      </c>
      <c r="M3" s="42" t="s">
        <v>63</v>
      </c>
      <c r="N3" s="37">
        <f>COUNTIF(M7:M1040, "High")</f>
        <v>0</v>
      </c>
      <c r="O3" s="49" t="s">
        <v>81</v>
      </c>
      <c r="P3" s="37">
        <f>COUNTIF(N6:N1039, "Medium")</f>
        <v>0</v>
      </c>
      <c r="Q3" s="22"/>
      <c r="R3" s="4"/>
      <c r="S3" s="15"/>
      <c r="T3" s="23"/>
      <c r="U3" s="23"/>
      <c r="V3" s="23"/>
      <c r="W3" s="23"/>
      <c r="X3" s="23"/>
      <c r="Y3" s="23"/>
      <c r="Z3" s="23"/>
      <c r="AA3" s="23"/>
      <c r="AB3" s="23"/>
      <c r="AC3" s="23"/>
      <c r="AD3" s="23"/>
      <c r="AE3" s="23"/>
      <c r="AF3" s="23"/>
      <c r="AG3" s="23"/>
    </row>
    <row r="4" ht="15.75" customHeight="1">
      <c r="A4" s="3" t="s">
        <v>89</v>
      </c>
      <c r="B4" s="4"/>
      <c r="C4" s="44"/>
      <c r="D4" s="6" t="s">
        <v>91</v>
      </c>
      <c r="E4" s="54"/>
      <c r="F4" s="4"/>
      <c r="G4" s="13"/>
      <c r="H4" s="15"/>
      <c r="I4" s="13"/>
      <c r="J4" s="15"/>
      <c r="K4" s="55" t="s">
        <v>95</v>
      </c>
      <c r="L4" s="37">
        <f>COUNTIF(K7:K1040, "NT")</f>
        <v>0</v>
      </c>
      <c r="M4" s="49" t="s">
        <v>81</v>
      </c>
      <c r="N4" s="37">
        <f>COUNTIF(M7:M1040, "Medium")</f>
        <v>0</v>
      </c>
      <c r="O4" s="57" t="s">
        <v>101</v>
      </c>
      <c r="P4" s="37">
        <f>COUNTIF(N6:N1040, "Low")</f>
        <v>0</v>
      </c>
      <c r="Q4" s="22"/>
      <c r="R4" s="4"/>
      <c r="S4" s="15"/>
      <c r="T4" s="23"/>
      <c r="U4" s="23"/>
      <c r="V4" s="23"/>
      <c r="W4" s="23"/>
      <c r="X4" s="23"/>
      <c r="Y4" s="23"/>
      <c r="Z4" s="23"/>
      <c r="AA4" s="23"/>
      <c r="AB4" s="23"/>
      <c r="AC4" s="23"/>
      <c r="AD4" s="23"/>
      <c r="AE4" s="23"/>
      <c r="AF4" s="23"/>
      <c r="AG4" s="23"/>
    </row>
    <row r="5" ht="15.75" customHeight="1">
      <c r="A5" s="3" t="s">
        <v>105</v>
      </c>
      <c r="B5" s="4"/>
      <c r="C5" s="44"/>
      <c r="D5" s="6" t="s">
        <v>106</v>
      </c>
      <c r="E5" s="61" t="s">
        <v>108</v>
      </c>
      <c r="F5" s="4"/>
      <c r="G5" s="22"/>
      <c r="H5" s="17"/>
      <c r="I5" s="17"/>
      <c r="J5" s="4"/>
      <c r="K5" s="62" t="s">
        <v>109</v>
      </c>
      <c r="L5" s="37">
        <f>SUM(L2,L3,L4)</f>
        <v>81</v>
      </c>
      <c r="M5" s="57" t="s">
        <v>101</v>
      </c>
      <c r="N5" s="37">
        <f>COUNTIF(M7:M1041, "Low")</f>
        <v>0</v>
      </c>
      <c r="O5" s="64" t="s">
        <v>110</v>
      </c>
      <c r="P5" s="37">
        <f>COUNTIF(P7:P1040, "Accepted")</f>
        <v>0</v>
      </c>
      <c r="Q5" s="22"/>
      <c r="R5" s="4"/>
      <c r="S5" s="15"/>
      <c r="T5" s="23"/>
      <c r="U5" s="23"/>
      <c r="V5" s="23"/>
      <c r="W5" s="23"/>
      <c r="X5" s="23"/>
      <c r="Y5" s="23"/>
      <c r="Z5" s="23"/>
      <c r="AA5" s="23"/>
      <c r="AB5" s="23"/>
      <c r="AC5" s="23"/>
      <c r="AD5" s="23"/>
      <c r="AE5" s="23"/>
      <c r="AF5" s="23"/>
      <c r="AG5" s="23"/>
    </row>
    <row r="6" ht="15.75" customHeight="1">
      <c r="A6" s="66" t="s">
        <v>111</v>
      </c>
      <c r="B6" s="66" t="s">
        <v>112</v>
      </c>
      <c r="C6" s="66" t="s">
        <v>113</v>
      </c>
      <c r="D6" s="66" t="s">
        <v>114</v>
      </c>
      <c r="E6" s="66" t="s">
        <v>115</v>
      </c>
      <c r="F6" s="66" t="s">
        <v>121</v>
      </c>
      <c r="G6" s="66" t="s">
        <v>116</v>
      </c>
      <c r="H6" s="66" t="s">
        <v>117</v>
      </c>
      <c r="I6" s="66" t="s">
        <v>118</v>
      </c>
      <c r="J6" s="66" t="s">
        <v>119</v>
      </c>
      <c r="K6" s="67" t="s">
        <v>120</v>
      </c>
      <c r="L6" s="67" t="s">
        <v>122</v>
      </c>
      <c r="M6" s="66" t="s">
        <v>16</v>
      </c>
      <c r="N6" s="66" t="s">
        <v>20</v>
      </c>
      <c r="O6" s="66" t="s">
        <v>123</v>
      </c>
      <c r="P6" s="67" t="s">
        <v>124</v>
      </c>
      <c r="Q6" s="67" t="s">
        <v>125</v>
      </c>
      <c r="R6" s="67" t="s">
        <v>126</v>
      </c>
      <c r="S6" s="67" t="s">
        <v>127</v>
      </c>
      <c r="T6" s="23"/>
      <c r="U6" s="23"/>
      <c r="V6" s="23"/>
      <c r="W6" s="23"/>
      <c r="X6" s="23"/>
      <c r="Y6" s="23"/>
      <c r="Z6" s="23"/>
      <c r="AA6" s="23"/>
      <c r="AB6" s="23"/>
      <c r="AC6" s="23"/>
      <c r="AD6" s="23"/>
      <c r="AE6" s="23"/>
      <c r="AF6" s="23"/>
      <c r="AG6" s="23"/>
    </row>
    <row r="7" ht="15.75" customHeight="1">
      <c r="A7" s="70" t="s">
        <v>128</v>
      </c>
      <c r="B7" s="72" t="s">
        <v>132</v>
      </c>
      <c r="C7" s="5" t="s">
        <v>140</v>
      </c>
      <c r="D7" s="15" t="s">
        <v>141</v>
      </c>
      <c r="E7" s="5" t="s">
        <v>135</v>
      </c>
      <c r="F7" s="74"/>
      <c r="G7" s="15" t="s">
        <v>143</v>
      </c>
      <c r="H7" s="15" t="s">
        <v>144</v>
      </c>
      <c r="I7" s="15" t="s">
        <v>145</v>
      </c>
      <c r="J7" s="15" t="s">
        <v>146</v>
      </c>
      <c r="K7" s="28" t="s">
        <v>35</v>
      </c>
      <c r="L7" s="15"/>
      <c r="M7" s="74"/>
      <c r="N7" s="74"/>
      <c r="O7" s="75" t="s">
        <v>147</v>
      </c>
      <c r="P7" s="74"/>
      <c r="Q7" s="15"/>
      <c r="R7" s="15"/>
      <c r="S7" s="74"/>
      <c r="T7" s="23"/>
      <c r="U7" s="23"/>
      <c r="V7" s="23"/>
      <c r="W7" s="23"/>
      <c r="X7" s="23"/>
      <c r="Y7" s="23"/>
      <c r="Z7" s="23"/>
      <c r="AA7" s="23"/>
      <c r="AB7" s="23"/>
      <c r="AC7" s="23"/>
      <c r="AD7" s="23"/>
      <c r="AE7" s="23"/>
      <c r="AF7" s="23"/>
      <c r="AG7" s="23"/>
    </row>
    <row r="8" ht="15.75" customHeight="1">
      <c r="A8" s="78"/>
      <c r="B8" s="78"/>
      <c r="C8" s="5" t="s">
        <v>148</v>
      </c>
      <c r="D8" s="15" t="s">
        <v>149</v>
      </c>
      <c r="E8" s="5" t="s">
        <v>135</v>
      </c>
      <c r="F8" s="74"/>
      <c r="G8" s="15" t="s">
        <v>151</v>
      </c>
      <c r="H8" s="15" t="s">
        <v>152</v>
      </c>
      <c r="I8" s="15" t="s">
        <v>153</v>
      </c>
      <c r="J8" s="15" t="s">
        <v>154</v>
      </c>
      <c r="K8" s="28" t="s">
        <v>35</v>
      </c>
      <c r="L8" s="15"/>
      <c r="M8" s="74"/>
      <c r="N8" s="74"/>
      <c r="O8" s="75" t="s">
        <v>155</v>
      </c>
      <c r="P8" s="74"/>
      <c r="Q8" s="15"/>
      <c r="R8" s="15"/>
      <c r="S8" s="15"/>
      <c r="T8" s="23"/>
      <c r="U8" s="23"/>
      <c r="V8" s="23"/>
      <c r="W8" s="23"/>
      <c r="X8" s="23"/>
      <c r="Y8" s="23"/>
      <c r="Z8" s="23"/>
      <c r="AA8" s="23"/>
      <c r="AB8" s="23"/>
      <c r="AC8" s="23"/>
      <c r="AD8" s="23"/>
      <c r="AE8" s="23"/>
      <c r="AF8" s="23"/>
      <c r="AG8" s="23"/>
    </row>
    <row r="9" ht="15.75" customHeight="1">
      <c r="A9" s="78"/>
      <c r="B9" s="78"/>
      <c r="C9" s="5" t="s">
        <v>162</v>
      </c>
      <c r="D9" s="15" t="s">
        <v>164</v>
      </c>
      <c r="E9" s="5" t="s">
        <v>135</v>
      </c>
      <c r="F9" s="74"/>
      <c r="G9" s="15" t="s">
        <v>165</v>
      </c>
      <c r="H9" s="15" t="s">
        <v>166</v>
      </c>
      <c r="I9" s="15" t="s">
        <v>167</v>
      </c>
      <c r="J9" s="15" t="s">
        <v>168</v>
      </c>
      <c r="K9" s="28" t="s">
        <v>35</v>
      </c>
      <c r="L9" s="15"/>
      <c r="M9" s="74"/>
      <c r="N9" s="74"/>
      <c r="O9" s="75" t="s">
        <v>169</v>
      </c>
      <c r="P9" s="15"/>
      <c r="Q9" s="15"/>
      <c r="R9" s="15"/>
      <c r="S9" s="15"/>
      <c r="T9" s="23"/>
      <c r="U9" s="23"/>
      <c r="V9" s="23"/>
      <c r="W9" s="23"/>
      <c r="X9" s="23"/>
      <c r="Y9" s="23"/>
      <c r="Z9" s="23"/>
      <c r="AA9" s="23"/>
      <c r="AB9" s="23"/>
      <c r="AC9" s="23"/>
      <c r="AD9" s="23"/>
      <c r="AE9" s="23"/>
      <c r="AF9" s="23"/>
      <c r="AG9" s="23"/>
    </row>
    <row r="10" ht="15.75" customHeight="1">
      <c r="A10" s="78"/>
      <c r="B10" s="78"/>
      <c r="C10" s="5" t="s">
        <v>172</v>
      </c>
      <c r="D10" s="15" t="s">
        <v>174</v>
      </c>
      <c r="E10" s="5" t="s">
        <v>135</v>
      </c>
      <c r="F10" s="15"/>
      <c r="G10" s="15" t="s">
        <v>175</v>
      </c>
      <c r="H10" s="15" t="s">
        <v>176</v>
      </c>
      <c r="I10" s="15" t="s">
        <v>178</v>
      </c>
      <c r="J10" s="15" t="s">
        <v>180</v>
      </c>
      <c r="K10" s="28" t="s">
        <v>35</v>
      </c>
      <c r="L10" s="15"/>
      <c r="M10" s="74"/>
      <c r="N10" s="15"/>
      <c r="O10" s="75" t="s">
        <v>183</v>
      </c>
      <c r="P10" s="15"/>
      <c r="Q10" s="15"/>
      <c r="R10" s="15"/>
      <c r="S10" s="15"/>
      <c r="T10" s="23"/>
      <c r="U10" s="23"/>
      <c r="V10" s="23"/>
      <c r="W10" s="23"/>
      <c r="X10" s="23"/>
      <c r="Y10" s="23"/>
      <c r="Z10" s="23"/>
      <c r="AA10" s="23"/>
      <c r="AB10" s="23"/>
      <c r="AC10" s="23"/>
      <c r="AD10" s="23"/>
      <c r="AE10" s="23"/>
      <c r="AF10" s="23"/>
      <c r="AG10" s="23"/>
    </row>
    <row r="11" ht="15.75" customHeight="1">
      <c r="A11" s="78"/>
      <c r="B11" s="78"/>
      <c r="C11" s="5" t="s">
        <v>185</v>
      </c>
      <c r="D11" s="15" t="s">
        <v>186</v>
      </c>
      <c r="E11" s="5" t="s">
        <v>135</v>
      </c>
      <c r="F11" s="15"/>
      <c r="G11" s="15" t="s">
        <v>187</v>
      </c>
      <c r="H11" s="15" t="s">
        <v>188</v>
      </c>
      <c r="I11" s="15" t="s">
        <v>189</v>
      </c>
      <c r="J11" s="15" t="s">
        <v>190</v>
      </c>
      <c r="K11" s="28" t="s">
        <v>35</v>
      </c>
      <c r="L11" s="15"/>
      <c r="M11" s="74"/>
      <c r="N11" s="15"/>
      <c r="O11" s="75" t="s">
        <v>191</v>
      </c>
      <c r="P11" s="15"/>
      <c r="Q11" s="15"/>
      <c r="R11" s="15"/>
      <c r="S11" s="15"/>
      <c r="T11" s="23"/>
      <c r="U11" s="23"/>
      <c r="V11" s="23"/>
      <c r="W11" s="23"/>
      <c r="X11" s="23"/>
      <c r="Y11" s="23"/>
      <c r="Z11" s="23"/>
      <c r="AA11" s="23"/>
      <c r="AB11" s="23"/>
      <c r="AC11" s="23"/>
      <c r="AD11" s="23"/>
      <c r="AE11" s="23"/>
      <c r="AF11" s="23"/>
      <c r="AG11" s="23"/>
    </row>
    <row r="12" ht="15.75" customHeight="1">
      <c r="A12" s="78"/>
      <c r="B12" s="78"/>
      <c r="C12" s="5" t="s">
        <v>192</v>
      </c>
      <c r="D12" s="15" t="s">
        <v>193</v>
      </c>
      <c r="E12" s="5" t="s">
        <v>135</v>
      </c>
      <c r="F12" s="15"/>
      <c r="G12" s="15" t="s">
        <v>195</v>
      </c>
      <c r="H12" s="15" t="s">
        <v>196</v>
      </c>
      <c r="I12" s="15" t="s">
        <v>197</v>
      </c>
      <c r="J12" s="15" t="s">
        <v>198</v>
      </c>
      <c r="K12" s="28" t="s">
        <v>35</v>
      </c>
      <c r="L12" s="15"/>
      <c r="M12" s="15"/>
      <c r="N12" s="15"/>
      <c r="O12" s="75" t="s">
        <v>199</v>
      </c>
      <c r="P12" s="15"/>
      <c r="Q12" s="15"/>
      <c r="R12" s="15"/>
      <c r="S12" s="15"/>
      <c r="T12" s="23"/>
      <c r="U12" s="23"/>
      <c r="V12" s="23"/>
      <c r="W12" s="23"/>
      <c r="X12" s="23"/>
      <c r="Y12" s="23"/>
      <c r="Z12" s="23"/>
      <c r="AA12" s="23"/>
      <c r="AB12" s="23"/>
      <c r="AC12" s="23"/>
      <c r="AD12" s="23"/>
      <c r="AE12" s="23"/>
      <c r="AF12" s="23"/>
      <c r="AG12" s="23"/>
    </row>
    <row r="13" ht="15.75" customHeight="1">
      <c r="A13" s="78"/>
      <c r="B13" s="78"/>
      <c r="C13" s="5" t="s">
        <v>204</v>
      </c>
      <c r="D13" s="15" t="s">
        <v>207</v>
      </c>
      <c r="E13" s="5" t="s">
        <v>135</v>
      </c>
      <c r="F13" s="15"/>
      <c r="G13" s="15" t="s">
        <v>195</v>
      </c>
      <c r="H13" s="15" t="s">
        <v>208</v>
      </c>
      <c r="I13" s="15" t="s">
        <v>197</v>
      </c>
      <c r="J13" s="15" t="s">
        <v>209</v>
      </c>
      <c r="K13" s="28" t="s">
        <v>35</v>
      </c>
      <c r="L13" s="15"/>
      <c r="M13" s="15"/>
      <c r="N13" s="15"/>
      <c r="O13" s="75" t="s">
        <v>211</v>
      </c>
      <c r="P13" s="15"/>
      <c r="Q13" s="15"/>
      <c r="R13" s="15"/>
      <c r="S13" s="15"/>
      <c r="T13" s="23"/>
      <c r="U13" s="23"/>
      <c r="V13" s="23"/>
      <c r="W13" s="23"/>
      <c r="X13" s="23"/>
      <c r="Y13" s="23"/>
      <c r="Z13" s="23"/>
      <c r="AA13" s="23"/>
      <c r="AB13" s="23"/>
      <c r="AC13" s="23"/>
      <c r="AD13" s="23"/>
      <c r="AE13" s="23"/>
      <c r="AF13" s="23"/>
      <c r="AG13" s="23"/>
    </row>
    <row r="14" ht="15.75" customHeight="1">
      <c r="A14" s="78"/>
      <c r="B14" s="78"/>
      <c r="C14" s="5" t="s">
        <v>213</v>
      </c>
      <c r="D14" s="15" t="s">
        <v>214</v>
      </c>
      <c r="E14" s="5" t="s">
        <v>135</v>
      </c>
      <c r="F14" s="15"/>
      <c r="G14" s="15" t="s">
        <v>195</v>
      </c>
      <c r="H14" s="15" t="s">
        <v>215</v>
      </c>
      <c r="I14" s="15" t="s">
        <v>197</v>
      </c>
      <c r="J14" s="15" t="s">
        <v>209</v>
      </c>
      <c r="K14" s="28" t="s">
        <v>35</v>
      </c>
      <c r="L14" s="15"/>
      <c r="M14" s="15"/>
      <c r="N14" s="15"/>
      <c r="O14" s="75" t="s">
        <v>216</v>
      </c>
      <c r="P14" s="15"/>
      <c r="Q14" s="15"/>
      <c r="R14" s="15"/>
      <c r="S14" s="15"/>
      <c r="T14" s="23"/>
      <c r="U14" s="23"/>
      <c r="V14" s="23"/>
      <c r="W14" s="23"/>
      <c r="X14" s="23"/>
      <c r="Y14" s="23"/>
      <c r="Z14" s="23"/>
      <c r="AA14" s="23"/>
      <c r="AB14" s="23"/>
      <c r="AC14" s="23"/>
      <c r="AD14" s="23"/>
      <c r="AE14" s="23"/>
      <c r="AF14" s="23"/>
      <c r="AG14" s="23"/>
    </row>
    <row r="15" ht="15.75" customHeight="1">
      <c r="A15" s="78"/>
      <c r="B15" s="78"/>
      <c r="C15" s="5" t="s">
        <v>224</v>
      </c>
      <c r="D15" s="15" t="s">
        <v>225</v>
      </c>
      <c r="E15" s="5" t="s">
        <v>135</v>
      </c>
      <c r="F15" s="15"/>
      <c r="G15" s="15" t="s">
        <v>195</v>
      </c>
      <c r="H15" s="15" t="s">
        <v>226</v>
      </c>
      <c r="I15" s="15" t="s">
        <v>197</v>
      </c>
      <c r="J15" s="15" t="s">
        <v>209</v>
      </c>
      <c r="K15" s="28" t="s">
        <v>35</v>
      </c>
      <c r="L15" s="15"/>
      <c r="M15" s="15"/>
      <c r="N15" s="15"/>
      <c r="O15" s="75" t="s">
        <v>227</v>
      </c>
      <c r="P15" s="15"/>
      <c r="Q15" s="15"/>
      <c r="R15" s="15"/>
      <c r="S15" s="15"/>
      <c r="T15" s="23"/>
      <c r="U15" s="23"/>
      <c r="V15" s="23"/>
      <c r="W15" s="23"/>
      <c r="X15" s="23"/>
      <c r="Y15" s="23"/>
      <c r="Z15" s="23"/>
      <c r="AA15" s="23"/>
      <c r="AB15" s="23"/>
      <c r="AC15" s="23"/>
      <c r="AD15" s="23"/>
      <c r="AE15" s="23"/>
      <c r="AF15" s="23"/>
      <c r="AG15" s="23"/>
    </row>
    <row r="16" ht="15.75" customHeight="1">
      <c r="A16" s="78"/>
      <c r="B16" s="78"/>
      <c r="C16" s="5" t="s">
        <v>229</v>
      </c>
      <c r="D16" s="15" t="s">
        <v>230</v>
      </c>
      <c r="E16" s="5" t="s">
        <v>135</v>
      </c>
      <c r="F16" s="15"/>
      <c r="G16" s="15" t="s">
        <v>231</v>
      </c>
      <c r="H16" s="15" t="s">
        <v>232</v>
      </c>
      <c r="I16" s="15" t="s">
        <v>233</v>
      </c>
      <c r="J16" s="15" t="s">
        <v>209</v>
      </c>
      <c r="K16" s="28" t="s">
        <v>35</v>
      </c>
      <c r="L16" s="15"/>
      <c r="M16" s="15"/>
      <c r="N16" s="15"/>
      <c r="O16" s="75" t="s">
        <v>235</v>
      </c>
      <c r="P16" s="15"/>
      <c r="Q16" s="15"/>
      <c r="R16" s="15"/>
      <c r="S16" s="15"/>
      <c r="T16" s="23"/>
      <c r="U16" s="23"/>
      <c r="V16" s="23"/>
      <c r="W16" s="23"/>
      <c r="X16" s="23"/>
      <c r="Y16" s="23"/>
      <c r="Z16" s="23"/>
      <c r="AA16" s="23"/>
      <c r="AB16" s="23"/>
      <c r="AC16" s="23"/>
      <c r="AD16" s="23"/>
      <c r="AE16" s="23"/>
      <c r="AF16" s="23"/>
      <c r="AG16" s="23"/>
    </row>
    <row r="17" ht="15.75" customHeight="1">
      <c r="A17" s="78"/>
      <c r="B17" s="78"/>
      <c r="C17" s="5" t="s">
        <v>242</v>
      </c>
      <c r="D17" s="15" t="s">
        <v>243</v>
      </c>
      <c r="E17" s="5" t="s">
        <v>135</v>
      </c>
      <c r="F17" s="15"/>
      <c r="G17" s="15" t="s">
        <v>244</v>
      </c>
      <c r="H17" s="15" t="s">
        <v>245</v>
      </c>
      <c r="I17" s="15" t="s">
        <v>246</v>
      </c>
      <c r="J17" s="15" t="s">
        <v>209</v>
      </c>
      <c r="K17" s="28" t="s">
        <v>35</v>
      </c>
      <c r="L17" s="15"/>
      <c r="M17" s="15"/>
      <c r="N17" s="15"/>
      <c r="O17" s="75" t="s">
        <v>248</v>
      </c>
      <c r="P17" s="15"/>
      <c r="Q17" s="15"/>
      <c r="R17" s="15"/>
      <c r="S17" s="15"/>
      <c r="T17" s="23"/>
      <c r="U17" s="23"/>
      <c r="V17" s="23"/>
      <c r="W17" s="23"/>
      <c r="X17" s="23"/>
      <c r="Y17" s="23"/>
      <c r="Z17" s="23"/>
      <c r="AA17" s="23"/>
      <c r="AB17" s="23"/>
      <c r="AC17" s="23"/>
      <c r="AD17" s="23"/>
      <c r="AE17" s="23"/>
      <c r="AF17" s="23"/>
      <c r="AG17" s="23"/>
    </row>
    <row r="18" ht="15.75" customHeight="1">
      <c r="A18" s="78"/>
      <c r="B18" s="78"/>
      <c r="C18" s="5" t="s">
        <v>255</v>
      </c>
      <c r="D18" s="15" t="s">
        <v>256</v>
      </c>
      <c r="E18" s="5" t="s">
        <v>135</v>
      </c>
      <c r="F18" s="15"/>
      <c r="G18" s="15" t="s">
        <v>257</v>
      </c>
      <c r="H18" s="15" t="s">
        <v>258</v>
      </c>
      <c r="I18" s="15" t="s">
        <v>197</v>
      </c>
      <c r="J18" s="15" t="s">
        <v>209</v>
      </c>
      <c r="K18" s="28" t="s">
        <v>35</v>
      </c>
      <c r="L18" s="15"/>
      <c r="M18" s="15"/>
      <c r="N18" s="15"/>
      <c r="O18" s="75" t="s">
        <v>260</v>
      </c>
      <c r="P18" s="15"/>
      <c r="Q18" s="15"/>
      <c r="R18" s="15"/>
      <c r="S18" s="15"/>
      <c r="T18" s="23"/>
      <c r="U18" s="23"/>
      <c r="V18" s="23"/>
      <c r="W18" s="23"/>
      <c r="X18" s="23"/>
      <c r="Y18" s="23"/>
      <c r="Z18" s="23"/>
      <c r="AA18" s="23"/>
      <c r="AB18" s="23"/>
      <c r="AC18" s="23"/>
      <c r="AD18" s="23"/>
      <c r="AE18" s="23"/>
      <c r="AF18" s="23"/>
      <c r="AG18" s="23"/>
    </row>
    <row r="19" ht="15.75" customHeight="1">
      <c r="A19" s="78"/>
      <c r="B19" s="78"/>
      <c r="C19" s="5" t="s">
        <v>262</v>
      </c>
      <c r="D19" s="15" t="s">
        <v>263</v>
      </c>
      <c r="E19" s="5" t="s">
        <v>135</v>
      </c>
      <c r="F19" s="15"/>
      <c r="G19" s="15" t="s">
        <v>264</v>
      </c>
      <c r="H19" s="15" t="s">
        <v>265</v>
      </c>
      <c r="I19" s="15" t="s">
        <v>266</v>
      </c>
      <c r="J19" s="15" t="s">
        <v>267</v>
      </c>
      <c r="K19" s="28" t="s">
        <v>35</v>
      </c>
      <c r="L19" s="15"/>
      <c r="M19" s="15"/>
      <c r="N19" s="15"/>
      <c r="O19" s="75" t="s">
        <v>268</v>
      </c>
      <c r="P19" s="15"/>
      <c r="Q19" s="15"/>
      <c r="R19" s="15"/>
      <c r="S19" s="15"/>
      <c r="T19" s="23"/>
      <c r="U19" s="23"/>
      <c r="V19" s="23"/>
      <c r="W19" s="23"/>
      <c r="X19" s="23"/>
      <c r="Y19" s="23"/>
      <c r="Z19" s="23"/>
      <c r="AA19" s="23"/>
      <c r="AB19" s="23"/>
      <c r="AC19" s="23"/>
      <c r="AD19" s="23"/>
      <c r="AE19" s="23"/>
      <c r="AF19" s="23"/>
      <c r="AG19" s="23"/>
    </row>
    <row r="20" ht="15.75" customHeight="1">
      <c r="A20" s="78"/>
      <c r="B20" s="78"/>
      <c r="C20" s="5" t="s">
        <v>277</v>
      </c>
      <c r="D20" s="15" t="s">
        <v>278</v>
      </c>
      <c r="E20" s="5" t="s">
        <v>135</v>
      </c>
      <c r="F20" s="15"/>
      <c r="G20" s="15" t="s">
        <v>279</v>
      </c>
      <c r="H20" s="15" t="s">
        <v>280</v>
      </c>
      <c r="I20" s="15" t="s">
        <v>281</v>
      </c>
      <c r="J20" s="15" t="s">
        <v>282</v>
      </c>
      <c r="K20" s="28" t="s">
        <v>35</v>
      </c>
      <c r="L20" s="15"/>
      <c r="M20" s="15"/>
      <c r="N20" s="15"/>
      <c r="O20" s="15"/>
      <c r="P20" s="15"/>
      <c r="Q20" s="15"/>
      <c r="R20" s="15"/>
      <c r="S20" s="15"/>
      <c r="T20" s="23"/>
      <c r="U20" s="23"/>
      <c r="V20" s="23"/>
      <c r="W20" s="23"/>
      <c r="X20" s="23"/>
      <c r="Y20" s="23"/>
      <c r="Z20" s="23"/>
      <c r="AA20" s="23"/>
      <c r="AB20" s="23"/>
      <c r="AC20" s="23"/>
      <c r="AD20" s="23"/>
      <c r="AE20" s="23"/>
      <c r="AF20" s="23"/>
      <c r="AG20" s="23"/>
    </row>
    <row r="21" ht="15.75" customHeight="1">
      <c r="A21" s="78"/>
      <c r="B21" s="78"/>
      <c r="C21" s="5" t="s">
        <v>289</v>
      </c>
      <c r="D21" s="15" t="s">
        <v>290</v>
      </c>
      <c r="E21" s="5" t="s">
        <v>135</v>
      </c>
      <c r="F21" s="15"/>
      <c r="G21" s="15" t="s">
        <v>292</v>
      </c>
      <c r="H21" s="15" t="s">
        <v>293</v>
      </c>
      <c r="I21" s="15" t="s">
        <v>294</v>
      </c>
      <c r="J21" s="15" t="s">
        <v>295</v>
      </c>
      <c r="K21" s="28" t="s">
        <v>35</v>
      </c>
      <c r="L21" s="15"/>
      <c r="M21" s="15"/>
      <c r="N21" s="15"/>
      <c r="O21" s="75" t="s">
        <v>296</v>
      </c>
      <c r="P21" s="15"/>
      <c r="Q21" s="15"/>
      <c r="R21" s="15"/>
      <c r="S21" s="15"/>
      <c r="T21" s="23"/>
      <c r="U21" s="23"/>
      <c r="V21" s="23"/>
      <c r="W21" s="23"/>
      <c r="X21" s="23"/>
      <c r="Y21" s="23"/>
      <c r="Z21" s="23"/>
      <c r="AA21" s="23"/>
      <c r="AB21" s="23"/>
      <c r="AC21" s="23"/>
      <c r="AD21" s="23"/>
      <c r="AE21" s="23"/>
      <c r="AF21" s="23"/>
      <c r="AG21" s="23"/>
    </row>
    <row r="22" ht="15.75" customHeight="1">
      <c r="A22" s="78"/>
      <c r="B22" s="78"/>
      <c r="C22" s="5" t="s">
        <v>298</v>
      </c>
      <c r="D22" s="15" t="s">
        <v>299</v>
      </c>
      <c r="E22" s="5" t="s">
        <v>135</v>
      </c>
      <c r="F22" s="15"/>
      <c r="G22" s="15" t="s">
        <v>302</v>
      </c>
      <c r="H22" s="15" t="s">
        <v>303</v>
      </c>
      <c r="I22" s="15" t="s">
        <v>304</v>
      </c>
      <c r="J22" s="15" t="s">
        <v>306</v>
      </c>
      <c r="K22" s="28" t="s">
        <v>35</v>
      </c>
      <c r="L22" s="15"/>
      <c r="M22" s="15"/>
      <c r="N22" s="15"/>
      <c r="O22" s="75" t="s">
        <v>309</v>
      </c>
      <c r="P22" s="15"/>
      <c r="Q22" s="15"/>
      <c r="R22" s="15"/>
      <c r="S22" s="15"/>
      <c r="T22" s="23"/>
      <c r="U22" s="23"/>
      <c r="V22" s="23"/>
      <c r="W22" s="23"/>
      <c r="X22" s="23"/>
      <c r="Y22" s="23"/>
      <c r="Z22" s="23"/>
      <c r="AA22" s="23"/>
      <c r="AB22" s="23"/>
      <c r="AC22" s="23"/>
      <c r="AD22" s="23"/>
      <c r="AE22" s="23"/>
      <c r="AF22" s="23"/>
      <c r="AG22" s="23"/>
    </row>
    <row r="23" ht="15.75" customHeight="1">
      <c r="A23" s="78"/>
      <c r="B23" s="78"/>
      <c r="C23" s="5" t="s">
        <v>310</v>
      </c>
      <c r="D23" s="15" t="s">
        <v>311</v>
      </c>
      <c r="E23" s="5"/>
      <c r="F23" s="15"/>
      <c r="G23" s="15" t="s">
        <v>313</v>
      </c>
      <c r="H23" s="15" t="s">
        <v>314</v>
      </c>
      <c r="I23" s="15" t="s">
        <v>315</v>
      </c>
      <c r="J23" s="15" t="s">
        <v>316</v>
      </c>
      <c r="K23" s="28" t="s">
        <v>35</v>
      </c>
      <c r="L23" s="15"/>
      <c r="M23" s="15"/>
      <c r="N23" s="15"/>
      <c r="O23" s="75" t="s">
        <v>317</v>
      </c>
      <c r="P23" s="15"/>
      <c r="Q23" s="15" t="s">
        <v>318</v>
      </c>
      <c r="R23" s="15"/>
      <c r="S23" s="15"/>
      <c r="T23" s="23"/>
      <c r="U23" s="23"/>
      <c r="V23" s="23"/>
      <c r="W23" s="23"/>
      <c r="X23" s="23"/>
      <c r="Y23" s="23"/>
      <c r="Z23" s="23"/>
      <c r="AA23" s="23"/>
      <c r="AB23" s="23"/>
      <c r="AC23" s="23"/>
      <c r="AD23" s="23"/>
      <c r="AE23" s="23"/>
      <c r="AF23" s="23"/>
      <c r="AG23" s="23"/>
    </row>
    <row r="24" ht="15.75" customHeight="1">
      <c r="A24" s="78"/>
      <c r="B24" s="78"/>
      <c r="C24" s="5" t="s">
        <v>321</v>
      </c>
      <c r="D24" s="15" t="s">
        <v>322</v>
      </c>
      <c r="E24" s="5" t="s">
        <v>135</v>
      </c>
      <c r="F24" s="15"/>
      <c r="G24" s="15" t="s">
        <v>327</v>
      </c>
      <c r="H24" s="15" t="s">
        <v>280</v>
      </c>
      <c r="I24" s="15" t="s">
        <v>281</v>
      </c>
      <c r="J24" s="15" t="s">
        <v>328</v>
      </c>
      <c r="K24" s="28" t="s">
        <v>35</v>
      </c>
      <c r="L24" s="15"/>
      <c r="M24" s="15"/>
      <c r="N24" s="15"/>
      <c r="O24" s="75" t="s">
        <v>330</v>
      </c>
      <c r="P24" s="15"/>
      <c r="Q24" s="15"/>
      <c r="R24" s="15"/>
      <c r="S24" s="15"/>
      <c r="T24" s="23"/>
      <c r="U24" s="23"/>
      <c r="V24" s="23"/>
      <c r="W24" s="23"/>
      <c r="X24" s="23"/>
      <c r="Y24" s="23"/>
      <c r="Z24" s="23"/>
      <c r="AA24" s="23"/>
      <c r="AB24" s="23"/>
      <c r="AC24" s="23"/>
      <c r="AD24" s="23"/>
      <c r="AE24" s="23"/>
      <c r="AF24" s="23"/>
      <c r="AG24" s="23"/>
    </row>
    <row r="25" ht="15.75" customHeight="1">
      <c r="A25" s="78"/>
      <c r="B25" s="78"/>
      <c r="C25" s="5" t="s">
        <v>332</v>
      </c>
      <c r="D25" s="15" t="s">
        <v>333</v>
      </c>
      <c r="E25" s="5" t="s">
        <v>135</v>
      </c>
      <c r="F25" s="15"/>
      <c r="G25" s="15" t="s">
        <v>334</v>
      </c>
      <c r="H25" s="15" t="s">
        <v>335</v>
      </c>
      <c r="I25" s="15" t="s">
        <v>336</v>
      </c>
      <c r="J25" s="15" t="s">
        <v>337</v>
      </c>
      <c r="K25" s="28" t="s">
        <v>35</v>
      </c>
      <c r="L25" s="15"/>
      <c r="M25" s="15"/>
      <c r="N25" s="15"/>
      <c r="O25" s="75" t="s">
        <v>338</v>
      </c>
      <c r="P25" s="15"/>
      <c r="Q25" s="15"/>
      <c r="R25" s="15"/>
      <c r="S25" s="15"/>
      <c r="T25" s="23"/>
      <c r="U25" s="23"/>
      <c r="V25" s="23"/>
      <c r="W25" s="23"/>
      <c r="X25" s="23"/>
      <c r="Y25" s="23"/>
      <c r="Z25" s="23"/>
      <c r="AA25" s="23"/>
      <c r="AB25" s="23"/>
      <c r="AC25" s="23"/>
      <c r="AD25" s="23"/>
      <c r="AE25" s="23"/>
      <c r="AF25" s="23"/>
      <c r="AG25" s="23"/>
    </row>
    <row r="26" ht="15.75" customHeight="1">
      <c r="A26" s="78"/>
      <c r="B26" s="78"/>
      <c r="C26" s="5" t="s">
        <v>345</v>
      </c>
      <c r="D26" s="15" t="s">
        <v>346</v>
      </c>
      <c r="E26" s="5" t="s">
        <v>135</v>
      </c>
      <c r="F26" s="15"/>
      <c r="G26" s="15" t="s">
        <v>347</v>
      </c>
      <c r="H26" s="15"/>
      <c r="I26" s="15" t="s">
        <v>348</v>
      </c>
      <c r="J26" s="15" t="s">
        <v>349</v>
      </c>
      <c r="K26" s="28" t="s">
        <v>35</v>
      </c>
      <c r="L26" s="15"/>
      <c r="M26" s="15"/>
      <c r="N26" s="15"/>
      <c r="O26" s="75" t="s">
        <v>350</v>
      </c>
      <c r="P26" s="15"/>
      <c r="Q26" s="15"/>
      <c r="R26" s="15"/>
      <c r="S26" s="15"/>
      <c r="T26" s="23"/>
      <c r="U26" s="23"/>
      <c r="V26" s="23"/>
      <c r="W26" s="23"/>
      <c r="X26" s="23"/>
      <c r="Y26" s="23"/>
      <c r="Z26" s="23"/>
      <c r="AA26" s="23"/>
      <c r="AB26" s="23"/>
      <c r="AC26" s="23"/>
      <c r="AD26" s="23"/>
      <c r="AE26" s="23"/>
      <c r="AF26" s="23"/>
      <c r="AG26" s="23"/>
    </row>
    <row r="27" ht="15.75" customHeight="1">
      <c r="A27" s="78"/>
      <c r="B27" s="78"/>
      <c r="C27" s="5" t="s">
        <v>352</v>
      </c>
      <c r="D27" s="15" t="s">
        <v>353</v>
      </c>
      <c r="E27" s="5" t="s">
        <v>135</v>
      </c>
      <c r="F27" s="15"/>
      <c r="G27" s="15" t="s">
        <v>195</v>
      </c>
      <c r="H27" s="15" t="s">
        <v>355</v>
      </c>
      <c r="I27" s="15" t="s">
        <v>197</v>
      </c>
      <c r="J27" s="15" t="s">
        <v>209</v>
      </c>
      <c r="K27" s="28" t="s">
        <v>35</v>
      </c>
      <c r="L27" s="15"/>
      <c r="M27" s="15"/>
      <c r="N27" s="15"/>
      <c r="O27" s="75" t="s">
        <v>359</v>
      </c>
      <c r="P27" s="15"/>
      <c r="Q27" s="15"/>
      <c r="R27" s="15"/>
      <c r="S27" s="15"/>
      <c r="T27" s="23"/>
      <c r="U27" s="23"/>
      <c r="V27" s="23"/>
      <c r="W27" s="23"/>
      <c r="X27" s="23"/>
      <c r="Y27" s="23"/>
      <c r="Z27" s="23"/>
      <c r="AA27" s="23"/>
      <c r="AB27" s="23"/>
      <c r="AC27" s="23"/>
      <c r="AD27" s="23"/>
      <c r="AE27" s="23"/>
      <c r="AF27" s="23"/>
      <c r="AG27" s="23"/>
    </row>
    <row r="28" ht="15.75" customHeight="1">
      <c r="A28" s="78"/>
      <c r="B28" s="78"/>
      <c r="C28" s="5" t="s">
        <v>362</v>
      </c>
      <c r="D28" s="15" t="s">
        <v>363</v>
      </c>
      <c r="E28" s="5" t="s">
        <v>135</v>
      </c>
      <c r="F28" s="15"/>
      <c r="G28" s="15" t="s">
        <v>195</v>
      </c>
      <c r="H28" s="15" t="s">
        <v>364</v>
      </c>
      <c r="I28" s="15" t="s">
        <v>197</v>
      </c>
      <c r="J28" s="15" t="s">
        <v>209</v>
      </c>
      <c r="K28" s="28" t="s">
        <v>35</v>
      </c>
      <c r="L28" s="15"/>
      <c r="M28" s="15"/>
      <c r="N28" s="15"/>
      <c r="O28" s="75" t="s">
        <v>365</v>
      </c>
      <c r="P28" s="15"/>
      <c r="Q28" s="15"/>
      <c r="R28" s="15"/>
      <c r="S28" s="15"/>
      <c r="T28" s="23"/>
      <c r="U28" s="23"/>
      <c r="V28" s="23"/>
      <c r="W28" s="23"/>
      <c r="X28" s="23"/>
      <c r="Y28" s="23"/>
      <c r="Z28" s="23"/>
      <c r="AA28" s="23"/>
      <c r="AB28" s="23"/>
      <c r="AC28" s="23"/>
      <c r="AD28" s="23"/>
      <c r="AE28" s="23"/>
      <c r="AF28" s="23"/>
      <c r="AG28" s="23"/>
    </row>
    <row r="29" ht="15.75" customHeight="1">
      <c r="A29" s="78"/>
      <c r="B29" s="78"/>
      <c r="C29" s="5" t="s">
        <v>371</v>
      </c>
      <c r="D29" s="15" t="s">
        <v>372</v>
      </c>
      <c r="E29" s="5" t="s">
        <v>135</v>
      </c>
      <c r="F29" s="15"/>
      <c r="G29" s="15" t="s">
        <v>195</v>
      </c>
      <c r="H29" s="15" t="s">
        <v>373</v>
      </c>
      <c r="I29" s="15" t="s">
        <v>197</v>
      </c>
      <c r="J29" s="15" t="s">
        <v>209</v>
      </c>
      <c r="K29" s="28" t="s">
        <v>35</v>
      </c>
      <c r="L29" s="15"/>
      <c r="M29" s="15"/>
      <c r="N29" s="15"/>
      <c r="O29" s="75" t="s">
        <v>375</v>
      </c>
      <c r="P29" s="15"/>
      <c r="Q29" s="15"/>
      <c r="R29" s="15"/>
      <c r="S29" s="15"/>
      <c r="T29" s="23"/>
      <c r="U29" s="23"/>
      <c r="V29" s="23"/>
      <c r="W29" s="23"/>
      <c r="X29" s="23"/>
      <c r="Y29" s="23"/>
      <c r="Z29" s="23"/>
      <c r="AA29" s="23"/>
      <c r="AB29" s="23"/>
      <c r="AC29" s="23"/>
      <c r="AD29" s="23"/>
      <c r="AE29" s="23"/>
      <c r="AF29" s="23"/>
      <c r="AG29" s="23"/>
    </row>
    <row r="30" ht="15.75" customHeight="1">
      <c r="A30" s="78"/>
      <c r="B30" s="78"/>
      <c r="C30" s="5" t="s">
        <v>378</v>
      </c>
      <c r="D30" s="15" t="s">
        <v>380</v>
      </c>
      <c r="E30" s="5" t="s">
        <v>135</v>
      </c>
      <c r="F30" s="15"/>
      <c r="G30" s="15" t="s">
        <v>195</v>
      </c>
      <c r="H30" s="15" t="s">
        <v>381</v>
      </c>
      <c r="I30" s="15" t="s">
        <v>197</v>
      </c>
      <c r="J30" s="15" t="s">
        <v>209</v>
      </c>
      <c r="K30" s="28" t="s">
        <v>35</v>
      </c>
      <c r="L30" s="15"/>
      <c r="M30" s="15"/>
      <c r="N30" s="15"/>
      <c r="O30" s="75" t="s">
        <v>383</v>
      </c>
      <c r="P30" s="15"/>
      <c r="Q30" s="15"/>
      <c r="R30" s="15"/>
      <c r="S30" s="15"/>
      <c r="T30" s="23"/>
      <c r="U30" s="23"/>
      <c r="V30" s="23"/>
      <c r="W30" s="23"/>
      <c r="X30" s="23"/>
      <c r="Y30" s="23"/>
      <c r="Z30" s="23"/>
      <c r="AA30" s="23"/>
      <c r="AB30" s="23"/>
      <c r="AC30" s="23"/>
      <c r="AD30" s="23"/>
      <c r="AE30" s="23"/>
      <c r="AF30" s="23"/>
      <c r="AG30" s="23"/>
    </row>
    <row r="31" ht="15.75" customHeight="1">
      <c r="A31" s="78"/>
      <c r="B31" s="78"/>
      <c r="C31" s="5" t="s">
        <v>385</v>
      </c>
      <c r="D31" s="15" t="s">
        <v>386</v>
      </c>
      <c r="E31" s="5" t="s">
        <v>135</v>
      </c>
      <c r="F31" s="15"/>
      <c r="G31" s="15" t="s">
        <v>195</v>
      </c>
      <c r="H31" s="15" t="s">
        <v>387</v>
      </c>
      <c r="I31" s="15" t="s">
        <v>197</v>
      </c>
      <c r="J31" s="15" t="s">
        <v>209</v>
      </c>
      <c r="K31" s="28" t="s">
        <v>35</v>
      </c>
      <c r="L31" s="15"/>
      <c r="M31" s="15"/>
      <c r="N31" s="15"/>
      <c r="O31" s="75" t="s">
        <v>388</v>
      </c>
      <c r="P31" s="15"/>
      <c r="Q31" s="15"/>
      <c r="R31" s="15"/>
      <c r="S31" s="15"/>
      <c r="T31" s="23"/>
      <c r="U31" s="23"/>
      <c r="V31" s="23"/>
      <c r="W31" s="23"/>
      <c r="X31" s="23"/>
      <c r="Y31" s="23"/>
      <c r="Z31" s="23"/>
      <c r="AA31" s="23"/>
      <c r="AB31" s="23"/>
      <c r="AC31" s="23"/>
      <c r="AD31" s="23"/>
      <c r="AE31" s="23"/>
      <c r="AF31" s="23"/>
      <c r="AG31" s="23"/>
    </row>
    <row r="32" ht="15.75" customHeight="1">
      <c r="A32" s="78"/>
      <c r="B32" s="78"/>
      <c r="C32" s="5" t="s">
        <v>392</v>
      </c>
      <c r="D32" s="15" t="s">
        <v>394</v>
      </c>
      <c r="E32" s="5" t="s">
        <v>135</v>
      </c>
      <c r="F32" s="15"/>
      <c r="G32" s="15" t="s">
        <v>231</v>
      </c>
      <c r="H32" s="15" t="s">
        <v>395</v>
      </c>
      <c r="I32" s="15" t="s">
        <v>396</v>
      </c>
      <c r="J32" s="15" t="s">
        <v>209</v>
      </c>
      <c r="K32" s="28" t="s">
        <v>35</v>
      </c>
      <c r="L32" s="15"/>
      <c r="M32" s="15"/>
      <c r="N32" s="15"/>
      <c r="O32" s="75" t="s">
        <v>398</v>
      </c>
      <c r="P32" s="15"/>
      <c r="Q32" s="15"/>
      <c r="R32" s="15"/>
      <c r="S32" s="15"/>
      <c r="T32" s="23"/>
      <c r="U32" s="23"/>
      <c r="V32" s="23"/>
      <c r="W32" s="23"/>
      <c r="X32" s="23"/>
      <c r="Y32" s="23"/>
      <c r="Z32" s="23"/>
      <c r="AA32" s="23"/>
      <c r="AB32" s="23"/>
      <c r="AC32" s="23"/>
      <c r="AD32" s="23"/>
      <c r="AE32" s="23"/>
      <c r="AF32" s="23"/>
      <c r="AG32" s="23"/>
    </row>
    <row r="33" ht="15.75" customHeight="1">
      <c r="A33" s="78"/>
      <c r="B33" s="78"/>
      <c r="C33" s="5" t="s">
        <v>404</v>
      </c>
      <c r="D33" s="15" t="s">
        <v>405</v>
      </c>
      <c r="E33" s="5" t="s">
        <v>135</v>
      </c>
      <c r="F33" s="15"/>
      <c r="G33" s="15" t="s">
        <v>244</v>
      </c>
      <c r="H33" s="15" t="s">
        <v>406</v>
      </c>
      <c r="I33" s="15" t="s">
        <v>246</v>
      </c>
      <c r="J33" s="15" t="s">
        <v>209</v>
      </c>
      <c r="K33" s="28" t="s">
        <v>35</v>
      </c>
      <c r="L33" s="15"/>
      <c r="M33" s="15"/>
      <c r="N33" s="15"/>
      <c r="O33" s="75" t="s">
        <v>408</v>
      </c>
      <c r="P33" s="15"/>
      <c r="Q33" s="15"/>
      <c r="R33" s="15"/>
      <c r="S33" s="15"/>
      <c r="T33" s="23"/>
      <c r="U33" s="23"/>
      <c r="V33" s="23"/>
      <c r="W33" s="23"/>
      <c r="X33" s="23"/>
      <c r="Y33" s="23"/>
      <c r="Z33" s="23"/>
      <c r="AA33" s="23"/>
      <c r="AB33" s="23"/>
      <c r="AC33" s="23"/>
      <c r="AD33" s="23"/>
      <c r="AE33" s="23"/>
      <c r="AF33" s="23"/>
      <c r="AG33" s="23"/>
    </row>
    <row r="34" ht="15.75" customHeight="1">
      <c r="A34" s="78"/>
      <c r="B34" s="78"/>
      <c r="C34" s="5" t="s">
        <v>414</v>
      </c>
      <c r="D34" s="15" t="s">
        <v>415</v>
      </c>
      <c r="E34" s="5" t="s">
        <v>135</v>
      </c>
      <c r="F34" s="15"/>
      <c r="G34" s="15" t="s">
        <v>257</v>
      </c>
      <c r="H34" s="15" t="s">
        <v>416</v>
      </c>
      <c r="I34" s="15" t="s">
        <v>197</v>
      </c>
      <c r="J34" s="15" t="s">
        <v>209</v>
      </c>
      <c r="K34" s="28" t="s">
        <v>35</v>
      </c>
      <c r="L34" s="15"/>
      <c r="M34" s="15"/>
      <c r="N34" s="15"/>
      <c r="O34" s="75" t="s">
        <v>417</v>
      </c>
      <c r="P34" s="15"/>
      <c r="Q34" s="15"/>
      <c r="R34" s="15"/>
      <c r="S34" s="15"/>
      <c r="T34" s="23"/>
      <c r="U34" s="23"/>
      <c r="V34" s="23"/>
      <c r="W34" s="23"/>
      <c r="X34" s="23"/>
      <c r="Y34" s="23"/>
      <c r="Z34" s="23"/>
      <c r="AA34" s="23"/>
      <c r="AB34" s="23"/>
      <c r="AC34" s="23"/>
      <c r="AD34" s="23"/>
      <c r="AE34" s="23"/>
      <c r="AF34" s="23"/>
      <c r="AG34" s="23"/>
    </row>
    <row r="35" ht="15.75" customHeight="1">
      <c r="A35" s="78"/>
      <c r="B35" s="78"/>
      <c r="C35" s="5" t="s">
        <v>422</v>
      </c>
      <c r="D35" s="15" t="s">
        <v>423</v>
      </c>
      <c r="E35" s="5" t="s">
        <v>135</v>
      </c>
      <c r="F35" s="15"/>
      <c r="G35" s="15" t="s">
        <v>264</v>
      </c>
      <c r="H35" s="15" t="s">
        <v>425</v>
      </c>
      <c r="I35" s="15" t="s">
        <v>266</v>
      </c>
      <c r="J35" s="15" t="s">
        <v>426</v>
      </c>
      <c r="K35" s="28" t="s">
        <v>35</v>
      </c>
      <c r="L35" s="15"/>
      <c r="M35" s="15"/>
      <c r="N35" s="15"/>
      <c r="O35" s="75" t="s">
        <v>427</v>
      </c>
      <c r="P35" s="15"/>
      <c r="Q35" s="15"/>
      <c r="R35" s="15"/>
      <c r="S35" s="15"/>
      <c r="T35" s="23"/>
      <c r="U35" s="23"/>
      <c r="V35" s="23"/>
      <c r="W35" s="23"/>
      <c r="X35" s="23"/>
      <c r="Y35" s="23"/>
      <c r="Z35" s="23"/>
      <c r="AA35" s="23"/>
      <c r="AB35" s="23"/>
      <c r="AC35" s="23"/>
      <c r="AD35" s="23"/>
      <c r="AE35" s="23"/>
      <c r="AF35" s="23"/>
      <c r="AG35" s="23"/>
    </row>
    <row r="36" ht="15.75" customHeight="1">
      <c r="A36" s="78"/>
      <c r="B36" s="78"/>
      <c r="C36" s="5" t="s">
        <v>429</v>
      </c>
      <c r="D36" s="15" t="s">
        <v>430</v>
      </c>
      <c r="E36" s="5" t="s">
        <v>135</v>
      </c>
      <c r="F36" s="15"/>
      <c r="G36" s="15" t="s">
        <v>432</v>
      </c>
      <c r="H36" s="15" t="s">
        <v>433</v>
      </c>
      <c r="I36" s="15" t="s">
        <v>304</v>
      </c>
      <c r="J36" s="15" t="s">
        <v>436</v>
      </c>
      <c r="K36" s="28" t="s">
        <v>35</v>
      </c>
      <c r="L36" s="15"/>
      <c r="M36" s="15"/>
      <c r="N36" s="15"/>
      <c r="O36" s="75" t="s">
        <v>437</v>
      </c>
      <c r="P36" s="15"/>
      <c r="Q36" s="15"/>
      <c r="R36" s="15"/>
      <c r="S36" s="15"/>
      <c r="T36" s="23"/>
      <c r="U36" s="23"/>
      <c r="V36" s="23"/>
      <c r="W36" s="23"/>
      <c r="X36" s="23"/>
      <c r="Y36" s="23"/>
      <c r="Z36" s="23"/>
      <c r="AA36" s="23"/>
      <c r="AB36" s="23"/>
      <c r="AC36" s="23"/>
      <c r="AD36" s="23"/>
      <c r="AE36" s="23"/>
      <c r="AF36" s="23"/>
      <c r="AG36" s="23"/>
    </row>
    <row r="37" ht="15.75" customHeight="1">
      <c r="A37" s="78"/>
      <c r="B37" s="78"/>
      <c r="C37" s="5" t="s">
        <v>440</v>
      </c>
      <c r="D37" s="15" t="s">
        <v>441</v>
      </c>
      <c r="E37" s="5" t="s">
        <v>135</v>
      </c>
      <c r="F37" s="15"/>
      <c r="G37" s="15" t="s">
        <v>442</v>
      </c>
      <c r="H37" s="15" t="s">
        <v>443</v>
      </c>
      <c r="I37" s="15" t="s">
        <v>294</v>
      </c>
      <c r="J37" s="15" t="s">
        <v>295</v>
      </c>
      <c r="K37" s="28" t="s">
        <v>35</v>
      </c>
      <c r="L37" s="15"/>
      <c r="M37" s="15"/>
      <c r="N37" s="15"/>
      <c r="O37" s="75" t="s">
        <v>444</v>
      </c>
      <c r="P37" s="15"/>
      <c r="Q37" s="15"/>
      <c r="R37" s="15"/>
      <c r="S37" s="15"/>
      <c r="T37" s="23"/>
      <c r="U37" s="23"/>
      <c r="V37" s="23"/>
      <c r="W37" s="23"/>
      <c r="X37" s="23"/>
      <c r="Y37" s="23"/>
      <c r="Z37" s="23"/>
      <c r="AA37" s="23"/>
      <c r="AB37" s="23"/>
      <c r="AC37" s="23"/>
      <c r="AD37" s="23"/>
      <c r="AE37" s="23"/>
      <c r="AF37" s="23"/>
      <c r="AG37" s="23"/>
    </row>
    <row r="38" ht="15.75" customHeight="1">
      <c r="A38" s="78"/>
      <c r="B38" s="78"/>
      <c r="C38" s="5" t="s">
        <v>448</v>
      </c>
      <c r="D38" s="15" t="s">
        <v>449</v>
      </c>
      <c r="E38" s="5" t="s">
        <v>135</v>
      </c>
      <c r="F38" s="15"/>
      <c r="G38" s="15" t="s">
        <v>334</v>
      </c>
      <c r="H38" s="15" t="s">
        <v>450</v>
      </c>
      <c r="I38" s="15" t="s">
        <v>336</v>
      </c>
      <c r="J38" s="15"/>
      <c r="K38" s="28" t="s">
        <v>35</v>
      </c>
      <c r="L38" s="15"/>
      <c r="M38" s="15"/>
      <c r="N38" s="15"/>
      <c r="O38" s="75" t="s">
        <v>452</v>
      </c>
      <c r="P38" s="15"/>
      <c r="Q38" s="15"/>
      <c r="R38" s="15"/>
      <c r="S38" s="15"/>
      <c r="T38" s="23"/>
      <c r="U38" s="23"/>
      <c r="V38" s="23"/>
      <c r="W38" s="23"/>
      <c r="X38" s="23"/>
      <c r="Y38" s="23"/>
      <c r="Z38" s="23"/>
      <c r="AA38" s="23"/>
      <c r="AB38" s="23"/>
      <c r="AC38" s="23"/>
      <c r="AD38" s="23"/>
      <c r="AE38" s="23"/>
      <c r="AF38" s="23"/>
      <c r="AG38" s="23"/>
    </row>
    <row r="39" ht="15.75" customHeight="1">
      <c r="A39" s="78"/>
      <c r="B39" s="78"/>
      <c r="C39" s="5" t="s">
        <v>454</v>
      </c>
      <c r="D39" s="15" t="s">
        <v>346</v>
      </c>
      <c r="E39" s="5" t="s">
        <v>135</v>
      </c>
      <c r="F39" s="15"/>
      <c r="G39" s="15" t="s">
        <v>347</v>
      </c>
      <c r="H39" s="15"/>
      <c r="I39" s="15" t="s">
        <v>348</v>
      </c>
      <c r="J39" s="15" t="s">
        <v>349</v>
      </c>
      <c r="K39" s="28" t="s">
        <v>35</v>
      </c>
      <c r="L39" s="15"/>
      <c r="M39" s="15"/>
      <c r="N39" s="15"/>
      <c r="O39" s="75" t="s">
        <v>455</v>
      </c>
      <c r="P39" s="15"/>
      <c r="Q39" s="15"/>
      <c r="R39" s="15"/>
      <c r="S39" s="15"/>
      <c r="T39" s="23"/>
      <c r="U39" s="23"/>
      <c r="V39" s="23"/>
      <c r="W39" s="23"/>
      <c r="X39" s="23"/>
      <c r="Y39" s="23"/>
      <c r="Z39" s="23"/>
      <c r="AA39" s="23"/>
      <c r="AB39" s="23"/>
      <c r="AC39" s="23"/>
      <c r="AD39" s="23"/>
      <c r="AE39" s="23"/>
      <c r="AF39" s="23"/>
      <c r="AG39" s="23"/>
    </row>
    <row r="40" ht="15.75" customHeight="1">
      <c r="A40" s="78"/>
      <c r="B40" s="78"/>
      <c r="C40" s="5" t="s">
        <v>457</v>
      </c>
      <c r="D40" s="15" t="s">
        <v>459</v>
      </c>
      <c r="E40" s="5" t="s">
        <v>135</v>
      </c>
      <c r="F40" s="15"/>
      <c r="G40" s="15" t="s">
        <v>195</v>
      </c>
      <c r="H40" s="15" t="s">
        <v>460</v>
      </c>
      <c r="I40" s="15" t="s">
        <v>197</v>
      </c>
      <c r="J40" s="15" t="s">
        <v>209</v>
      </c>
      <c r="K40" s="28" t="s">
        <v>35</v>
      </c>
      <c r="L40" s="15"/>
      <c r="M40" s="15"/>
      <c r="N40" s="15"/>
      <c r="O40" s="75" t="s">
        <v>465</v>
      </c>
      <c r="P40" s="15"/>
      <c r="Q40" s="15"/>
      <c r="R40" s="15"/>
      <c r="S40" s="15"/>
      <c r="T40" s="23"/>
      <c r="U40" s="23"/>
      <c r="V40" s="23"/>
      <c r="W40" s="23"/>
      <c r="X40" s="23"/>
      <c r="Y40" s="23"/>
      <c r="Z40" s="23"/>
      <c r="AA40" s="23"/>
      <c r="AB40" s="23"/>
      <c r="AC40" s="23"/>
      <c r="AD40" s="23"/>
      <c r="AE40" s="23"/>
      <c r="AF40" s="23"/>
      <c r="AG40" s="23"/>
    </row>
    <row r="41" ht="15.75" customHeight="1">
      <c r="A41" s="78"/>
      <c r="B41" s="78"/>
      <c r="C41" s="5" t="s">
        <v>467</v>
      </c>
      <c r="D41" s="15" t="s">
        <v>468</v>
      </c>
      <c r="E41" s="5" t="s">
        <v>135</v>
      </c>
      <c r="F41" s="15"/>
      <c r="G41" s="15" t="s">
        <v>195</v>
      </c>
      <c r="H41" s="15" t="s">
        <v>469</v>
      </c>
      <c r="I41" s="15" t="s">
        <v>197</v>
      </c>
      <c r="J41" s="15" t="s">
        <v>209</v>
      </c>
      <c r="K41" s="28" t="s">
        <v>35</v>
      </c>
      <c r="L41" s="15"/>
      <c r="M41" s="15"/>
      <c r="N41" s="15"/>
      <c r="O41" s="75" t="s">
        <v>470</v>
      </c>
      <c r="P41" s="15"/>
      <c r="Q41" s="15"/>
      <c r="R41" s="15"/>
      <c r="S41" s="15"/>
      <c r="T41" s="23"/>
      <c r="U41" s="23"/>
      <c r="V41" s="23"/>
      <c r="W41" s="23"/>
      <c r="X41" s="23"/>
      <c r="Y41" s="23"/>
      <c r="Z41" s="23"/>
      <c r="AA41" s="23"/>
      <c r="AB41" s="23"/>
      <c r="AC41" s="23"/>
      <c r="AD41" s="23"/>
      <c r="AE41" s="23"/>
      <c r="AF41" s="23"/>
      <c r="AG41" s="23"/>
    </row>
    <row r="42" ht="15.75" customHeight="1">
      <c r="A42" s="78"/>
      <c r="B42" s="78"/>
      <c r="C42" s="5" t="s">
        <v>471</v>
      </c>
      <c r="D42" s="15" t="s">
        <v>472</v>
      </c>
      <c r="E42" s="5" t="s">
        <v>135</v>
      </c>
      <c r="F42" s="15"/>
      <c r="G42" s="15" t="s">
        <v>195</v>
      </c>
      <c r="H42" s="15" t="s">
        <v>473</v>
      </c>
      <c r="I42" s="15" t="s">
        <v>197</v>
      </c>
      <c r="J42" s="15" t="s">
        <v>209</v>
      </c>
      <c r="K42" s="28" t="s">
        <v>35</v>
      </c>
      <c r="L42" s="23"/>
      <c r="M42" s="15"/>
      <c r="N42" s="15"/>
      <c r="O42" s="75" t="s">
        <v>474</v>
      </c>
      <c r="P42" s="15"/>
      <c r="Q42" s="15"/>
      <c r="R42" s="15"/>
      <c r="S42" s="15"/>
      <c r="T42" s="23"/>
      <c r="U42" s="23"/>
      <c r="V42" s="23"/>
      <c r="W42" s="23"/>
      <c r="X42" s="23"/>
      <c r="Y42" s="23"/>
      <c r="Z42" s="23"/>
      <c r="AA42" s="23"/>
      <c r="AB42" s="23"/>
      <c r="AC42" s="23"/>
      <c r="AD42" s="23"/>
      <c r="AE42" s="23"/>
      <c r="AF42" s="23"/>
      <c r="AG42" s="23"/>
    </row>
    <row r="43" ht="15.75" customHeight="1">
      <c r="A43" s="78"/>
      <c r="B43" s="78"/>
      <c r="C43" s="5" t="s">
        <v>475</v>
      </c>
      <c r="D43" s="15" t="s">
        <v>476</v>
      </c>
      <c r="E43" s="5" t="s">
        <v>135</v>
      </c>
      <c r="F43" s="15"/>
      <c r="G43" s="15" t="s">
        <v>195</v>
      </c>
      <c r="H43" s="15" t="s">
        <v>477</v>
      </c>
      <c r="I43" s="15" t="s">
        <v>197</v>
      </c>
      <c r="J43" s="15" t="s">
        <v>209</v>
      </c>
      <c r="K43" s="28" t="s">
        <v>35</v>
      </c>
      <c r="L43" s="15"/>
      <c r="M43" s="15"/>
      <c r="N43" s="15"/>
      <c r="O43" s="75" t="s">
        <v>478</v>
      </c>
      <c r="P43" s="15"/>
      <c r="Q43" s="15"/>
      <c r="R43" s="15"/>
      <c r="S43" s="15"/>
      <c r="T43" s="23"/>
      <c r="U43" s="23"/>
      <c r="V43" s="23"/>
      <c r="W43" s="23"/>
      <c r="X43" s="23"/>
      <c r="Y43" s="23"/>
      <c r="Z43" s="23"/>
      <c r="AA43" s="23"/>
      <c r="AB43" s="23"/>
      <c r="AC43" s="23"/>
      <c r="AD43" s="23"/>
      <c r="AE43" s="23"/>
      <c r="AF43" s="23"/>
      <c r="AG43" s="23"/>
    </row>
    <row r="44" ht="15.75" customHeight="1">
      <c r="A44" s="78"/>
      <c r="B44" s="78"/>
      <c r="C44" s="5" t="s">
        <v>479</v>
      </c>
      <c r="D44" s="15" t="s">
        <v>480</v>
      </c>
      <c r="E44" s="5" t="s">
        <v>135</v>
      </c>
      <c r="F44" s="15"/>
      <c r="G44" s="15" t="s">
        <v>187</v>
      </c>
      <c r="H44" s="15" t="s">
        <v>481</v>
      </c>
      <c r="I44" s="15" t="s">
        <v>197</v>
      </c>
      <c r="J44" s="15" t="s">
        <v>209</v>
      </c>
      <c r="K44" s="28" t="s">
        <v>35</v>
      </c>
      <c r="L44" s="15"/>
      <c r="M44" s="15"/>
      <c r="N44" s="15"/>
      <c r="O44" s="75" t="s">
        <v>482</v>
      </c>
      <c r="P44" s="15"/>
      <c r="Q44" s="15"/>
      <c r="R44" s="15"/>
      <c r="S44" s="15"/>
      <c r="T44" s="23"/>
      <c r="U44" s="23"/>
      <c r="V44" s="23"/>
      <c r="W44" s="23"/>
      <c r="X44" s="23"/>
      <c r="Y44" s="23"/>
      <c r="Z44" s="23"/>
      <c r="AA44" s="23"/>
      <c r="AB44" s="23"/>
      <c r="AC44" s="23"/>
      <c r="AD44" s="23"/>
      <c r="AE44" s="23"/>
      <c r="AF44" s="23"/>
      <c r="AG44" s="23"/>
    </row>
    <row r="45" ht="15.75" customHeight="1">
      <c r="A45" s="78"/>
      <c r="B45" s="78"/>
      <c r="C45" s="5" t="s">
        <v>483</v>
      </c>
      <c r="D45" s="15" t="s">
        <v>484</v>
      </c>
      <c r="E45" s="5" t="s">
        <v>135</v>
      </c>
      <c r="F45" s="15"/>
      <c r="G45" s="15" t="s">
        <v>231</v>
      </c>
      <c r="H45" s="15" t="s">
        <v>485</v>
      </c>
      <c r="I45" s="15" t="s">
        <v>233</v>
      </c>
      <c r="J45" s="15" t="s">
        <v>209</v>
      </c>
      <c r="K45" s="28" t="s">
        <v>35</v>
      </c>
      <c r="L45" s="15"/>
      <c r="M45" s="15"/>
      <c r="N45" s="15"/>
      <c r="O45" s="75" t="s">
        <v>486</v>
      </c>
      <c r="P45" s="15"/>
      <c r="Q45" s="15"/>
      <c r="R45" s="15"/>
      <c r="S45" s="15"/>
      <c r="T45" s="23"/>
      <c r="U45" s="23"/>
      <c r="V45" s="23"/>
      <c r="W45" s="23"/>
      <c r="X45" s="23"/>
      <c r="Y45" s="23"/>
      <c r="Z45" s="23"/>
      <c r="AA45" s="23"/>
      <c r="AB45" s="23"/>
      <c r="AC45" s="23"/>
      <c r="AD45" s="23"/>
      <c r="AE45" s="23"/>
      <c r="AF45" s="23"/>
      <c r="AG45" s="23"/>
    </row>
    <row r="46" ht="15.75" customHeight="1">
      <c r="A46" s="78"/>
      <c r="B46" s="78"/>
      <c r="C46" s="5" t="s">
        <v>487</v>
      </c>
      <c r="D46" s="15" t="s">
        <v>488</v>
      </c>
      <c r="E46" s="5" t="s">
        <v>135</v>
      </c>
      <c r="F46" s="15"/>
      <c r="G46" s="15" t="s">
        <v>244</v>
      </c>
      <c r="H46" s="15" t="s">
        <v>489</v>
      </c>
      <c r="I46" s="15" t="s">
        <v>246</v>
      </c>
      <c r="J46" s="15" t="s">
        <v>209</v>
      </c>
      <c r="K46" s="28" t="s">
        <v>35</v>
      </c>
      <c r="L46" s="15"/>
      <c r="M46" s="15"/>
      <c r="N46" s="15"/>
      <c r="O46" s="75" t="s">
        <v>490</v>
      </c>
      <c r="P46" s="15"/>
      <c r="Q46" s="15"/>
      <c r="R46" s="15"/>
      <c r="S46" s="15"/>
      <c r="T46" s="23"/>
      <c r="U46" s="23"/>
      <c r="V46" s="23"/>
      <c r="W46" s="23"/>
      <c r="X46" s="23"/>
      <c r="Y46" s="23"/>
      <c r="Z46" s="23"/>
      <c r="AA46" s="23"/>
      <c r="AB46" s="23"/>
      <c r="AC46" s="23"/>
      <c r="AD46" s="23"/>
      <c r="AE46" s="23"/>
      <c r="AF46" s="23"/>
      <c r="AG46" s="23"/>
    </row>
    <row r="47" ht="15.75" customHeight="1">
      <c r="A47" s="78"/>
      <c r="B47" s="78"/>
      <c r="C47" s="5" t="s">
        <v>491</v>
      </c>
      <c r="D47" s="15" t="s">
        <v>492</v>
      </c>
      <c r="E47" s="5"/>
      <c r="F47" s="15"/>
      <c r="G47" s="15" t="s">
        <v>257</v>
      </c>
      <c r="H47" s="15" t="s">
        <v>493</v>
      </c>
      <c r="I47" s="15" t="s">
        <v>197</v>
      </c>
      <c r="J47" s="15" t="s">
        <v>209</v>
      </c>
      <c r="K47" s="28" t="s">
        <v>35</v>
      </c>
      <c r="L47" s="15"/>
      <c r="M47" s="15"/>
      <c r="N47" s="15"/>
      <c r="O47" s="75" t="s">
        <v>494</v>
      </c>
      <c r="P47" s="15"/>
      <c r="Q47" s="15"/>
      <c r="R47" s="15"/>
      <c r="S47" s="15"/>
      <c r="T47" s="23"/>
      <c r="U47" s="23"/>
      <c r="V47" s="23"/>
      <c r="W47" s="23"/>
      <c r="X47" s="23"/>
      <c r="Y47" s="23"/>
      <c r="Z47" s="23"/>
      <c r="AA47" s="23"/>
      <c r="AB47" s="23"/>
      <c r="AC47" s="23"/>
      <c r="AD47" s="23"/>
      <c r="AE47" s="23"/>
      <c r="AF47" s="23"/>
      <c r="AG47" s="23"/>
    </row>
    <row r="48" ht="15.75" customHeight="1">
      <c r="A48" s="78"/>
      <c r="B48" s="78"/>
      <c r="C48" s="5" t="s">
        <v>495</v>
      </c>
      <c r="D48" s="15" t="s">
        <v>496</v>
      </c>
      <c r="E48" s="5" t="s">
        <v>135</v>
      </c>
      <c r="F48" s="15"/>
      <c r="G48" s="15" t="s">
        <v>497</v>
      </c>
      <c r="H48" s="15" t="s">
        <v>498</v>
      </c>
      <c r="I48" s="15" t="s">
        <v>499</v>
      </c>
      <c r="J48" s="15" t="s">
        <v>500</v>
      </c>
      <c r="K48" s="28" t="s">
        <v>35</v>
      </c>
      <c r="L48" s="15"/>
      <c r="M48" s="15"/>
      <c r="N48" s="15"/>
      <c r="O48" s="75" t="s">
        <v>501</v>
      </c>
      <c r="P48" s="15"/>
      <c r="Q48" s="15"/>
      <c r="R48" s="15"/>
      <c r="S48" s="15"/>
      <c r="T48" s="23"/>
      <c r="U48" s="23"/>
      <c r="V48" s="23"/>
      <c r="W48" s="23"/>
      <c r="X48" s="23"/>
      <c r="Y48" s="23"/>
      <c r="Z48" s="23"/>
      <c r="AA48" s="23"/>
      <c r="AB48" s="23"/>
      <c r="AC48" s="23"/>
      <c r="AD48" s="23"/>
      <c r="AE48" s="23"/>
      <c r="AF48" s="23"/>
      <c r="AG48" s="23"/>
    </row>
    <row r="49" ht="15.75" customHeight="1">
      <c r="A49" s="78"/>
      <c r="B49" s="78"/>
      <c r="C49" s="5" t="s">
        <v>502</v>
      </c>
      <c r="D49" s="15" t="s">
        <v>503</v>
      </c>
      <c r="E49" s="5" t="s">
        <v>135</v>
      </c>
      <c r="F49" s="15"/>
      <c r="G49" s="15" t="s">
        <v>432</v>
      </c>
      <c r="H49" s="15" t="s">
        <v>504</v>
      </c>
      <c r="I49" s="15" t="s">
        <v>304</v>
      </c>
      <c r="J49" s="15" t="s">
        <v>436</v>
      </c>
      <c r="K49" s="28" t="s">
        <v>35</v>
      </c>
      <c r="L49" s="15"/>
      <c r="M49" s="15"/>
      <c r="N49" s="15"/>
      <c r="O49" s="75" t="s">
        <v>505</v>
      </c>
      <c r="P49" s="15"/>
      <c r="Q49" s="15"/>
      <c r="R49" s="15"/>
      <c r="S49" s="15"/>
      <c r="T49" s="23"/>
      <c r="U49" s="23"/>
      <c r="V49" s="23"/>
      <c r="W49" s="23"/>
      <c r="X49" s="23"/>
      <c r="Y49" s="23"/>
      <c r="Z49" s="23"/>
      <c r="AA49" s="23"/>
      <c r="AB49" s="23"/>
      <c r="AC49" s="23"/>
      <c r="AD49" s="23"/>
      <c r="AE49" s="23"/>
      <c r="AF49" s="23"/>
      <c r="AG49" s="23"/>
    </row>
    <row r="50" ht="15.75" customHeight="1">
      <c r="A50" s="78"/>
      <c r="B50" s="78"/>
      <c r="C50" s="5" t="s">
        <v>506</v>
      </c>
      <c r="D50" s="15" t="s">
        <v>507</v>
      </c>
      <c r="E50" s="5" t="s">
        <v>135</v>
      </c>
      <c r="F50" s="15"/>
      <c r="G50" s="15" t="s">
        <v>508</v>
      </c>
      <c r="H50" s="15" t="s">
        <v>509</v>
      </c>
      <c r="I50" s="15" t="s">
        <v>510</v>
      </c>
      <c r="J50" s="15" t="s">
        <v>306</v>
      </c>
      <c r="K50" s="28" t="s">
        <v>35</v>
      </c>
      <c r="L50" s="15"/>
      <c r="M50" s="15"/>
      <c r="N50" s="15"/>
      <c r="O50" s="75" t="s">
        <v>511</v>
      </c>
      <c r="P50" s="15"/>
      <c r="Q50" s="15"/>
      <c r="R50" s="15"/>
      <c r="S50" s="15"/>
      <c r="T50" s="23"/>
      <c r="U50" s="23"/>
      <c r="V50" s="23"/>
      <c r="W50" s="23"/>
      <c r="X50" s="23"/>
      <c r="Y50" s="23"/>
      <c r="Z50" s="23"/>
      <c r="AA50" s="23"/>
      <c r="AB50" s="23"/>
      <c r="AC50" s="23"/>
      <c r="AD50" s="23"/>
      <c r="AE50" s="23"/>
      <c r="AF50" s="23"/>
      <c r="AG50" s="23"/>
    </row>
    <row r="51" ht="15.75" customHeight="1">
      <c r="A51" s="78"/>
      <c r="B51" s="78"/>
      <c r="C51" s="5" t="s">
        <v>512</v>
      </c>
      <c r="D51" s="15" t="s">
        <v>513</v>
      </c>
      <c r="E51" s="5" t="s">
        <v>135</v>
      </c>
      <c r="F51" s="15"/>
      <c r="G51" s="15" t="s">
        <v>514</v>
      </c>
      <c r="H51" s="15" t="s">
        <v>515</v>
      </c>
      <c r="I51" s="15" t="s">
        <v>516</v>
      </c>
      <c r="J51" s="15" t="s">
        <v>306</v>
      </c>
      <c r="K51" s="28" t="s">
        <v>35</v>
      </c>
      <c r="L51" s="15"/>
      <c r="M51" s="15"/>
      <c r="N51" s="15"/>
      <c r="O51" s="75" t="s">
        <v>517</v>
      </c>
      <c r="P51" s="15"/>
      <c r="Q51" s="15"/>
      <c r="R51" s="15"/>
      <c r="S51" s="15"/>
      <c r="T51" s="23"/>
      <c r="U51" s="23"/>
      <c r="V51" s="23"/>
      <c r="W51" s="23"/>
      <c r="X51" s="23"/>
      <c r="Y51" s="23"/>
      <c r="Z51" s="23"/>
      <c r="AA51" s="23"/>
      <c r="AB51" s="23"/>
      <c r="AC51" s="23"/>
      <c r="AD51" s="23"/>
      <c r="AE51" s="23"/>
      <c r="AF51" s="23"/>
      <c r="AG51" s="23"/>
    </row>
    <row r="52" ht="15.75" customHeight="1">
      <c r="A52" s="78"/>
      <c r="B52" s="78"/>
      <c r="C52" s="5" t="s">
        <v>518</v>
      </c>
      <c r="D52" s="15" t="s">
        <v>346</v>
      </c>
      <c r="E52" s="5" t="s">
        <v>135</v>
      </c>
      <c r="F52" s="15"/>
      <c r="G52" s="15" t="s">
        <v>347</v>
      </c>
      <c r="H52" s="15"/>
      <c r="I52" s="15" t="s">
        <v>348</v>
      </c>
      <c r="J52" s="15" t="s">
        <v>349</v>
      </c>
      <c r="K52" s="28" t="s">
        <v>35</v>
      </c>
      <c r="L52" s="15"/>
      <c r="M52" s="15"/>
      <c r="N52" s="15"/>
      <c r="O52" s="75" t="s">
        <v>519</v>
      </c>
      <c r="P52" s="15"/>
      <c r="Q52" s="15"/>
      <c r="R52" s="15"/>
      <c r="S52" s="15"/>
      <c r="T52" s="23"/>
      <c r="U52" s="23"/>
      <c r="V52" s="23"/>
      <c r="W52" s="23"/>
      <c r="X52" s="23"/>
      <c r="Y52" s="23"/>
      <c r="Z52" s="23"/>
      <c r="AA52" s="23"/>
      <c r="AB52" s="23"/>
      <c r="AC52" s="23"/>
      <c r="AD52" s="23"/>
      <c r="AE52" s="23"/>
      <c r="AF52" s="23"/>
      <c r="AG52" s="23"/>
    </row>
    <row r="53" ht="15.75" customHeight="1">
      <c r="A53" s="78"/>
      <c r="B53" s="78"/>
      <c r="C53" s="5" t="s">
        <v>520</v>
      </c>
      <c r="D53" s="15" t="s">
        <v>521</v>
      </c>
      <c r="E53" s="5" t="s">
        <v>135</v>
      </c>
      <c r="F53" s="15"/>
      <c r="G53" s="15" t="s">
        <v>187</v>
      </c>
      <c r="H53" s="15" t="s">
        <v>522</v>
      </c>
      <c r="I53" s="15" t="s">
        <v>197</v>
      </c>
      <c r="J53" s="15" t="s">
        <v>209</v>
      </c>
      <c r="K53" s="28" t="s">
        <v>35</v>
      </c>
      <c r="L53" s="15"/>
      <c r="M53" s="15"/>
      <c r="N53" s="15"/>
      <c r="O53" s="75" t="s">
        <v>523</v>
      </c>
      <c r="P53" s="15"/>
      <c r="Q53" s="15"/>
      <c r="R53" s="15"/>
      <c r="S53" s="15"/>
      <c r="T53" s="23"/>
      <c r="U53" s="23"/>
      <c r="V53" s="23"/>
      <c r="W53" s="23"/>
      <c r="X53" s="23"/>
      <c r="Y53" s="23"/>
      <c r="Z53" s="23"/>
      <c r="AA53" s="23"/>
      <c r="AB53" s="23"/>
      <c r="AC53" s="23"/>
      <c r="AD53" s="23"/>
      <c r="AE53" s="23"/>
      <c r="AF53" s="23"/>
      <c r="AG53" s="23"/>
    </row>
    <row r="54" ht="15.75" customHeight="1">
      <c r="A54" s="78"/>
      <c r="B54" s="78"/>
      <c r="C54" s="5" t="s">
        <v>524</v>
      </c>
      <c r="D54" s="15" t="s">
        <v>525</v>
      </c>
      <c r="E54" s="5" t="s">
        <v>135</v>
      </c>
      <c r="F54" s="15"/>
      <c r="G54" s="15" t="s">
        <v>187</v>
      </c>
      <c r="H54" s="15" t="s">
        <v>526</v>
      </c>
      <c r="I54" s="15" t="s">
        <v>197</v>
      </c>
      <c r="J54" s="15" t="s">
        <v>209</v>
      </c>
      <c r="K54" s="28" t="s">
        <v>35</v>
      </c>
      <c r="L54" s="15"/>
      <c r="M54" s="15"/>
      <c r="N54" s="15"/>
      <c r="O54" s="75" t="s">
        <v>527</v>
      </c>
      <c r="P54" s="15"/>
      <c r="Q54" s="15"/>
      <c r="R54" s="15"/>
      <c r="S54" s="15"/>
      <c r="T54" s="23"/>
      <c r="U54" s="23"/>
      <c r="V54" s="23"/>
      <c r="W54" s="23"/>
      <c r="X54" s="23"/>
      <c r="Y54" s="23"/>
      <c r="Z54" s="23"/>
      <c r="AA54" s="23"/>
      <c r="AB54" s="23"/>
      <c r="AC54" s="23"/>
      <c r="AD54" s="23"/>
      <c r="AE54" s="23"/>
      <c r="AF54" s="23"/>
      <c r="AG54" s="23"/>
    </row>
    <row r="55" ht="15.75" customHeight="1">
      <c r="A55" s="78"/>
      <c r="B55" s="78"/>
      <c r="C55" s="5" t="s">
        <v>528</v>
      </c>
      <c r="D55" s="15" t="s">
        <v>529</v>
      </c>
      <c r="E55" s="5" t="s">
        <v>135</v>
      </c>
      <c r="F55" s="15"/>
      <c r="G55" s="15" t="s">
        <v>187</v>
      </c>
      <c r="H55" s="15" t="s">
        <v>530</v>
      </c>
      <c r="I55" s="15" t="s">
        <v>197</v>
      </c>
      <c r="J55" s="15" t="s">
        <v>209</v>
      </c>
      <c r="K55" s="28" t="s">
        <v>35</v>
      </c>
      <c r="L55" s="15"/>
      <c r="M55" s="15"/>
      <c r="N55" s="15"/>
      <c r="O55" s="75" t="s">
        <v>531</v>
      </c>
      <c r="P55" s="15"/>
      <c r="Q55" s="15"/>
      <c r="R55" s="15"/>
      <c r="S55" s="15"/>
      <c r="T55" s="23"/>
      <c r="U55" s="23"/>
      <c r="V55" s="23"/>
      <c r="W55" s="23"/>
      <c r="X55" s="23"/>
      <c r="Y55" s="23"/>
      <c r="Z55" s="23"/>
      <c r="AA55" s="23"/>
      <c r="AB55" s="23"/>
      <c r="AC55" s="23"/>
      <c r="AD55" s="23"/>
      <c r="AE55" s="23"/>
      <c r="AF55" s="23"/>
      <c r="AG55" s="23"/>
    </row>
    <row r="56" ht="15.75" customHeight="1">
      <c r="A56" s="78"/>
      <c r="B56" s="78"/>
      <c r="C56" s="5" t="s">
        <v>532</v>
      </c>
      <c r="D56" s="15" t="s">
        <v>533</v>
      </c>
      <c r="E56" s="5" t="s">
        <v>135</v>
      </c>
      <c r="F56" s="15"/>
      <c r="G56" s="15" t="s">
        <v>187</v>
      </c>
      <c r="H56" s="15" t="s">
        <v>534</v>
      </c>
      <c r="I56" s="15" t="s">
        <v>197</v>
      </c>
      <c r="J56" s="15" t="s">
        <v>209</v>
      </c>
      <c r="K56" s="28" t="s">
        <v>35</v>
      </c>
      <c r="L56" s="15"/>
      <c r="M56" s="15"/>
      <c r="N56" s="15"/>
      <c r="O56" s="75" t="s">
        <v>535</v>
      </c>
      <c r="P56" s="15"/>
      <c r="Q56" s="15"/>
      <c r="R56" s="15"/>
      <c r="S56" s="15"/>
      <c r="T56" s="23"/>
      <c r="U56" s="23"/>
      <c r="V56" s="23"/>
      <c r="W56" s="23"/>
      <c r="X56" s="23"/>
      <c r="Y56" s="23"/>
      <c r="Z56" s="23"/>
      <c r="AA56" s="23"/>
      <c r="AB56" s="23"/>
      <c r="AC56" s="23"/>
      <c r="AD56" s="23"/>
      <c r="AE56" s="23"/>
      <c r="AF56" s="23"/>
      <c r="AG56" s="23"/>
    </row>
    <row r="57" ht="15.75" customHeight="1">
      <c r="A57" s="78"/>
      <c r="B57" s="78"/>
      <c r="C57" s="5" t="s">
        <v>536</v>
      </c>
      <c r="D57" s="15" t="s">
        <v>537</v>
      </c>
      <c r="E57" s="5" t="s">
        <v>135</v>
      </c>
      <c r="F57" s="15"/>
      <c r="G57" s="15" t="s">
        <v>187</v>
      </c>
      <c r="H57" s="15" t="s">
        <v>538</v>
      </c>
      <c r="I57" s="15" t="s">
        <v>197</v>
      </c>
      <c r="J57" s="15" t="s">
        <v>209</v>
      </c>
      <c r="K57" s="28" t="s">
        <v>35</v>
      </c>
      <c r="L57" s="15"/>
      <c r="M57" s="15"/>
      <c r="N57" s="15"/>
      <c r="O57" s="75" t="s">
        <v>539</v>
      </c>
      <c r="P57" s="15"/>
      <c r="Q57" s="15"/>
      <c r="R57" s="15"/>
      <c r="S57" s="15"/>
      <c r="T57" s="23"/>
      <c r="U57" s="23"/>
      <c r="V57" s="23"/>
      <c r="W57" s="23"/>
      <c r="X57" s="23"/>
      <c r="Y57" s="23"/>
      <c r="Z57" s="23"/>
      <c r="AA57" s="23"/>
      <c r="AB57" s="23"/>
      <c r="AC57" s="23"/>
      <c r="AD57" s="23"/>
      <c r="AE57" s="23"/>
      <c r="AF57" s="23"/>
      <c r="AG57" s="23"/>
    </row>
    <row r="58" ht="15.75" customHeight="1">
      <c r="A58" s="78"/>
      <c r="B58" s="78"/>
      <c r="C58" s="5" t="s">
        <v>540</v>
      </c>
      <c r="D58" s="15" t="s">
        <v>541</v>
      </c>
      <c r="E58" s="5" t="s">
        <v>135</v>
      </c>
      <c r="F58" s="15"/>
      <c r="G58" s="15" t="s">
        <v>231</v>
      </c>
      <c r="H58" s="15" t="s">
        <v>542</v>
      </c>
      <c r="I58" s="15" t="s">
        <v>543</v>
      </c>
      <c r="J58" s="15" t="s">
        <v>209</v>
      </c>
      <c r="K58" s="28" t="s">
        <v>35</v>
      </c>
      <c r="L58" s="15"/>
      <c r="M58" s="15"/>
      <c r="N58" s="15"/>
      <c r="O58" s="75" t="s">
        <v>544</v>
      </c>
      <c r="P58" s="15"/>
      <c r="Q58" s="15"/>
      <c r="R58" s="15"/>
      <c r="S58" s="15"/>
      <c r="T58" s="23"/>
      <c r="U58" s="23"/>
      <c r="V58" s="23"/>
      <c r="W58" s="23"/>
      <c r="X58" s="23"/>
      <c r="Y58" s="23"/>
      <c r="Z58" s="23"/>
      <c r="AA58" s="23"/>
      <c r="AB58" s="23"/>
      <c r="AC58" s="23"/>
      <c r="AD58" s="23"/>
      <c r="AE58" s="23"/>
      <c r="AF58" s="23"/>
      <c r="AG58" s="23"/>
    </row>
    <row r="59" ht="15.75" customHeight="1">
      <c r="A59" s="78"/>
      <c r="B59" s="78"/>
      <c r="C59" s="5" t="s">
        <v>545</v>
      </c>
      <c r="D59" s="15" t="s">
        <v>546</v>
      </c>
      <c r="E59" s="5" t="s">
        <v>135</v>
      </c>
      <c r="F59" s="15"/>
      <c r="G59" s="15" t="s">
        <v>244</v>
      </c>
      <c r="H59" s="15" t="s">
        <v>547</v>
      </c>
      <c r="I59" s="15" t="s">
        <v>246</v>
      </c>
      <c r="J59" s="15" t="s">
        <v>209</v>
      </c>
      <c r="K59" s="28" t="s">
        <v>35</v>
      </c>
      <c r="L59" s="15"/>
      <c r="M59" s="15"/>
      <c r="N59" s="15"/>
      <c r="O59" s="75" t="s">
        <v>548</v>
      </c>
      <c r="P59" s="15"/>
      <c r="Q59" s="15"/>
      <c r="R59" s="15"/>
      <c r="S59" s="15"/>
      <c r="T59" s="23"/>
      <c r="U59" s="23"/>
      <c r="V59" s="23"/>
      <c r="W59" s="23"/>
      <c r="X59" s="23"/>
      <c r="Y59" s="23"/>
      <c r="Z59" s="23"/>
      <c r="AA59" s="23"/>
      <c r="AB59" s="23"/>
      <c r="AC59" s="23"/>
      <c r="AD59" s="23"/>
      <c r="AE59" s="23"/>
      <c r="AF59" s="23"/>
      <c r="AG59" s="23"/>
    </row>
    <row r="60" ht="15.75" customHeight="1">
      <c r="A60" s="78"/>
      <c r="B60" s="78"/>
      <c r="C60" s="5" t="s">
        <v>549</v>
      </c>
      <c r="D60" s="15" t="s">
        <v>550</v>
      </c>
      <c r="E60" s="5"/>
      <c r="F60" s="15"/>
      <c r="G60" s="15" t="s">
        <v>257</v>
      </c>
      <c r="H60" s="15" t="s">
        <v>551</v>
      </c>
      <c r="I60" s="15" t="s">
        <v>197</v>
      </c>
      <c r="J60" s="15" t="s">
        <v>209</v>
      </c>
      <c r="K60" s="28" t="s">
        <v>35</v>
      </c>
      <c r="L60" s="15"/>
      <c r="M60" s="15"/>
      <c r="N60" s="15"/>
      <c r="O60" s="75" t="s">
        <v>552</v>
      </c>
      <c r="P60" s="15"/>
      <c r="Q60" s="15"/>
      <c r="R60" s="15"/>
      <c r="S60" s="15"/>
      <c r="T60" s="23"/>
      <c r="U60" s="23"/>
      <c r="V60" s="23"/>
      <c r="W60" s="23"/>
      <c r="X60" s="23"/>
      <c r="Y60" s="23"/>
      <c r="Z60" s="23"/>
      <c r="AA60" s="23"/>
      <c r="AB60" s="23"/>
      <c r="AC60" s="23"/>
      <c r="AD60" s="23"/>
      <c r="AE60" s="23"/>
      <c r="AF60" s="23"/>
      <c r="AG60" s="23"/>
    </row>
    <row r="61" ht="15.75" customHeight="1">
      <c r="A61" s="78"/>
      <c r="B61" s="78"/>
      <c r="C61" s="5" t="s">
        <v>553</v>
      </c>
      <c r="D61" s="15" t="s">
        <v>554</v>
      </c>
      <c r="E61" s="5"/>
      <c r="F61" s="15"/>
      <c r="G61" s="15" t="s">
        <v>257</v>
      </c>
      <c r="H61" s="15" t="s">
        <v>493</v>
      </c>
      <c r="I61" s="15" t="s">
        <v>197</v>
      </c>
      <c r="J61" s="15" t="s">
        <v>209</v>
      </c>
      <c r="K61" s="28" t="s">
        <v>35</v>
      </c>
      <c r="L61" s="15"/>
      <c r="M61" s="15"/>
      <c r="N61" s="15"/>
      <c r="O61" s="75" t="s">
        <v>555</v>
      </c>
      <c r="P61" s="15"/>
      <c r="Q61" s="15"/>
      <c r="R61" s="15"/>
      <c r="S61" s="15"/>
      <c r="T61" s="23"/>
      <c r="U61" s="23"/>
      <c r="V61" s="23"/>
      <c r="W61" s="23"/>
      <c r="X61" s="23"/>
      <c r="Y61" s="23"/>
      <c r="Z61" s="23"/>
      <c r="AA61" s="23"/>
      <c r="AB61" s="23"/>
      <c r="AC61" s="23"/>
      <c r="AD61" s="23"/>
      <c r="AE61" s="23"/>
      <c r="AF61" s="23"/>
      <c r="AG61" s="23"/>
    </row>
    <row r="62" ht="15.75" customHeight="1">
      <c r="A62" s="78"/>
      <c r="B62" s="78"/>
      <c r="C62" s="5" t="s">
        <v>556</v>
      </c>
      <c r="D62" s="15" t="s">
        <v>557</v>
      </c>
      <c r="E62" s="5" t="s">
        <v>135</v>
      </c>
      <c r="F62" s="15"/>
      <c r="G62" s="15" t="s">
        <v>497</v>
      </c>
      <c r="H62" s="15" t="s">
        <v>558</v>
      </c>
      <c r="I62" s="15" t="s">
        <v>499</v>
      </c>
      <c r="J62" s="15" t="s">
        <v>559</v>
      </c>
      <c r="K62" s="28" t="s">
        <v>35</v>
      </c>
      <c r="L62" s="15"/>
      <c r="M62" s="15"/>
      <c r="N62" s="15"/>
      <c r="O62" s="75" t="s">
        <v>560</v>
      </c>
      <c r="P62" s="15"/>
      <c r="Q62" s="15"/>
      <c r="R62" s="15"/>
      <c r="S62" s="15"/>
      <c r="T62" s="23"/>
      <c r="U62" s="23"/>
      <c r="V62" s="23"/>
      <c r="W62" s="23"/>
      <c r="X62" s="23"/>
      <c r="Y62" s="23"/>
      <c r="Z62" s="23"/>
      <c r="AA62" s="23"/>
      <c r="AB62" s="23"/>
      <c r="AC62" s="23"/>
      <c r="AD62" s="23"/>
      <c r="AE62" s="23"/>
      <c r="AF62" s="23"/>
      <c r="AG62" s="23"/>
    </row>
    <row r="63" ht="15.75" customHeight="1">
      <c r="A63" s="78"/>
      <c r="B63" s="78"/>
      <c r="C63" s="5" t="s">
        <v>561</v>
      </c>
      <c r="D63" s="15" t="s">
        <v>562</v>
      </c>
      <c r="E63" s="5" t="s">
        <v>135</v>
      </c>
      <c r="F63" s="15"/>
      <c r="G63" s="15" t="s">
        <v>432</v>
      </c>
      <c r="H63" s="15" t="s">
        <v>563</v>
      </c>
      <c r="I63" s="15" t="s">
        <v>304</v>
      </c>
      <c r="J63" s="15" t="s">
        <v>436</v>
      </c>
      <c r="K63" s="28" t="s">
        <v>35</v>
      </c>
      <c r="L63" s="15"/>
      <c r="M63" s="15"/>
      <c r="N63" s="15"/>
      <c r="O63" s="75" t="s">
        <v>564</v>
      </c>
      <c r="P63" s="15"/>
      <c r="Q63" s="15"/>
      <c r="R63" s="15"/>
      <c r="S63" s="15"/>
      <c r="T63" s="23"/>
      <c r="U63" s="23"/>
      <c r="V63" s="23"/>
      <c r="W63" s="23"/>
      <c r="X63" s="23"/>
      <c r="Y63" s="23"/>
      <c r="Z63" s="23"/>
      <c r="AA63" s="23"/>
      <c r="AB63" s="23"/>
      <c r="AC63" s="23"/>
      <c r="AD63" s="23"/>
      <c r="AE63" s="23"/>
      <c r="AF63" s="23"/>
      <c r="AG63" s="23"/>
    </row>
    <row r="64" ht="15.75" customHeight="1">
      <c r="A64" s="78"/>
      <c r="B64" s="78"/>
      <c r="C64" s="5" t="s">
        <v>565</v>
      </c>
      <c r="D64" s="15" t="s">
        <v>566</v>
      </c>
      <c r="E64" s="5" t="s">
        <v>135</v>
      </c>
      <c r="F64" s="15"/>
      <c r="G64" s="15" t="s">
        <v>567</v>
      </c>
      <c r="H64" s="15" t="s">
        <v>568</v>
      </c>
      <c r="I64" s="15" t="s">
        <v>569</v>
      </c>
      <c r="J64" s="15" t="s">
        <v>570</v>
      </c>
      <c r="K64" s="28" t="s">
        <v>35</v>
      </c>
      <c r="L64" s="15"/>
      <c r="M64" s="15"/>
      <c r="N64" s="15"/>
      <c r="O64" s="75" t="s">
        <v>571</v>
      </c>
      <c r="P64" s="15"/>
      <c r="Q64" s="15"/>
      <c r="R64" s="15"/>
      <c r="S64" s="15"/>
      <c r="T64" s="23"/>
      <c r="U64" s="23"/>
      <c r="V64" s="23"/>
      <c r="W64" s="23"/>
      <c r="X64" s="23"/>
      <c r="Y64" s="23"/>
      <c r="Z64" s="23"/>
      <c r="AA64" s="23"/>
      <c r="AB64" s="23"/>
      <c r="AC64" s="23"/>
      <c r="AD64" s="23"/>
      <c r="AE64" s="23"/>
      <c r="AF64" s="23"/>
      <c r="AG64" s="23"/>
    </row>
    <row r="65" ht="15.75" customHeight="1">
      <c r="A65" s="78"/>
      <c r="B65" s="78"/>
      <c r="C65" s="5" t="s">
        <v>572</v>
      </c>
      <c r="D65" s="15" t="s">
        <v>346</v>
      </c>
      <c r="E65" s="5" t="s">
        <v>135</v>
      </c>
      <c r="F65" s="15"/>
      <c r="G65" s="15" t="s">
        <v>347</v>
      </c>
      <c r="H65" s="15"/>
      <c r="I65" s="15" t="s">
        <v>348</v>
      </c>
      <c r="J65" s="15" t="s">
        <v>349</v>
      </c>
      <c r="K65" s="28" t="s">
        <v>35</v>
      </c>
      <c r="L65" s="15"/>
      <c r="M65" s="15"/>
      <c r="N65" s="15"/>
      <c r="O65" s="75" t="s">
        <v>573</v>
      </c>
      <c r="P65" s="15"/>
      <c r="Q65" s="15"/>
      <c r="R65" s="15"/>
      <c r="S65" s="15"/>
      <c r="T65" s="23"/>
      <c r="U65" s="23"/>
      <c r="V65" s="23"/>
      <c r="W65" s="23"/>
      <c r="X65" s="23"/>
      <c r="Y65" s="23"/>
      <c r="Z65" s="23"/>
      <c r="AA65" s="23"/>
      <c r="AB65" s="23"/>
      <c r="AC65" s="23"/>
      <c r="AD65" s="23"/>
      <c r="AE65" s="23"/>
      <c r="AF65" s="23"/>
      <c r="AG65" s="23"/>
    </row>
    <row r="66" ht="15.75" customHeight="1">
      <c r="A66" s="78"/>
      <c r="B66" s="78"/>
      <c r="C66" s="5" t="s">
        <v>574</v>
      </c>
      <c r="D66" s="15" t="s">
        <v>575</v>
      </c>
      <c r="E66" s="5" t="s">
        <v>135</v>
      </c>
      <c r="F66" s="15"/>
      <c r="G66" s="15" t="s">
        <v>187</v>
      </c>
      <c r="H66" s="15" t="s">
        <v>576</v>
      </c>
      <c r="I66" s="15" t="s">
        <v>197</v>
      </c>
      <c r="J66" s="15" t="s">
        <v>209</v>
      </c>
      <c r="K66" s="28" t="s">
        <v>35</v>
      </c>
      <c r="L66" s="15"/>
      <c r="M66" s="15"/>
      <c r="N66" s="15"/>
      <c r="O66" s="75" t="s">
        <v>577</v>
      </c>
      <c r="P66" s="15"/>
      <c r="Q66" s="15"/>
      <c r="R66" s="15"/>
      <c r="S66" s="15"/>
      <c r="T66" s="23"/>
      <c r="U66" s="23"/>
      <c r="V66" s="23"/>
      <c r="W66" s="23"/>
      <c r="X66" s="23"/>
      <c r="Y66" s="23"/>
      <c r="Z66" s="23"/>
      <c r="AA66" s="23"/>
      <c r="AB66" s="23"/>
      <c r="AC66" s="23"/>
      <c r="AD66" s="23"/>
      <c r="AE66" s="23"/>
      <c r="AF66" s="23"/>
      <c r="AG66" s="23"/>
    </row>
    <row r="67" ht="15.75" customHeight="1">
      <c r="A67" s="78"/>
      <c r="B67" s="78"/>
      <c r="C67" s="5" t="s">
        <v>578</v>
      </c>
      <c r="D67" s="15" t="s">
        <v>579</v>
      </c>
      <c r="E67" s="5" t="s">
        <v>135</v>
      </c>
      <c r="F67" s="15"/>
      <c r="G67" s="15" t="s">
        <v>187</v>
      </c>
      <c r="H67" s="15" t="s">
        <v>580</v>
      </c>
      <c r="I67" s="15" t="s">
        <v>197</v>
      </c>
      <c r="J67" s="15" t="s">
        <v>209</v>
      </c>
      <c r="K67" s="28" t="s">
        <v>35</v>
      </c>
      <c r="L67" s="15"/>
      <c r="M67" s="15"/>
      <c r="N67" s="15"/>
      <c r="O67" s="75" t="s">
        <v>581</v>
      </c>
      <c r="P67" s="15"/>
      <c r="Q67" s="15"/>
      <c r="R67" s="15"/>
      <c r="S67" s="15"/>
      <c r="T67" s="23"/>
      <c r="U67" s="23"/>
      <c r="V67" s="23"/>
      <c r="W67" s="23"/>
      <c r="X67" s="23"/>
      <c r="Y67" s="23"/>
      <c r="Z67" s="23"/>
      <c r="AA67" s="23"/>
      <c r="AB67" s="23"/>
      <c r="AC67" s="23"/>
      <c r="AD67" s="23"/>
      <c r="AE67" s="23"/>
      <c r="AF67" s="23"/>
      <c r="AG67" s="23"/>
    </row>
    <row r="68" ht="15.75" customHeight="1">
      <c r="A68" s="78"/>
      <c r="B68" s="78"/>
      <c r="C68" s="5" t="s">
        <v>582</v>
      </c>
      <c r="D68" s="15" t="s">
        <v>583</v>
      </c>
      <c r="E68" s="5" t="s">
        <v>135</v>
      </c>
      <c r="F68" s="15"/>
      <c r="G68" s="15" t="s">
        <v>187</v>
      </c>
      <c r="H68" s="15" t="s">
        <v>584</v>
      </c>
      <c r="I68" s="15" t="s">
        <v>197</v>
      </c>
      <c r="J68" s="15" t="s">
        <v>209</v>
      </c>
      <c r="K68" s="28" t="s">
        <v>35</v>
      </c>
      <c r="L68" s="15"/>
      <c r="M68" s="15"/>
      <c r="N68" s="15"/>
      <c r="O68" s="75" t="s">
        <v>585</v>
      </c>
      <c r="P68" s="15"/>
      <c r="Q68" s="15"/>
      <c r="R68" s="15"/>
      <c r="S68" s="15"/>
      <c r="T68" s="23"/>
      <c r="U68" s="23"/>
      <c r="V68" s="23"/>
      <c r="W68" s="23"/>
      <c r="X68" s="23"/>
      <c r="Y68" s="23"/>
      <c r="Z68" s="23"/>
      <c r="AA68" s="23"/>
      <c r="AB68" s="23"/>
      <c r="AC68" s="23"/>
      <c r="AD68" s="23"/>
      <c r="AE68" s="23"/>
      <c r="AF68" s="23"/>
      <c r="AG68" s="23"/>
    </row>
    <row r="69" ht="15.75" customHeight="1">
      <c r="A69" s="78"/>
      <c r="B69" s="78"/>
      <c r="C69" s="5" t="s">
        <v>586</v>
      </c>
      <c r="D69" s="15" t="s">
        <v>587</v>
      </c>
      <c r="E69" s="5" t="s">
        <v>135</v>
      </c>
      <c r="F69" s="15"/>
      <c r="G69" s="15" t="s">
        <v>187</v>
      </c>
      <c r="H69" s="15" t="s">
        <v>588</v>
      </c>
      <c r="I69" s="15" t="s">
        <v>197</v>
      </c>
      <c r="J69" s="15" t="s">
        <v>209</v>
      </c>
      <c r="K69" s="28" t="s">
        <v>35</v>
      </c>
      <c r="L69" s="15"/>
      <c r="M69" s="15"/>
      <c r="N69" s="15"/>
      <c r="O69" s="75" t="s">
        <v>585</v>
      </c>
      <c r="P69" s="15"/>
      <c r="Q69" s="15"/>
      <c r="R69" s="15"/>
      <c r="S69" s="15"/>
      <c r="T69" s="23"/>
      <c r="U69" s="23"/>
      <c r="V69" s="23"/>
      <c r="W69" s="23"/>
      <c r="X69" s="23"/>
      <c r="Y69" s="23"/>
      <c r="Z69" s="23"/>
      <c r="AA69" s="23"/>
      <c r="AB69" s="23"/>
      <c r="AC69" s="23"/>
      <c r="AD69" s="23"/>
      <c r="AE69" s="23"/>
      <c r="AF69" s="23"/>
      <c r="AG69" s="23"/>
    </row>
    <row r="70" ht="15.75" customHeight="1">
      <c r="A70" s="78"/>
      <c r="B70" s="78"/>
      <c r="C70" s="5" t="s">
        <v>589</v>
      </c>
      <c r="D70" s="15" t="s">
        <v>590</v>
      </c>
      <c r="E70" s="5" t="s">
        <v>135</v>
      </c>
      <c r="F70" s="15"/>
      <c r="G70" s="15" t="s">
        <v>231</v>
      </c>
      <c r="H70" s="15" t="s">
        <v>591</v>
      </c>
      <c r="I70" s="15" t="s">
        <v>592</v>
      </c>
      <c r="J70" s="15" t="s">
        <v>209</v>
      </c>
      <c r="K70" s="28" t="s">
        <v>35</v>
      </c>
      <c r="L70" s="15"/>
      <c r="M70" s="15"/>
      <c r="N70" s="15"/>
      <c r="O70" s="75" t="s">
        <v>593</v>
      </c>
      <c r="P70" s="15"/>
      <c r="Q70" s="15"/>
      <c r="R70" s="15"/>
      <c r="S70" s="15"/>
      <c r="T70" s="23"/>
      <c r="U70" s="23"/>
      <c r="V70" s="23"/>
      <c r="W70" s="23"/>
      <c r="X70" s="23"/>
      <c r="Y70" s="23"/>
      <c r="Z70" s="23"/>
      <c r="AA70" s="23"/>
      <c r="AB70" s="23"/>
      <c r="AC70" s="23"/>
      <c r="AD70" s="23"/>
      <c r="AE70" s="23"/>
      <c r="AF70" s="23"/>
      <c r="AG70" s="23"/>
    </row>
    <row r="71" ht="15.75" customHeight="1">
      <c r="A71" s="78"/>
      <c r="B71" s="78"/>
      <c r="C71" s="5" t="s">
        <v>594</v>
      </c>
      <c r="D71" s="15" t="s">
        <v>595</v>
      </c>
      <c r="E71" s="5" t="s">
        <v>135</v>
      </c>
      <c r="F71" s="15"/>
      <c r="G71" s="15" t="s">
        <v>596</v>
      </c>
      <c r="H71" s="15" t="s">
        <v>597</v>
      </c>
      <c r="I71" s="15" t="s">
        <v>598</v>
      </c>
      <c r="J71" s="15" t="s">
        <v>209</v>
      </c>
      <c r="K71" s="28" t="s">
        <v>35</v>
      </c>
      <c r="L71" s="15"/>
      <c r="M71" s="15"/>
      <c r="N71" s="15"/>
      <c r="O71" s="75" t="s">
        <v>599</v>
      </c>
      <c r="P71" s="15"/>
      <c r="Q71" s="15"/>
      <c r="R71" s="15"/>
      <c r="S71" s="15"/>
      <c r="T71" s="23"/>
      <c r="U71" s="23"/>
      <c r="V71" s="23"/>
      <c r="W71" s="23"/>
      <c r="X71" s="23"/>
      <c r="Y71" s="23"/>
      <c r="Z71" s="23"/>
      <c r="AA71" s="23"/>
      <c r="AB71" s="23"/>
      <c r="AC71" s="23"/>
      <c r="AD71" s="23"/>
      <c r="AE71" s="23"/>
      <c r="AF71" s="23"/>
      <c r="AG71" s="23"/>
    </row>
    <row r="72" ht="15.75" customHeight="1">
      <c r="A72" s="78"/>
      <c r="B72" s="78"/>
      <c r="C72" s="5" t="s">
        <v>600</v>
      </c>
      <c r="D72" s="15" t="s">
        <v>601</v>
      </c>
      <c r="E72" s="5" t="s">
        <v>135</v>
      </c>
      <c r="F72" s="15"/>
      <c r="G72" s="15" t="s">
        <v>257</v>
      </c>
      <c r="H72" s="15" t="s">
        <v>602</v>
      </c>
      <c r="I72" s="15" t="s">
        <v>197</v>
      </c>
      <c r="J72" s="15" t="s">
        <v>209</v>
      </c>
      <c r="K72" s="28" t="s">
        <v>35</v>
      </c>
      <c r="L72" s="15"/>
      <c r="M72" s="15"/>
      <c r="N72" s="15"/>
      <c r="O72" s="75" t="s">
        <v>603</v>
      </c>
      <c r="P72" s="15"/>
      <c r="Q72" s="15"/>
      <c r="R72" s="15"/>
      <c r="S72" s="15"/>
      <c r="T72" s="23"/>
      <c r="U72" s="23"/>
      <c r="V72" s="23"/>
      <c r="W72" s="23"/>
      <c r="X72" s="23"/>
      <c r="Y72" s="23"/>
      <c r="Z72" s="23"/>
      <c r="AA72" s="23"/>
      <c r="AB72" s="23"/>
      <c r="AC72" s="23"/>
      <c r="AD72" s="23"/>
      <c r="AE72" s="23"/>
      <c r="AF72" s="23"/>
      <c r="AG72" s="23"/>
    </row>
    <row r="73" ht="15.75" customHeight="1">
      <c r="A73" s="78"/>
      <c r="B73" s="78"/>
      <c r="C73" s="5" t="s">
        <v>604</v>
      </c>
      <c r="D73" s="15" t="s">
        <v>605</v>
      </c>
      <c r="E73" s="5" t="s">
        <v>135</v>
      </c>
      <c r="F73" s="15"/>
      <c r="G73" s="15" t="s">
        <v>497</v>
      </c>
      <c r="H73" s="15" t="s">
        <v>606</v>
      </c>
      <c r="I73" s="15" t="s">
        <v>499</v>
      </c>
      <c r="J73" s="15" t="s">
        <v>559</v>
      </c>
      <c r="K73" s="28" t="s">
        <v>35</v>
      </c>
      <c r="L73" s="15"/>
      <c r="M73" s="15"/>
      <c r="N73" s="15"/>
      <c r="O73" s="75" t="s">
        <v>607</v>
      </c>
      <c r="P73" s="15"/>
      <c r="Q73" s="15"/>
      <c r="R73" s="15"/>
      <c r="S73" s="15"/>
      <c r="T73" s="23"/>
      <c r="U73" s="23"/>
      <c r="V73" s="23"/>
      <c r="W73" s="23"/>
      <c r="X73" s="23"/>
      <c r="Y73" s="23"/>
      <c r="Z73" s="23"/>
      <c r="AA73" s="23"/>
      <c r="AB73" s="23"/>
      <c r="AC73" s="23"/>
      <c r="AD73" s="23"/>
      <c r="AE73" s="23"/>
      <c r="AF73" s="23"/>
      <c r="AG73" s="23"/>
    </row>
    <row r="74" ht="15.75" customHeight="1">
      <c r="A74" s="78"/>
      <c r="B74" s="78"/>
      <c r="C74" s="5" t="s">
        <v>608</v>
      </c>
      <c r="D74" s="15" t="s">
        <v>609</v>
      </c>
      <c r="E74" s="5" t="s">
        <v>135</v>
      </c>
      <c r="F74" s="15"/>
      <c r="G74" s="15" t="s">
        <v>610</v>
      </c>
      <c r="H74" s="15" t="s">
        <v>611</v>
      </c>
      <c r="I74" s="15" t="s">
        <v>612</v>
      </c>
      <c r="J74" s="15" t="s">
        <v>613</v>
      </c>
      <c r="K74" s="28" t="s">
        <v>35</v>
      </c>
      <c r="L74" s="15"/>
      <c r="M74" s="15"/>
      <c r="N74" s="15"/>
      <c r="O74" s="75" t="s">
        <v>614</v>
      </c>
      <c r="P74" s="15"/>
      <c r="Q74" s="15"/>
      <c r="R74" s="15"/>
      <c r="S74" s="15"/>
      <c r="T74" s="23"/>
      <c r="U74" s="23"/>
      <c r="V74" s="23"/>
      <c r="W74" s="23"/>
      <c r="X74" s="23"/>
      <c r="Y74" s="23"/>
      <c r="Z74" s="23"/>
      <c r="AA74" s="23"/>
      <c r="AB74" s="23"/>
      <c r="AC74" s="23"/>
      <c r="AD74" s="23"/>
      <c r="AE74" s="23"/>
      <c r="AF74" s="23"/>
      <c r="AG74" s="23"/>
    </row>
    <row r="75" ht="15.75" customHeight="1">
      <c r="A75" s="78"/>
      <c r="B75" s="78"/>
      <c r="C75" s="5" t="s">
        <v>615</v>
      </c>
      <c r="D75" s="15" t="s">
        <v>616</v>
      </c>
      <c r="E75" s="5" t="s">
        <v>135</v>
      </c>
      <c r="F75" s="15"/>
      <c r="G75" s="15" t="s">
        <v>292</v>
      </c>
      <c r="H75" s="15" t="s">
        <v>617</v>
      </c>
      <c r="I75" s="15" t="s">
        <v>294</v>
      </c>
      <c r="J75" s="15" t="s">
        <v>295</v>
      </c>
      <c r="K75" s="28" t="s">
        <v>35</v>
      </c>
      <c r="L75" s="15"/>
      <c r="M75" s="15"/>
      <c r="N75" s="15"/>
      <c r="O75" s="75" t="s">
        <v>618</v>
      </c>
      <c r="P75" s="15"/>
      <c r="Q75" s="15"/>
      <c r="R75" s="15"/>
      <c r="S75" s="15"/>
      <c r="T75" s="23"/>
      <c r="U75" s="23"/>
      <c r="V75" s="23"/>
      <c r="W75" s="23"/>
      <c r="X75" s="23"/>
      <c r="Y75" s="23"/>
      <c r="Z75" s="23"/>
      <c r="AA75" s="23"/>
      <c r="AB75" s="23"/>
      <c r="AC75" s="23"/>
      <c r="AD75" s="23"/>
      <c r="AE75" s="23"/>
      <c r="AF75" s="23"/>
      <c r="AG75" s="23"/>
    </row>
    <row r="76" ht="15.75" customHeight="1">
      <c r="A76" s="78"/>
      <c r="B76" s="78"/>
      <c r="C76" s="5" t="s">
        <v>619</v>
      </c>
      <c r="D76" s="15" t="s">
        <v>620</v>
      </c>
      <c r="E76" s="5" t="s">
        <v>135</v>
      </c>
      <c r="F76" s="15"/>
      <c r="G76" s="15" t="s">
        <v>567</v>
      </c>
      <c r="H76" s="15" t="s">
        <v>621</v>
      </c>
      <c r="I76" s="15" t="s">
        <v>569</v>
      </c>
      <c r="J76" s="15" t="s">
        <v>570</v>
      </c>
      <c r="K76" s="28" t="s">
        <v>35</v>
      </c>
      <c r="L76" s="15"/>
      <c r="M76" s="15"/>
      <c r="N76" s="15"/>
      <c r="O76" s="75" t="s">
        <v>622</v>
      </c>
      <c r="P76" s="15"/>
      <c r="Q76" s="15"/>
      <c r="R76" s="15"/>
      <c r="S76" s="15"/>
      <c r="T76" s="23"/>
      <c r="U76" s="23"/>
      <c r="V76" s="23"/>
      <c r="W76" s="23"/>
      <c r="X76" s="23"/>
      <c r="Y76" s="23"/>
      <c r="Z76" s="23"/>
      <c r="AA76" s="23"/>
      <c r="AB76" s="23"/>
      <c r="AC76" s="23"/>
      <c r="AD76" s="23"/>
      <c r="AE76" s="23"/>
      <c r="AF76" s="23"/>
      <c r="AG76" s="23"/>
    </row>
    <row r="77" ht="15.75" customHeight="1">
      <c r="A77" s="78"/>
      <c r="B77" s="78"/>
      <c r="C77" s="5" t="s">
        <v>623</v>
      </c>
      <c r="D77" s="15" t="s">
        <v>346</v>
      </c>
      <c r="E77" s="5" t="s">
        <v>135</v>
      </c>
      <c r="F77" s="15"/>
      <c r="G77" s="15" t="s">
        <v>347</v>
      </c>
      <c r="H77" s="15"/>
      <c r="I77" s="15" t="s">
        <v>348</v>
      </c>
      <c r="J77" s="15" t="s">
        <v>349</v>
      </c>
      <c r="K77" s="28" t="s">
        <v>35</v>
      </c>
      <c r="L77" s="15"/>
      <c r="M77" s="15"/>
      <c r="N77" s="15"/>
      <c r="O77" s="75" t="s">
        <v>624</v>
      </c>
      <c r="P77" s="15"/>
      <c r="Q77" s="15"/>
      <c r="R77" s="15"/>
      <c r="S77" s="15"/>
      <c r="T77" s="23"/>
      <c r="U77" s="23"/>
      <c r="V77" s="23"/>
      <c r="W77" s="23"/>
      <c r="X77" s="23"/>
      <c r="Y77" s="23"/>
      <c r="Z77" s="23"/>
      <c r="AA77" s="23"/>
      <c r="AB77" s="23"/>
      <c r="AC77" s="23"/>
      <c r="AD77" s="23"/>
      <c r="AE77" s="23"/>
      <c r="AF77" s="23"/>
      <c r="AG77" s="23"/>
    </row>
    <row r="78" ht="15.75" customHeight="1">
      <c r="A78" s="78"/>
      <c r="B78" s="78"/>
      <c r="C78" s="5" t="s">
        <v>625</v>
      </c>
      <c r="D78" s="15" t="s">
        <v>626</v>
      </c>
      <c r="E78" s="5" t="s">
        <v>135</v>
      </c>
      <c r="F78" s="15"/>
      <c r="G78" s="15"/>
      <c r="H78" s="15"/>
      <c r="I78" s="15"/>
      <c r="J78" s="15"/>
      <c r="K78" s="28" t="s">
        <v>35</v>
      </c>
      <c r="L78" s="15"/>
      <c r="M78" s="15"/>
      <c r="N78" s="15"/>
      <c r="O78" s="75" t="s">
        <v>627</v>
      </c>
      <c r="P78" s="15"/>
      <c r="Q78" s="15"/>
      <c r="R78" s="15"/>
      <c r="S78" s="15"/>
      <c r="T78" s="23"/>
      <c r="U78" s="23"/>
      <c r="V78" s="23"/>
      <c r="W78" s="23"/>
      <c r="X78" s="23"/>
      <c r="Y78" s="23"/>
      <c r="Z78" s="23"/>
      <c r="AA78" s="23"/>
      <c r="AB78" s="23"/>
      <c r="AC78" s="23"/>
      <c r="AD78" s="23"/>
      <c r="AE78" s="23"/>
      <c r="AF78" s="23"/>
      <c r="AG78" s="23"/>
    </row>
    <row r="79" ht="15.75" customHeight="1">
      <c r="A79" s="78"/>
      <c r="B79" s="78"/>
      <c r="C79" s="5" t="s">
        <v>628</v>
      </c>
      <c r="D79" s="15" t="s">
        <v>629</v>
      </c>
      <c r="E79" s="5" t="s">
        <v>135</v>
      </c>
      <c r="F79" s="15"/>
      <c r="G79" s="15"/>
      <c r="H79" s="15"/>
      <c r="I79" s="15"/>
      <c r="J79" s="15"/>
      <c r="K79" s="28" t="s">
        <v>35</v>
      </c>
      <c r="L79" s="15"/>
      <c r="M79" s="15"/>
      <c r="N79" s="15"/>
      <c r="O79" s="75" t="s">
        <v>630</v>
      </c>
      <c r="P79" s="15"/>
      <c r="Q79" s="15"/>
      <c r="R79" s="15"/>
      <c r="S79" s="15"/>
      <c r="T79" s="23"/>
      <c r="U79" s="23"/>
      <c r="V79" s="23"/>
      <c r="W79" s="23"/>
      <c r="X79" s="23"/>
      <c r="Y79" s="23"/>
      <c r="Z79" s="23"/>
      <c r="AA79" s="23"/>
      <c r="AB79" s="23"/>
      <c r="AC79" s="23"/>
      <c r="AD79" s="23"/>
      <c r="AE79" s="23"/>
      <c r="AF79" s="23"/>
      <c r="AG79" s="23"/>
    </row>
    <row r="80" ht="15.75" customHeight="1">
      <c r="A80" s="78"/>
      <c r="B80" s="78"/>
      <c r="C80" s="5" t="s">
        <v>631</v>
      </c>
      <c r="D80" s="15" t="s">
        <v>632</v>
      </c>
      <c r="E80" s="5" t="s">
        <v>135</v>
      </c>
      <c r="F80" s="15"/>
      <c r="G80" s="15"/>
      <c r="H80" s="15"/>
      <c r="I80" s="15"/>
      <c r="J80" s="15"/>
      <c r="K80" s="28" t="s">
        <v>35</v>
      </c>
      <c r="L80" s="15"/>
      <c r="M80" s="15"/>
      <c r="N80" s="15"/>
      <c r="O80" s="75" t="s">
        <v>633</v>
      </c>
      <c r="P80" s="15"/>
      <c r="Q80" s="15"/>
      <c r="R80" s="15"/>
      <c r="S80" s="15"/>
      <c r="T80" s="23"/>
      <c r="U80" s="23"/>
      <c r="V80" s="23"/>
      <c r="W80" s="23"/>
      <c r="X80" s="23"/>
      <c r="Y80" s="23"/>
      <c r="Z80" s="23"/>
      <c r="AA80" s="23"/>
      <c r="AB80" s="23"/>
      <c r="AC80" s="23"/>
      <c r="AD80" s="23"/>
      <c r="AE80" s="23"/>
      <c r="AF80" s="23"/>
      <c r="AG80" s="23"/>
    </row>
    <row r="81" ht="15.75" customHeight="1">
      <c r="A81" s="78"/>
      <c r="B81" s="78"/>
      <c r="C81" s="5" t="s">
        <v>634</v>
      </c>
      <c r="D81" s="15" t="s">
        <v>635</v>
      </c>
      <c r="E81" s="5" t="s">
        <v>135</v>
      </c>
      <c r="F81" s="15"/>
      <c r="G81" s="15"/>
      <c r="H81" s="15"/>
      <c r="I81" s="15"/>
      <c r="J81" s="15"/>
      <c r="K81" s="28" t="s">
        <v>35</v>
      </c>
      <c r="L81" s="15"/>
      <c r="M81" s="15"/>
      <c r="N81" s="15"/>
      <c r="O81" s="75" t="s">
        <v>636</v>
      </c>
      <c r="P81" s="15"/>
      <c r="Q81" s="15"/>
      <c r="R81" s="15"/>
      <c r="S81" s="15"/>
      <c r="T81" s="23"/>
      <c r="U81" s="23"/>
      <c r="V81" s="23"/>
      <c r="W81" s="23"/>
      <c r="X81" s="23"/>
      <c r="Y81" s="23"/>
      <c r="Z81" s="23"/>
      <c r="AA81" s="23"/>
      <c r="AB81" s="23"/>
      <c r="AC81" s="23"/>
      <c r="AD81" s="23"/>
      <c r="AE81" s="23"/>
      <c r="AF81" s="23"/>
      <c r="AG81" s="23"/>
    </row>
    <row r="82" ht="15.75" customHeight="1">
      <c r="A82" s="78"/>
      <c r="B82" s="78"/>
      <c r="C82" s="5" t="s">
        <v>637</v>
      </c>
      <c r="D82" s="15" t="s">
        <v>638</v>
      </c>
      <c r="E82" s="5" t="s">
        <v>135</v>
      </c>
      <c r="F82" s="15"/>
      <c r="G82" s="15"/>
      <c r="H82" s="15"/>
      <c r="I82" s="15"/>
      <c r="J82" s="15"/>
      <c r="K82" s="28" t="s">
        <v>35</v>
      </c>
      <c r="L82" s="15"/>
      <c r="M82" s="15"/>
      <c r="N82" s="15"/>
      <c r="O82" s="75" t="s">
        <v>639</v>
      </c>
      <c r="P82" s="15"/>
      <c r="Q82" s="15"/>
      <c r="R82" s="15"/>
      <c r="S82" s="15"/>
      <c r="T82" s="23"/>
      <c r="U82" s="23"/>
      <c r="V82" s="23"/>
      <c r="W82" s="23"/>
      <c r="X82" s="23"/>
      <c r="Y82" s="23"/>
      <c r="Z82" s="23"/>
      <c r="AA82" s="23"/>
      <c r="AB82" s="23"/>
      <c r="AC82" s="23"/>
      <c r="AD82" s="23"/>
      <c r="AE82" s="23"/>
      <c r="AF82" s="23"/>
      <c r="AG82" s="23"/>
    </row>
    <row r="83" ht="15.75" customHeight="1">
      <c r="A83" s="78"/>
      <c r="B83" s="78"/>
      <c r="C83" s="5" t="s">
        <v>640</v>
      </c>
      <c r="D83" s="15" t="s">
        <v>641</v>
      </c>
      <c r="E83" s="5" t="s">
        <v>135</v>
      </c>
      <c r="F83" s="15"/>
      <c r="G83" s="15"/>
      <c r="H83" s="15"/>
      <c r="I83" s="15"/>
      <c r="J83" s="15"/>
      <c r="K83" s="28" t="s">
        <v>35</v>
      </c>
      <c r="L83" s="15"/>
      <c r="M83" s="15"/>
      <c r="N83" s="15"/>
      <c r="O83" s="75" t="s">
        <v>642</v>
      </c>
      <c r="P83" s="15"/>
      <c r="Q83" s="15"/>
      <c r="R83" s="15"/>
      <c r="S83" s="15"/>
      <c r="T83" s="23"/>
      <c r="U83" s="23"/>
      <c r="V83" s="23"/>
      <c r="W83" s="23"/>
      <c r="X83" s="23"/>
      <c r="Y83" s="23"/>
      <c r="Z83" s="23"/>
      <c r="AA83" s="23"/>
      <c r="AB83" s="23"/>
      <c r="AC83" s="23"/>
      <c r="AD83" s="23"/>
      <c r="AE83" s="23"/>
      <c r="AF83" s="23"/>
      <c r="AG83" s="23"/>
    </row>
    <row r="84" ht="15.75" customHeight="1">
      <c r="A84" s="78"/>
      <c r="B84" s="78"/>
      <c r="C84" s="5" t="s">
        <v>643</v>
      </c>
      <c r="D84" s="15" t="s">
        <v>644</v>
      </c>
      <c r="E84" s="5" t="s">
        <v>135</v>
      </c>
      <c r="F84" s="15"/>
      <c r="G84" s="15"/>
      <c r="H84" s="15"/>
      <c r="I84" s="15"/>
      <c r="J84" s="15"/>
      <c r="K84" s="28" t="s">
        <v>35</v>
      </c>
      <c r="L84" s="15"/>
      <c r="M84" s="15"/>
      <c r="N84" s="15"/>
      <c r="O84" s="75" t="s">
        <v>645</v>
      </c>
      <c r="P84" s="15"/>
      <c r="Q84" s="15"/>
      <c r="R84" s="15"/>
      <c r="S84" s="15"/>
      <c r="T84" s="23"/>
      <c r="U84" s="23"/>
      <c r="V84" s="23"/>
      <c r="W84" s="23"/>
      <c r="X84" s="23"/>
      <c r="Y84" s="23"/>
      <c r="Z84" s="23"/>
      <c r="AA84" s="23"/>
      <c r="AB84" s="23"/>
      <c r="AC84" s="23"/>
      <c r="AD84" s="23"/>
      <c r="AE84" s="23"/>
      <c r="AF84" s="23"/>
      <c r="AG84" s="23"/>
    </row>
    <row r="85" ht="15.75" customHeight="1">
      <c r="A85" s="78"/>
      <c r="B85" s="78"/>
      <c r="C85" s="5" t="s">
        <v>646</v>
      </c>
      <c r="D85" s="15" t="s">
        <v>647</v>
      </c>
      <c r="E85" s="5" t="s">
        <v>135</v>
      </c>
      <c r="F85" s="15"/>
      <c r="G85" s="15"/>
      <c r="H85" s="15"/>
      <c r="I85" s="15"/>
      <c r="J85" s="15"/>
      <c r="K85" s="28" t="s">
        <v>35</v>
      </c>
      <c r="L85" s="15"/>
      <c r="M85" s="15"/>
      <c r="N85" s="15"/>
      <c r="O85" s="75" t="s">
        <v>648</v>
      </c>
      <c r="P85" s="15"/>
      <c r="Q85" s="15"/>
      <c r="R85" s="15"/>
      <c r="S85" s="15"/>
      <c r="T85" s="23"/>
      <c r="U85" s="23"/>
      <c r="V85" s="23"/>
      <c r="W85" s="23"/>
      <c r="X85" s="23"/>
      <c r="Y85" s="23"/>
      <c r="Z85" s="23"/>
      <c r="AA85" s="23"/>
      <c r="AB85" s="23"/>
      <c r="AC85" s="23"/>
      <c r="AD85" s="23"/>
      <c r="AE85" s="23"/>
      <c r="AF85" s="23"/>
      <c r="AG85" s="23"/>
    </row>
    <row r="86" ht="15.75" customHeight="1">
      <c r="A86" s="78"/>
      <c r="B86" s="78"/>
      <c r="C86" s="5" t="s">
        <v>649</v>
      </c>
      <c r="D86" s="15" t="s">
        <v>650</v>
      </c>
      <c r="E86" s="5" t="s">
        <v>135</v>
      </c>
      <c r="F86" s="15"/>
      <c r="G86" s="15"/>
      <c r="H86" s="15"/>
      <c r="I86" s="15"/>
      <c r="J86" s="15"/>
      <c r="K86" s="28" t="s">
        <v>35</v>
      </c>
      <c r="L86" s="15"/>
      <c r="M86" s="15"/>
      <c r="N86" s="15"/>
      <c r="O86" s="75" t="s">
        <v>651</v>
      </c>
      <c r="P86" s="15"/>
      <c r="Q86" s="15"/>
      <c r="R86" s="15"/>
      <c r="S86" s="15"/>
      <c r="T86" s="23"/>
      <c r="U86" s="23"/>
      <c r="V86" s="23"/>
      <c r="W86" s="23"/>
      <c r="X86" s="23"/>
      <c r="Y86" s="23"/>
      <c r="Z86" s="23"/>
      <c r="AA86" s="23"/>
      <c r="AB86" s="23"/>
      <c r="AC86" s="23"/>
      <c r="AD86" s="23"/>
      <c r="AE86" s="23"/>
      <c r="AF86" s="23"/>
      <c r="AG86" s="23"/>
    </row>
    <row r="87" ht="15.75" customHeight="1">
      <c r="A87" s="82"/>
      <c r="B87" s="82"/>
      <c r="C87" s="5" t="s">
        <v>652</v>
      </c>
      <c r="D87" s="15" t="s">
        <v>346</v>
      </c>
      <c r="E87" s="5" t="s">
        <v>135</v>
      </c>
      <c r="F87" s="15"/>
      <c r="G87" s="15"/>
      <c r="H87" s="15"/>
      <c r="I87" s="15"/>
      <c r="J87" s="15"/>
      <c r="K87" s="28" t="s">
        <v>35</v>
      </c>
      <c r="L87" s="15"/>
      <c r="M87" s="15"/>
      <c r="N87" s="15"/>
      <c r="O87" s="75" t="s">
        <v>653</v>
      </c>
      <c r="P87" s="15"/>
      <c r="Q87" s="15"/>
      <c r="R87" s="15"/>
      <c r="S87" s="15"/>
      <c r="T87" s="23"/>
      <c r="U87" s="23"/>
      <c r="V87" s="23"/>
      <c r="W87" s="23"/>
      <c r="X87" s="23"/>
      <c r="Y87" s="23"/>
      <c r="Z87" s="23"/>
      <c r="AA87" s="23"/>
      <c r="AB87" s="23"/>
      <c r="AC87" s="23"/>
      <c r="AD87" s="23"/>
      <c r="AE87" s="23"/>
      <c r="AF87" s="23"/>
      <c r="AG87" s="23"/>
    </row>
    <row r="88" ht="15.75" customHeight="1">
      <c r="A88" s="15"/>
      <c r="B88" s="15"/>
      <c r="C88" s="15"/>
      <c r="D88" s="15"/>
      <c r="E88" s="15"/>
      <c r="F88" s="15"/>
      <c r="G88" s="15"/>
      <c r="H88" s="15"/>
      <c r="I88" s="15"/>
      <c r="J88" s="15"/>
      <c r="K88" s="15"/>
      <c r="L88" s="15"/>
      <c r="M88" s="15"/>
      <c r="N88" s="15"/>
      <c r="O88" s="15"/>
      <c r="P88" s="15"/>
      <c r="Q88" s="15"/>
      <c r="R88" s="15"/>
      <c r="S88" s="15"/>
      <c r="T88" s="23"/>
      <c r="U88" s="23"/>
      <c r="V88" s="23"/>
      <c r="W88" s="23"/>
      <c r="X88" s="23"/>
      <c r="Y88" s="23"/>
      <c r="Z88" s="23"/>
      <c r="AA88" s="23"/>
      <c r="AB88" s="23"/>
      <c r="AC88" s="23"/>
      <c r="AD88" s="23"/>
      <c r="AE88" s="23"/>
      <c r="AF88" s="23"/>
      <c r="AG88" s="23"/>
    </row>
    <row r="89" ht="15.75" customHeight="1">
      <c r="A89" s="15"/>
      <c r="B89" s="15"/>
      <c r="C89" s="15"/>
      <c r="D89" s="15"/>
      <c r="E89" s="15"/>
      <c r="F89" s="15"/>
      <c r="G89" s="15"/>
      <c r="H89" s="15"/>
      <c r="I89" s="15"/>
      <c r="J89" s="15"/>
      <c r="K89" s="15"/>
      <c r="L89" s="15"/>
      <c r="M89" s="15"/>
      <c r="N89" s="15"/>
      <c r="O89" s="15"/>
      <c r="P89" s="15"/>
      <c r="Q89" s="15"/>
      <c r="R89" s="15"/>
      <c r="S89" s="15"/>
      <c r="T89" s="23"/>
      <c r="U89" s="23"/>
      <c r="V89" s="23"/>
      <c r="W89" s="23"/>
      <c r="X89" s="23"/>
      <c r="Y89" s="23"/>
      <c r="Z89" s="23"/>
      <c r="AA89" s="23"/>
      <c r="AB89" s="23"/>
      <c r="AC89" s="23"/>
      <c r="AD89" s="23"/>
      <c r="AE89" s="23"/>
      <c r="AF89" s="23"/>
      <c r="AG89" s="23"/>
    </row>
    <row r="90" ht="15.75" customHeight="1">
      <c r="A90" s="15"/>
      <c r="B90" s="15"/>
      <c r="C90" s="15"/>
      <c r="D90" s="15"/>
      <c r="E90" s="15"/>
      <c r="F90" s="15"/>
      <c r="G90" s="15"/>
      <c r="H90" s="15"/>
      <c r="I90" s="15"/>
      <c r="J90" s="15"/>
      <c r="K90" s="15"/>
      <c r="L90" s="15"/>
      <c r="M90" s="15"/>
      <c r="N90" s="15"/>
      <c r="O90" s="15"/>
      <c r="P90" s="15"/>
      <c r="Q90" s="15"/>
      <c r="R90" s="15"/>
      <c r="S90" s="15"/>
      <c r="T90" s="23"/>
      <c r="U90" s="23"/>
      <c r="V90" s="23"/>
      <c r="W90" s="23"/>
      <c r="X90" s="23"/>
      <c r="Y90" s="23"/>
      <c r="Z90" s="23"/>
      <c r="AA90" s="23"/>
      <c r="AB90" s="23"/>
      <c r="AC90" s="23"/>
      <c r="AD90" s="23"/>
      <c r="AE90" s="23"/>
      <c r="AF90" s="23"/>
      <c r="AG90" s="23"/>
    </row>
    <row r="91" ht="15.75" customHeight="1">
      <c r="A91" s="15"/>
      <c r="B91" s="15"/>
      <c r="C91" s="15"/>
      <c r="D91" s="15"/>
      <c r="E91" s="15"/>
      <c r="F91" s="15"/>
      <c r="G91" s="15"/>
      <c r="H91" s="15"/>
      <c r="I91" s="15"/>
      <c r="J91" s="15"/>
      <c r="K91" s="15"/>
      <c r="L91" s="15"/>
      <c r="M91" s="15"/>
      <c r="N91" s="15"/>
      <c r="O91" s="15"/>
      <c r="P91" s="15"/>
      <c r="Q91" s="15"/>
      <c r="R91" s="15"/>
      <c r="S91" s="15"/>
      <c r="T91" s="23"/>
      <c r="U91" s="23"/>
      <c r="V91" s="23"/>
      <c r="W91" s="23"/>
      <c r="X91" s="23"/>
      <c r="Y91" s="23"/>
      <c r="Z91" s="23"/>
      <c r="AA91" s="23"/>
      <c r="AB91" s="23"/>
      <c r="AC91" s="23"/>
      <c r="AD91" s="23"/>
      <c r="AE91" s="23"/>
      <c r="AF91" s="23"/>
      <c r="AG91" s="23"/>
    </row>
    <row r="92" ht="15.75" customHeight="1">
      <c r="A92" s="15"/>
      <c r="B92" s="15"/>
      <c r="C92" s="15"/>
      <c r="D92" s="15"/>
      <c r="E92" s="15"/>
      <c r="F92" s="15"/>
      <c r="G92" s="15"/>
      <c r="H92" s="15"/>
      <c r="I92" s="15"/>
      <c r="J92" s="15"/>
      <c r="K92" s="15"/>
      <c r="L92" s="15"/>
      <c r="M92" s="15"/>
      <c r="N92" s="15"/>
      <c r="O92" s="15"/>
      <c r="P92" s="15"/>
      <c r="Q92" s="15"/>
      <c r="R92" s="15"/>
      <c r="S92" s="15"/>
      <c r="T92" s="23"/>
      <c r="U92" s="23"/>
      <c r="V92" s="23"/>
      <c r="W92" s="23"/>
      <c r="X92" s="23"/>
      <c r="Y92" s="23"/>
      <c r="Z92" s="23"/>
      <c r="AA92" s="23"/>
      <c r="AB92" s="23"/>
      <c r="AC92" s="23"/>
      <c r="AD92" s="23"/>
      <c r="AE92" s="23"/>
      <c r="AF92" s="23"/>
      <c r="AG92" s="23"/>
    </row>
    <row r="93" ht="15.75" customHeight="1">
      <c r="A93" s="15"/>
      <c r="B93" s="15"/>
      <c r="C93" s="15"/>
      <c r="D93" s="15"/>
      <c r="E93" s="15"/>
      <c r="F93" s="15"/>
      <c r="G93" s="15"/>
      <c r="H93" s="15"/>
      <c r="I93" s="15"/>
      <c r="J93" s="15"/>
      <c r="K93" s="15"/>
      <c r="L93" s="15"/>
      <c r="M93" s="15"/>
      <c r="N93" s="15"/>
      <c r="O93" s="15"/>
      <c r="P93" s="15"/>
      <c r="Q93" s="15"/>
      <c r="R93" s="15"/>
      <c r="S93" s="15"/>
      <c r="T93" s="23"/>
      <c r="U93" s="23"/>
      <c r="V93" s="23"/>
      <c r="W93" s="23"/>
      <c r="X93" s="23"/>
      <c r="Y93" s="23"/>
      <c r="Z93" s="23"/>
      <c r="AA93" s="23"/>
      <c r="AB93" s="23"/>
      <c r="AC93" s="23"/>
      <c r="AD93" s="23"/>
      <c r="AE93" s="23"/>
      <c r="AF93" s="23"/>
      <c r="AG93" s="23"/>
    </row>
    <row r="94" ht="15.75" customHeight="1">
      <c r="A94" s="15"/>
      <c r="B94" s="15"/>
      <c r="C94" s="15"/>
      <c r="D94" s="15"/>
      <c r="E94" s="15"/>
      <c r="F94" s="15"/>
      <c r="G94" s="15"/>
      <c r="H94" s="15"/>
      <c r="I94" s="15"/>
      <c r="J94" s="15"/>
      <c r="K94" s="15"/>
      <c r="L94" s="15"/>
      <c r="M94" s="15"/>
      <c r="N94" s="15"/>
      <c r="O94" s="15"/>
      <c r="P94" s="15"/>
      <c r="Q94" s="15"/>
      <c r="R94" s="15"/>
      <c r="S94" s="15"/>
      <c r="T94" s="23"/>
      <c r="U94" s="23"/>
      <c r="V94" s="23"/>
      <c r="W94" s="23"/>
      <c r="X94" s="23"/>
      <c r="Y94" s="23"/>
      <c r="Z94" s="23"/>
      <c r="AA94" s="23"/>
      <c r="AB94" s="23"/>
      <c r="AC94" s="23"/>
      <c r="AD94" s="23"/>
      <c r="AE94" s="23"/>
      <c r="AF94" s="23"/>
      <c r="AG94" s="23"/>
    </row>
    <row r="95" ht="15.75" customHeight="1">
      <c r="A95" s="23"/>
      <c r="B95" s="23"/>
      <c r="C95" s="23"/>
      <c r="D95" s="23"/>
      <c r="E95" s="23"/>
      <c r="F95" s="23"/>
      <c r="G95" s="23"/>
      <c r="H95" s="23"/>
      <c r="I95" s="23"/>
      <c r="J95" s="23"/>
      <c r="K95" s="23"/>
      <c r="L95" s="23"/>
      <c r="M95" s="23"/>
      <c r="N95" s="23"/>
      <c r="O95" s="23"/>
      <c r="P95" s="23"/>
      <c r="Q95" s="23"/>
      <c r="R95" s="23"/>
      <c r="S95" s="23"/>
      <c r="T95" s="23"/>
      <c r="U95" s="23"/>
      <c r="V95" s="23"/>
      <c r="W95" s="23"/>
      <c r="X95" s="23"/>
      <c r="Y95" s="23"/>
      <c r="Z95" s="23"/>
      <c r="AA95" s="23"/>
      <c r="AB95" s="23"/>
      <c r="AC95" s="23"/>
      <c r="AD95" s="23"/>
      <c r="AE95" s="23"/>
      <c r="AF95" s="23"/>
      <c r="AG95" s="23"/>
    </row>
    <row r="96" ht="15.75" customHeight="1">
      <c r="A96" s="23"/>
      <c r="B96" s="23"/>
      <c r="C96" s="23"/>
      <c r="D96" s="23"/>
      <c r="E96" s="23"/>
      <c r="F96" s="23"/>
      <c r="G96" s="23"/>
      <c r="H96" s="23"/>
      <c r="I96" s="23"/>
      <c r="J96" s="23"/>
      <c r="K96" s="23"/>
      <c r="L96" s="23"/>
      <c r="M96" s="23"/>
      <c r="N96" s="23"/>
      <c r="O96" s="23"/>
      <c r="P96" s="23"/>
      <c r="Q96" s="23"/>
      <c r="R96" s="23"/>
      <c r="S96" s="23"/>
      <c r="T96" s="23"/>
      <c r="U96" s="23"/>
      <c r="V96" s="23"/>
      <c r="W96" s="23"/>
      <c r="X96" s="23"/>
      <c r="Y96" s="23"/>
      <c r="Z96" s="23"/>
      <c r="AA96" s="23"/>
      <c r="AB96" s="23"/>
      <c r="AC96" s="23"/>
      <c r="AD96" s="23"/>
      <c r="AE96" s="23"/>
      <c r="AF96" s="23"/>
      <c r="AG96" s="23"/>
    </row>
    <row r="97" ht="15.75" customHeight="1">
      <c r="A97" s="23"/>
      <c r="B97" s="23"/>
      <c r="C97" s="23"/>
      <c r="D97" s="23"/>
      <c r="E97" s="23"/>
      <c r="F97" s="23"/>
      <c r="G97" s="23"/>
      <c r="H97" s="23"/>
      <c r="I97" s="23"/>
      <c r="J97" s="23"/>
      <c r="K97" s="23"/>
      <c r="L97" s="23"/>
      <c r="M97" s="23"/>
      <c r="N97" s="23"/>
      <c r="O97" s="23"/>
      <c r="P97" s="23"/>
      <c r="Q97" s="23"/>
      <c r="R97" s="23"/>
      <c r="S97" s="23"/>
      <c r="T97" s="23"/>
      <c r="U97" s="23"/>
      <c r="V97" s="23"/>
      <c r="W97" s="23"/>
      <c r="X97" s="23"/>
      <c r="Y97" s="23"/>
      <c r="Z97" s="23"/>
      <c r="AA97" s="23"/>
      <c r="AB97" s="23"/>
      <c r="AC97" s="23"/>
      <c r="AD97" s="23"/>
      <c r="AE97" s="23"/>
      <c r="AF97" s="23"/>
      <c r="AG97" s="23"/>
    </row>
    <row r="98" ht="15.75" customHeight="1">
      <c r="A98" s="23"/>
      <c r="B98" s="23"/>
      <c r="C98" s="23"/>
      <c r="D98" s="23"/>
      <c r="E98" s="23"/>
      <c r="F98" s="23"/>
      <c r="G98" s="23"/>
      <c r="H98" s="23"/>
      <c r="I98" s="23"/>
      <c r="J98" s="23"/>
      <c r="K98" s="23"/>
      <c r="L98" s="23"/>
      <c r="M98" s="23"/>
      <c r="N98" s="23"/>
      <c r="O98" s="23"/>
      <c r="P98" s="23"/>
      <c r="Q98" s="23"/>
      <c r="R98" s="23"/>
      <c r="S98" s="23"/>
      <c r="T98" s="23"/>
      <c r="U98" s="23"/>
      <c r="V98" s="23"/>
      <c r="W98" s="23"/>
      <c r="X98" s="23"/>
      <c r="Y98" s="23"/>
      <c r="Z98" s="23"/>
      <c r="AA98" s="23"/>
      <c r="AB98" s="23"/>
      <c r="AC98" s="23"/>
      <c r="AD98" s="23"/>
      <c r="AE98" s="23"/>
      <c r="AF98" s="23"/>
      <c r="AG98" s="23"/>
    </row>
    <row r="99" ht="15.75" customHeight="1">
      <c r="A99" s="23"/>
      <c r="B99" s="23"/>
      <c r="C99" s="23"/>
      <c r="D99" s="23"/>
      <c r="E99" s="23"/>
      <c r="F99" s="23"/>
      <c r="G99" s="23"/>
      <c r="H99" s="23"/>
      <c r="I99" s="23"/>
      <c r="J99" s="23"/>
      <c r="K99" s="23"/>
      <c r="L99" s="23"/>
      <c r="M99" s="23"/>
      <c r="N99" s="23"/>
      <c r="O99" s="23"/>
      <c r="P99" s="23"/>
      <c r="Q99" s="23"/>
      <c r="R99" s="23"/>
      <c r="S99" s="23"/>
      <c r="T99" s="23"/>
      <c r="U99" s="23"/>
      <c r="V99" s="23"/>
      <c r="W99" s="23"/>
      <c r="X99" s="23"/>
      <c r="Y99" s="23"/>
      <c r="Z99" s="23"/>
      <c r="AA99" s="23"/>
      <c r="AB99" s="23"/>
      <c r="AC99" s="23"/>
      <c r="AD99" s="23"/>
      <c r="AE99" s="23"/>
      <c r="AF99" s="23"/>
      <c r="AG99" s="23"/>
    </row>
    <row r="100" ht="15.75" customHeight="1">
      <c r="A100" s="23"/>
      <c r="B100" s="23"/>
      <c r="C100" s="23"/>
      <c r="D100" s="23"/>
      <c r="E100" s="23"/>
      <c r="F100" s="23"/>
      <c r="G100" s="23"/>
      <c r="H100" s="23"/>
      <c r="I100" s="23"/>
      <c r="J100" s="23"/>
      <c r="K100" s="23"/>
      <c r="L100" s="23"/>
      <c r="M100" s="23"/>
      <c r="N100" s="23"/>
      <c r="O100" s="23"/>
      <c r="P100" s="23"/>
      <c r="Q100" s="23"/>
      <c r="R100" s="23"/>
      <c r="S100" s="23"/>
      <c r="T100" s="23"/>
      <c r="U100" s="23"/>
      <c r="V100" s="23"/>
      <c r="W100" s="23"/>
      <c r="X100" s="23"/>
      <c r="Y100" s="23"/>
      <c r="Z100" s="23"/>
      <c r="AA100" s="23"/>
      <c r="AB100" s="23"/>
      <c r="AC100" s="23"/>
      <c r="AD100" s="23"/>
      <c r="AE100" s="23"/>
      <c r="AF100" s="23"/>
      <c r="AG100" s="23"/>
    </row>
    <row r="101" ht="15.75" customHeight="1">
      <c r="A101" s="23"/>
      <c r="B101" s="23"/>
      <c r="C101" s="23"/>
      <c r="D101" s="23"/>
      <c r="E101" s="23"/>
      <c r="F101" s="23"/>
      <c r="G101" s="23"/>
      <c r="H101" s="23"/>
      <c r="I101" s="23"/>
      <c r="J101" s="23"/>
      <c r="K101" s="23"/>
      <c r="L101" s="23"/>
      <c r="M101" s="23"/>
      <c r="N101" s="23"/>
      <c r="O101" s="23"/>
      <c r="P101" s="23"/>
      <c r="Q101" s="23"/>
      <c r="R101" s="23"/>
      <c r="S101" s="23"/>
      <c r="T101" s="23"/>
      <c r="U101" s="23"/>
      <c r="V101" s="23"/>
      <c r="W101" s="23"/>
      <c r="X101" s="23"/>
      <c r="Y101" s="23"/>
      <c r="Z101" s="23"/>
      <c r="AA101" s="23"/>
      <c r="AB101" s="23"/>
      <c r="AC101" s="23"/>
      <c r="AD101" s="23"/>
      <c r="AE101" s="23"/>
      <c r="AF101" s="23"/>
      <c r="AG101" s="23"/>
    </row>
    <row r="102" ht="15.75" customHeight="1">
      <c r="A102" s="23"/>
      <c r="B102" s="23"/>
      <c r="C102" s="23"/>
      <c r="D102" s="23"/>
      <c r="E102" s="23"/>
      <c r="F102" s="23"/>
      <c r="G102" s="23"/>
      <c r="H102" s="23"/>
      <c r="I102" s="23"/>
      <c r="J102" s="23"/>
      <c r="K102" s="23"/>
      <c r="L102" s="23"/>
      <c r="M102" s="23"/>
      <c r="N102" s="23"/>
      <c r="O102" s="23"/>
      <c r="P102" s="23"/>
      <c r="Q102" s="23"/>
      <c r="R102" s="23"/>
      <c r="S102" s="23"/>
      <c r="T102" s="23"/>
      <c r="U102" s="23"/>
      <c r="V102" s="23"/>
      <c r="W102" s="23"/>
      <c r="X102" s="23"/>
      <c r="Y102" s="23"/>
      <c r="Z102" s="23"/>
      <c r="AA102" s="23"/>
      <c r="AB102" s="23"/>
      <c r="AC102" s="23"/>
      <c r="AD102" s="23"/>
      <c r="AE102" s="23"/>
      <c r="AF102" s="23"/>
      <c r="AG102" s="23"/>
    </row>
    <row r="103" ht="15.75" customHeight="1">
      <c r="A103" s="23"/>
      <c r="B103" s="23"/>
      <c r="C103" s="23"/>
      <c r="D103" s="23"/>
      <c r="E103" s="23"/>
      <c r="F103" s="23"/>
      <c r="G103" s="23"/>
      <c r="H103" s="23"/>
      <c r="I103" s="23"/>
      <c r="J103" s="23"/>
      <c r="K103" s="23"/>
      <c r="L103" s="23"/>
      <c r="M103" s="23"/>
      <c r="N103" s="23"/>
      <c r="O103" s="23"/>
      <c r="P103" s="23"/>
      <c r="Q103" s="23"/>
      <c r="R103" s="23"/>
      <c r="S103" s="23"/>
      <c r="T103" s="23"/>
      <c r="U103" s="23"/>
      <c r="V103" s="23"/>
      <c r="W103" s="23"/>
      <c r="X103" s="23"/>
      <c r="Y103" s="23"/>
      <c r="Z103" s="23"/>
      <c r="AA103" s="23"/>
      <c r="AB103" s="23"/>
      <c r="AC103" s="23"/>
      <c r="AD103" s="23"/>
      <c r="AE103" s="23"/>
      <c r="AF103" s="23"/>
      <c r="AG103" s="23"/>
    </row>
    <row r="104" ht="15.75" customHeight="1">
      <c r="A104" s="23"/>
      <c r="B104" s="23"/>
      <c r="C104" s="23"/>
      <c r="D104" s="23"/>
      <c r="E104" s="23"/>
      <c r="F104" s="23"/>
      <c r="G104" s="23"/>
      <c r="H104" s="23"/>
      <c r="I104" s="23"/>
      <c r="J104" s="23"/>
      <c r="K104" s="23"/>
      <c r="L104" s="23"/>
      <c r="M104" s="23"/>
      <c r="N104" s="23"/>
      <c r="O104" s="23"/>
      <c r="P104" s="23"/>
      <c r="Q104" s="23"/>
      <c r="R104" s="23"/>
      <c r="S104" s="23"/>
      <c r="T104" s="23"/>
      <c r="U104" s="23"/>
      <c r="V104" s="23"/>
      <c r="W104" s="23"/>
      <c r="X104" s="23"/>
      <c r="Y104" s="23"/>
      <c r="Z104" s="23"/>
      <c r="AA104" s="23"/>
      <c r="AB104" s="23"/>
      <c r="AC104" s="23"/>
      <c r="AD104" s="23"/>
      <c r="AE104" s="23"/>
      <c r="AF104" s="23"/>
      <c r="AG104" s="23"/>
    </row>
    <row r="105" ht="15.75" customHeight="1">
      <c r="A105" s="23"/>
      <c r="B105" s="23"/>
      <c r="C105" s="23"/>
      <c r="D105" s="23"/>
      <c r="E105" s="23"/>
      <c r="F105" s="23"/>
      <c r="G105" s="23"/>
      <c r="H105" s="23"/>
      <c r="I105" s="23"/>
      <c r="J105" s="23"/>
      <c r="K105" s="23"/>
      <c r="L105" s="23"/>
      <c r="M105" s="23"/>
      <c r="N105" s="23"/>
      <c r="O105" s="23"/>
      <c r="P105" s="23"/>
      <c r="Q105" s="23"/>
      <c r="R105" s="23"/>
      <c r="S105" s="23"/>
      <c r="T105" s="23"/>
      <c r="U105" s="23"/>
      <c r="V105" s="23"/>
      <c r="W105" s="23"/>
      <c r="X105" s="23"/>
      <c r="Y105" s="23"/>
      <c r="Z105" s="23"/>
      <c r="AA105" s="23"/>
      <c r="AB105" s="23"/>
      <c r="AC105" s="23"/>
      <c r="AD105" s="23"/>
      <c r="AE105" s="23"/>
      <c r="AF105" s="23"/>
      <c r="AG105" s="23"/>
    </row>
    <row r="106" ht="15.75" customHeight="1">
      <c r="A106" s="23"/>
      <c r="B106" s="23"/>
      <c r="C106" s="23"/>
      <c r="D106" s="23"/>
      <c r="E106" s="23"/>
      <c r="F106" s="23"/>
      <c r="G106" s="23"/>
      <c r="H106" s="23"/>
      <c r="I106" s="23"/>
      <c r="J106" s="23"/>
      <c r="K106" s="23"/>
      <c r="L106" s="23"/>
      <c r="M106" s="23"/>
      <c r="N106" s="23"/>
      <c r="O106" s="23"/>
      <c r="P106" s="23"/>
      <c r="Q106" s="23"/>
      <c r="R106" s="23"/>
      <c r="S106" s="23"/>
      <c r="T106" s="23"/>
      <c r="U106" s="23"/>
      <c r="V106" s="23"/>
      <c r="W106" s="23"/>
      <c r="X106" s="23"/>
      <c r="Y106" s="23"/>
      <c r="Z106" s="23"/>
      <c r="AA106" s="23"/>
      <c r="AB106" s="23"/>
      <c r="AC106" s="23"/>
      <c r="AD106" s="23"/>
      <c r="AE106" s="23"/>
      <c r="AF106" s="23"/>
      <c r="AG106" s="23"/>
    </row>
    <row r="107" ht="15.75" customHeight="1">
      <c r="A107" s="23"/>
      <c r="B107" s="23"/>
      <c r="C107" s="23"/>
      <c r="D107" s="23"/>
      <c r="E107" s="23"/>
      <c r="F107" s="23"/>
      <c r="G107" s="23"/>
      <c r="H107" s="23"/>
      <c r="I107" s="23"/>
      <c r="J107" s="23"/>
      <c r="K107" s="23"/>
      <c r="L107" s="23"/>
      <c r="M107" s="23"/>
      <c r="N107" s="23"/>
      <c r="O107" s="23"/>
      <c r="P107" s="23"/>
      <c r="Q107" s="23"/>
      <c r="R107" s="23"/>
      <c r="S107" s="23"/>
      <c r="T107" s="23"/>
      <c r="U107" s="23"/>
      <c r="V107" s="23"/>
      <c r="W107" s="23"/>
      <c r="X107" s="23"/>
      <c r="Y107" s="23"/>
      <c r="Z107" s="23"/>
      <c r="AA107" s="23"/>
      <c r="AB107" s="23"/>
      <c r="AC107" s="23"/>
      <c r="AD107" s="23"/>
      <c r="AE107" s="23"/>
      <c r="AF107" s="23"/>
      <c r="AG107" s="23"/>
    </row>
    <row r="108" ht="15.75" customHeight="1">
      <c r="A108" s="23"/>
      <c r="B108" s="23"/>
      <c r="C108" s="23"/>
      <c r="D108" s="23"/>
      <c r="E108" s="23"/>
      <c r="F108" s="23"/>
      <c r="G108" s="23"/>
      <c r="H108" s="23"/>
      <c r="I108" s="23"/>
      <c r="J108" s="23"/>
      <c r="K108" s="23"/>
      <c r="L108" s="23"/>
      <c r="M108" s="23"/>
      <c r="N108" s="23"/>
      <c r="O108" s="23"/>
      <c r="P108" s="23"/>
      <c r="Q108" s="23"/>
      <c r="R108" s="23"/>
      <c r="S108" s="23"/>
      <c r="T108" s="23"/>
      <c r="U108" s="23"/>
      <c r="V108" s="23"/>
      <c r="W108" s="23"/>
      <c r="X108" s="23"/>
      <c r="Y108" s="23"/>
      <c r="Z108" s="23"/>
      <c r="AA108" s="23"/>
      <c r="AB108" s="23"/>
      <c r="AC108" s="23"/>
      <c r="AD108" s="23"/>
      <c r="AE108" s="23"/>
      <c r="AF108" s="23"/>
      <c r="AG108" s="23"/>
    </row>
    <row r="109" ht="15.75" customHeight="1">
      <c r="A109" s="23"/>
      <c r="B109" s="23"/>
      <c r="C109" s="23"/>
      <c r="D109" s="23"/>
      <c r="E109" s="23"/>
      <c r="F109" s="23"/>
      <c r="G109" s="23"/>
      <c r="H109" s="23"/>
      <c r="I109" s="23"/>
      <c r="J109" s="23"/>
      <c r="K109" s="23"/>
      <c r="L109" s="23"/>
      <c r="M109" s="23"/>
      <c r="N109" s="23"/>
      <c r="O109" s="23"/>
      <c r="P109" s="23"/>
      <c r="Q109" s="23"/>
      <c r="R109" s="23"/>
      <c r="S109" s="23"/>
      <c r="T109" s="23"/>
      <c r="U109" s="23"/>
      <c r="V109" s="23"/>
      <c r="W109" s="23"/>
      <c r="X109" s="23"/>
      <c r="Y109" s="23"/>
      <c r="Z109" s="23"/>
      <c r="AA109" s="23"/>
      <c r="AB109" s="23"/>
      <c r="AC109" s="23"/>
      <c r="AD109" s="23"/>
      <c r="AE109" s="23"/>
      <c r="AF109" s="23"/>
      <c r="AG109" s="23"/>
    </row>
    <row r="110" ht="15.75" customHeight="1">
      <c r="A110" s="23"/>
      <c r="B110" s="23"/>
      <c r="C110" s="23"/>
      <c r="D110" s="23"/>
      <c r="E110" s="23"/>
      <c r="F110" s="23"/>
      <c r="G110" s="23"/>
      <c r="H110" s="23"/>
      <c r="I110" s="23"/>
      <c r="J110" s="23"/>
      <c r="K110" s="23"/>
      <c r="L110" s="23"/>
      <c r="M110" s="23"/>
      <c r="N110" s="23"/>
      <c r="O110" s="23"/>
      <c r="P110" s="23"/>
      <c r="Q110" s="23"/>
      <c r="R110" s="23"/>
      <c r="S110" s="23"/>
      <c r="T110" s="23"/>
      <c r="U110" s="23"/>
      <c r="V110" s="23"/>
      <c r="W110" s="23"/>
      <c r="X110" s="23"/>
      <c r="Y110" s="23"/>
      <c r="Z110" s="23"/>
      <c r="AA110" s="23"/>
      <c r="AB110" s="23"/>
      <c r="AC110" s="23"/>
      <c r="AD110" s="23"/>
      <c r="AE110" s="23"/>
      <c r="AF110" s="23"/>
      <c r="AG110" s="23"/>
    </row>
    <row r="111" ht="15.75" customHeight="1">
      <c r="A111" s="23"/>
      <c r="B111" s="23"/>
      <c r="C111" s="23"/>
      <c r="D111" s="23"/>
      <c r="E111" s="23"/>
      <c r="F111" s="23"/>
      <c r="G111" s="23"/>
      <c r="H111" s="23"/>
      <c r="I111" s="23"/>
      <c r="J111" s="23"/>
      <c r="K111" s="23"/>
      <c r="L111" s="23"/>
      <c r="M111" s="23"/>
      <c r="N111" s="23"/>
      <c r="O111" s="23"/>
      <c r="P111" s="23"/>
      <c r="Q111" s="23"/>
      <c r="R111" s="23"/>
      <c r="S111" s="23"/>
      <c r="T111" s="23"/>
      <c r="U111" s="23"/>
      <c r="V111" s="23"/>
      <c r="W111" s="23"/>
      <c r="X111" s="23"/>
      <c r="Y111" s="23"/>
      <c r="Z111" s="23"/>
      <c r="AA111" s="23"/>
      <c r="AB111" s="23"/>
      <c r="AC111" s="23"/>
      <c r="AD111" s="23"/>
      <c r="AE111" s="23"/>
      <c r="AF111" s="23"/>
      <c r="AG111" s="23"/>
    </row>
    <row r="112" ht="15.75" customHeight="1">
      <c r="A112" s="23"/>
      <c r="B112" s="23"/>
      <c r="C112" s="23"/>
      <c r="D112" s="23"/>
      <c r="E112" s="23"/>
      <c r="F112" s="23"/>
      <c r="G112" s="23"/>
      <c r="H112" s="23"/>
      <c r="I112" s="23"/>
      <c r="J112" s="23"/>
      <c r="K112" s="23"/>
      <c r="L112" s="23"/>
      <c r="M112" s="23"/>
      <c r="N112" s="23"/>
      <c r="O112" s="23"/>
      <c r="P112" s="23"/>
      <c r="Q112" s="23"/>
      <c r="R112" s="23"/>
      <c r="S112" s="23"/>
      <c r="T112" s="23"/>
      <c r="U112" s="23"/>
      <c r="V112" s="23"/>
      <c r="W112" s="23"/>
      <c r="X112" s="23"/>
      <c r="Y112" s="23"/>
      <c r="Z112" s="23"/>
      <c r="AA112" s="23"/>
      <c r="AB112" s="23"/>
      <c r="AC112" s="23"/>
      <c r="AD112" s="23"/>
      <c r="AE112" s="23"/>
      <c r="AF112" s="23"/>
      <c r="AG112" s="23"/>
    </row>
    <row r="113" ht="15.75" customHeight="1">
      <c r="A113" s="23"/>
      <c r="B113" s="23"/>
      <c r="C113" s="23"/>
      <c r="D113" s="23"/>
      <c r="E113" s="23"/>
      <c r="F113" s="23"/>
      <c r="G113" s="23"/>
      <c r="H113" s="23"/>
      <c r="I113" s="23"/>
      <c r="J113" s="23"/>
      <c r="K113" s="23"/>
      <c r="L113" s="23"/>
      <c r="M113" s="23"/>
      <c r="N113" s="23"/>
      <c r="O113" s="23"/>
      <c r="P113" s="23"/>
      <c r="Q113" s="23"/>
      <c r="R113" s="23"/>
      <c r="S113" s="23"/>
      <c r="T113" s="23"/>
      <c r="U113" s="23"/>
      <c r="V113" s="23"/>
      <c r="W113" s="23"/>
      <c r="X113" s="23"/>
      <c r="Y113" s="23"/>
      <c r="Z113" s="23"/>
      <c r="AA113" s="23"/>
      <c r="AB113" s="23"/>
      <c r="AC113" s="23"/>
      <c r="AD113" s="23"/>
      <c r="AE113" s="23"/>
      <c r="AF113" s="23"/>
      <c r="AG113" s="23"/>
    </row>
    <row r="114" ht="15.75" customHeight="1">
      <c r="A114" s="23"/>
      <c r="B114" s="23"/>
      <c r="C114" s="23"/>
      <c r="D114" s="23"/>
      <c r="E114" s="23"/>
      <c r="F114" s="23"/>
      <c r="G114" s="23"/>
      <c r="H114" s="23"/>
      <c r="I114" s="23"/>
      <c r="J114" s="23"/>
      <c r="K114" s="23"/>
      <c r="L114" s="23"/>
      <c r="M114" s="23"/>
      <c r="N114" s="23"/>
      <c r="O114" s="23"/>
      <c r="P114" s="23"/>
      <c r="Q114" s="23"/>
      <c r="R114" s="23"/>
      <c r="S114" s="23"/>
      <c r="T114" s="23"/>
      <c r="U114" s="23"/>
      <c r="V114" s="23"/>
      <c r="W114" s="23"/>
      <c r="X114" s="23"/>
      <c r="Y114" s="23"/>
      <c r="Z114" s="23"/>
      <c r="AA114" s="23"/>
      <c r="AB114" s="23"/>
      <c r="AC114" s="23"/>
      <c r="AD114" s="23"/>
      <c r="AE114" s="23"/>
      <c r="AF114" s="23"/>
      <c r="AG114" s="23"/>
    </row>
    <row r="115" ht="15.75" customHeight="1">
      <c r="A115" s="23"/>
      <c r="B115" s="23"/>
      <c r="C115" s="23"/>
      <c r="D115" s="23"/>
      <c r="E115" s="23"/>
      <c r="F115" s="23"/>
      <c r="G115" s="23"/>
      <c r="H115" s="23"/>
      <c r="I115" s="23"/>
      <c r="J115" s="23"/>
      <c r="K115" s="23"/>
      <c r="L115" s="23"/>
      <c r="M115" s="23"/>
      <c r="N115" s="23"/>
      <c r="O115" s="23"/>
      <c r="P115" s="23"/>
      <c r="Q115" s="23"/>
      <c r="R115" s="23"/>
      <c r="S115" s="23"/>
      <c r="T115" s="23"/>
      <c r="U115" s="23"/>
      <c r="V115" s="23"/>
      <c r="W115" s="23"/>
      <c r="X115" s="23"/>
      <c r="Y115" s="23"/>
      <c r="Z115" s="23"/>
      <c r="AA115" s="23"/>
      <c r="AB115" s="23"/>
      <c r="AC115" s="23"/>
      <c r="AD115" s="23"/>
      <c r="AE115" s="23"/>
      <c r="AF115" s="23"/>
      <c r="AG115" s="23"/>
    </row>
    <row r="116" ht="15.75" customHeight="1">
      <c r="A116" s="23"/>
      <c r="B116" s="23"/>
      <c r="C116" s="23"/>
      <c r="D116" s="23"/>
      <c r="E116" s="23"/>
      <c r="F116" s="23"/>
      <c r="G116" s="23"/>
      <c r="H116" s="23"/>
      <c r="I116" s="23"/>
      <c r="J116" s="23"/>
      <c r="K116" s="23"/>
      <c r="L116" s="23"/>
      <c r="M116" s="23"/>
      <c r="N116" s="23"/>
      <c r="O116" s="23"/>
      <c r="P116" s="23"/>
      <c r="Q116" s="23"/>
      <c r="R116" s="23"/>
      <c r="S116" s="23"/>
      <c r="T116" s="23"/>
      <c r="U116" s="23"/>
      <c r="V116" s="23"/>
      <c r="W116" s="23"/>
      <c r="X116" s="23"/>
      <c r="Y116" s="23"/>
      <c r="Z116" s="23"/>
      <c r="AA116" s="23"/>
      <c r="AB116" s="23"/>
      <c r="AC116" s="23"/>
      <c r="AD116" s="23"/>
      <c r="AE116" s="23"/>
      <c r="AF116" s="23"/>
      <c r="AG116" s="23"/>
    </row>
    <row r="117" ht="15.75" customHeight="1">
      <c r="A117" s="23"/>
      <c r="B117" s="23"/>
      <c r="C117" s="23"/>
      <c r="D117" s="23"/>
      <c r="E117" s="23"/>
      <c r="F117" s="23"/>
      <c r="G117" s="23"/>
      <c r="H117" s="23"/>
      <c r="I117" s="23"/>
      <c r="J117" s="23"/>
      <c r="K117" s="23"/>
      <c r="L117" s="23"/>
      <c r="M117" s="23"/>
      <c r="N117" s="23"/>
      <c r="O117" s="23"/>
      <c r="P117" s="23"/>
      <c r="Q117" s="23"/>
      <c r="R117" s="23"/>
      <c r="S117" s="23"/>
      <c r="T117" s="23"/>
      <c r="U117" s="23"/>
      <c r="V117" s="23"/>
      <c r="W117" s="23"/>
      <c r="X117" s="23"/>
      <c r="Y117" s="23"/>
      <c r="Z117" s="23"/>
      <c r="AA117" s="23"/>
      <c r="AB117" s="23"/>
      <c r="AC117" s="23"/>
      <c r="AD117" s="23"/>
      <c r="AE117" s="23"/>
      <c r="AF117" s="23"/>
      <c r="AG117" s="23"/>
    </row>
    <row r="118" ht="15.75" customHeight="1">
      <c r="A118" s="23"/>
      <c r="B118" s="23"/>
      <c r="C118" s="23"/>
      <c r="D118" s="23"/>
      <c r="E118" s="23"/>
      <c r="F118" s="23"/>
      <c r="G118" s="23"/>
      <c r="H118" s="23"/>
      <c r="I118" s="23"/>
      <c r="J118" s="23"/>
      <c r="K118" s="23"/>
      <c r="L118" s="23"/>
      <c r="M118" s="23"/>
      <c r="N118" s="23"/>
      <c r="O118" s="23"/>
      <c r="P118" s="23"/>
      <c r="Q118" s="23"/>
      <c r="R118" s="23"/>
      <c r="S118" s="23"/>
      <c r="T118" s="23"/>
      <c r="U118" s="23"/>
      <c r="V118" s="23"/>
      <c r="W118" s="23"/>
      <c r="X118" s="23"/>
      <c r="Y118" s="23"/>
      <c r="Z118" s="23"/>
      <c r="AA118" s="23"/>
      <c r="AB118" s="23"/>
      <c r="AC118" s="23"/>
      <c r="AD118" s="23"/>
      <c r="AE118" s="23"/>
      <c r="AF118" s="23"/>
      <c r="AG118" s="23"/>
    </row>
    <row r="119" ht="15.75" customHeight="1">
      <c r="A119" s="23"/>
      <c r="B119" s="23"/>
      <c r="C119" s="23"/>
      <c r="D119" s="23"/>
      <c r="E119" s="23"/>
      <c r="F119" s="23"/>
      <c r="G119" s="23"/>
      <c r="H119" s="23"/>
      <c r="I119" s="23"/>
      <c r="J119" s="23"/>
      <c r="K119" s="23"/>
      <c r="L119" s="23"/>
      <c r="M119" s="23"/>
      <c r="N119" s="23"/>
      <c r="O119" s="23"/>
      <c r="P119" s="23"/>
      <c r="Q119" s="23"/>
      <c r="R119" s="23"/>
      <c r="S119" s="23"/>
      <c r="T119" s="23"/>
      <c r="U119" s="23"/>
      <c r="V119" s="23"/>
      <c r="W119" s="23"/>
      <c r="X119" s="23"/>
      <c r="Y119" s="23"/>
      <c r="Z119" s="23"/>
      <c r="AA119" s="23"/>
      <c r="AB119" s="23"/>
      <c r="AC119" s="23"/>
      <c r="AD119" s="23"/>
      <c r="AE119" s="23"/>
      <c r="AF119" s="23"/>
      <c r="AG119" s="23"/>
    </row>
    <row r="120" ht="15.75" customHeight="1">
      <c r="A120" s="23"/>
      <c r="B120" s="23"/>
      <c r="C120" s="23"/>
      <c r="D120" s="23"/>
      <c r="E120" s="23"/>
      <c r="F120" s="23"/>
      <c r="G120" s="23"/>
      <c r="H120" s="23"/>
      <c r="I120" s="23"/>
      <c r="J120" s="23"/>
      <c r="K120" s="23"/>
      <c r="L120" s="23"/>
      <c r="M120" s="23"/>
      <c r="N120" s="23"/>
      <c r="O120" s="23"/>
      <c r="P120" s="23"/>
      <c r="Q120" s="23"/>
      <c r="R120" s="23"/>
      <c r="S120" s="23"/>
      <c r="T120" s="23"/>
      <c r="U120" s="23"/>
      <c r="V120" s="23"/>
      <c r="W120" s="23"/>
      <c r="X120" s="23"/>
      <c r="Y120" s="23"/>
      <c r="Z120" s="23"/>
      <c r="AA120" s="23"/>
      <c r="AB120" s="23"/>
      <c r="AC120" s="23"/>
      <c r="AD120" s="23"/>
      <c r="AE120" s="23"/>
      <c r="AF120" s="23"/>
      <c r="AG120" s="23"/>
    </row>
    <row r="121" ht="15.75" customHeight="1">
      <c r="A121" s="23"/>
      <c r="B121" s="23"/>
      <c r="C121" s="23"/>
      <c r="D121" s="23"/>
      <c r="E121" s="23"/>
      <c r="F121" s="23"/>
      <c r="G121" s="23"/>
      <c r="H121" s="23"/>
      <c r="I121" s="23"/>
      <c r="J121" s="23"/>
      <c r="K121" s="23"/>
      <c r="L121" s="23"/>
      <c r="M121" s="23"/>
      <c r="N121" s="23"/>
      <c r="O121" s="23"/>
      <c r="P121" s="23"/>
      <c r="Q121" s="23"/>
      <c r="R121" s="23"/>
      <c r="S121" s="23"/>
      <c r="T121" s="23"/>
      <c r="U121" s="23"/>
      <c r="V121" s="23"/>
      <c r="W121" s="23"/>
      <c r="X121" s="23"/>
      <c r="Y121" s="23"/>
      <c r="Z121" s="23"/>
      <c r="AA121" s="23"/>
      <c r="AB121" s="23"/>
      <c r="AC121" s="23"/>
      <c r="AD121" s="23"/>
      <c r="AE121" s="23"/>
      <c r="AF121" s="23"/>
      <c r="AG121" s="23"/>
    </row>
    <row r="122" ht="15.75" customHeight="1">
      <c r="A122" s="23"/>
      <c r="B122" s="23"/>
      <c r="C122" s="23"/>
      <c r="D122" s="23"/>
      <c r="E122" s="23"/>
      <c r="F122" s="23"/>
      <c r="G122" s="23"/>
      <c r="H122" s="23"/>
      <c r="I122" s="23"/>
      <c r="J122" s="23"/>
      <c r="K122" s="23"/>
      <c r="L122" s="23"/>
      <c r="M122" s="23"/>
      <c r="N122" s="23"/>
      <c r="O122" s="23"/>
      <c r="P122" s="23"/>
      <c r="Q122" s="23"/>
      <c r="R122" s="23"/>
      <c r="S122" s="23"/>
      <c r="T122" s="23"/>
      <c r="U122" s="23"/>
      <c r="V122" s="23"/>
      <c r="W122" s="23"/>
      <c r="X122" s="23"/>
      <c r="Y122" s="23"/>
      <c r="Z122" s="23"/>
      <c r="AA122" s="23"/>
      <c r="AB122" s="23"/>
      <c r="AC122" s="23"/>
      <c r="AD122" s="23"/>
      <c r="AE122" s="23"/>
      <c r="AF122" s="23"/>
      <c r="AG122" s="23"/>
    </row>
    <row r="123" ht="15.75" customHeight="1">
      <c r="A123" s="23"/>
      <c r="B123" s="23"/>
      <c r="C123" s="23"/>
      <c r="D123" s="23"/>
      <c r="E123" s="23"/>
      <c r="F123" s="23"/>
      <c r="G123" s="23"/>
      <c r="H123" s="23"/>
      <c r="I123" s="23"/>
      <c r="J123" s="23"/>
      <c r="K123" s="23"/>
      <c r="L123" s="23"/>
      <c r="M123" s="23"/>
      <c r="N123" s="23"/>
      <c r="O123" s="23"/>
      <c r="P123" s="23"/>
      <c r="Q123" s="23"/>
      <c r="R123" s="23"/>
      <c r="S123" s="23"/>
      <c r="T123" s="23"/>
      <c r="U123" s="23"/>
      <c r="V123" s="23"/>
      <c r="W123" s="23"/>
      <c r="X123" s="23"/>
      <c r="Y123" s="23"/>
      <c r="Z123" s="23"/>
      <c r="AA123" s="23"/>
      <c r="AB123" s="23"/>
      <c r="AC123" s="23"/>
      <c r="AD123" s="23"/>
      <c r="AE123" s="23"/>
      <c r="AF123" s="23"/>
      <c r="AG123" s="23"/>
    </row>
    <row r="124" ht="15.75" customHeight="1">
      <c r="A124" s="23"/>
      <c r="B124" s="23"/>
      <c r="C124" s="23"/>
      <c r="D124" s="23"/>
      <c r="E124" s="23"/>
      <c r="F124" s="23"/>
      <c r="G124" s="23"/>
      <c r="H124" s="23"/>
      <c r="I124" s="23"/>
      <c r="J124" s="23"/>
      <c r="K124" s="23"/>
      <c r="L124" s="23"/>
      <c r="M124" s="23"/>
      <c r="N124" s="23"/>
      <c r="O124" s="23"/>
      <c r="P124" s="23"/>
      <c r="Q124" s="23"/>
      <c r="R124" s="23"/>
      <c r="S124" s="23"/>
      <c r="T124" s="23"/>
      <c r="U124" s="23"/>
      <c r="V124" s="23"/>
      <c r="W124" s="23"/>
      <c r="X124" s="23"/>
      <c r="Y124" s="23"/>
      <c r="Z124" s="23"/>
      <c r="AA124" s="23"/>
      <c r="AB124" s="23"/>
      <c r="AC124" s="23"/>
      <c r="AD124" s="23"/>
      <c r="AE124" s="23"/>
      <c r="AF124" s="23"/>
      <c r="AG124" s="23"/>
    </row>
    <row r="125" ht="15.75" customHeight="1">
      <c r="A125" s="23"/>
      <c r="B125" s="23"/>
      <c r="C125" s="23"/>
      <c r="D125" s="23"/>
      <c r="E125" s="23"/>
      <c r="F125" s="23"/>
      <c r="G125" s="23"/>
      <c r="H125" s="23"/>
      <c r="I125" s="23"/>
      <c r="J125" s="23"/>
      <c r="K125" s="23"/>
      <c r="L125" s="23"/>
      <c r="M125" s="23"/>
      <c r="N125" s="23"/>
      <c r="O125" s="23"/>
      <c r="P125" s="23"/>
      <c r="Q125" s="23"/>
      <c r="R125" s="23"/>
      <c r="S125" s="23"/>
      <c r="T125" s="23"/>
      <c r="U125" s="23"/>
      <c r="V125" s="23"/>
      <c r="W125" s="23"/>
      <c r="X125" s="23"/>
      <c r="Y125" s="23"/>
      <c r="Z125" s="23"/>
      <c r="AA125" s="23"/>
      <c r="AB125" s="23"/>
      <c r="AC125" s="23"/>
      <c r="AD125" s="23"/>
      <c r="AE125" s="23"/>
      <c r="AF125" s="23"/>
      <c r="AG125" s="23"/>
    </row>
    <row r="126" ht="15.75" customHeight="1">
      <c r="A126" s="23"/>
      <c r="B126" s="23"/>
      <c r="C126" s="23"/>
      <c r="D126" s="23"/>
      <c r="E126" s="23"/>
      <c r="F126" s="23"/>
      <c r="G126" s="23"/>
      <c r="H126" s="23"/>
      <c r="I126" s="23"/>
      <c r="J126" s="23"/>
      <c r="K126" s="23"/>
      <c r="L126" s="23"/>
      <c r="M126" s="23"/>
      <c r="N126" s="23"/>
      <c r="O126" s="23"/>
      <c r="P126" s="23"/>
      <c r="Q126" s="23"/>
      <c r="R126" s="23"/>
      <c r="S126" s="23"/>
      <c r="T126" s="23"/>
      <c r="U126" s="23"/>
      <c r="V126" s="23"/>
      <c r="W126" s="23"/>
      <c r="X126" s="23"/>
      <c r="Y126" s="23"/>
      <c r="Z126" s="23"/>
      <c r="AA126" s="23"/>
      <c r="AB126" s="23"/>
      <c r="AC126" s="23"/>
      <c r="AD126" s="23"/>
      <c r="AE126" s="23"/>
      <c r="AF126" s="23"/>
      <c r="AG126" s="23"/>
    </row>
    <row r="127" ht="15.75" customHeight="1">
      <c r="A127" s="23"/>
      <c r="B127" s="23"/>
      <c r="C127" s="23"/>
      <c r="D127" s="23"/>
      <c r="E127" s="23"/>
      <c r="F127" s="23"/>
      <c r="G127" s="23"/>
      <c r="H127" s="23"/>
      <c r="I127" s="23"/>
      <c r="J127" s="23"/>
      <c r="K127" s="23"/>
      <c r="L127" s="23"/>
      <c r="M127" s="23"/>
      <c r="N127" s="23"/>
      <c r="O127" s="23"/>
      <c r="P127" s="23"/>
      <c r="Q127" s="23"/>
      <c r="R127" s="23"/>
      <c r="S127" s="23"/>
      <c r="T127" s="23"/>
      <c r="U127" s="23"/>
      <c r="V127" s="23"/>
      <c r="W127" s="23"/>
      <c r="X127" s="23"/>
      <c r="Y127" s="23"/>
      <c r="Z127" s="23"/>
      <c r="AA127" s="23"/>
      <c r="AB127" s="23"/>
      <c r="AC127" s="23"/>
      <c r="AD127" s="23"/>
      <c r="AE127" s="23"/>
      <c r="AF127" s="23"/>
      <c r="AG127" s="23"/>
    </row>
    <row r="128" ht="15.75" customHeight="1">
      <c r="A128" s="23"/>
      <c r="B128" s="23"/>
      <c r="C128" s="23"/>
      <c r="D128" s="23"/>
      <c r="E128" s="23"/>
      <c r="F128" s="23"/>
      <c r="G128" s="23"/>
      <c r="H128" s="23"/>
      <c r="I128" s="23"/>
      <c r="J128" s="23"/>
      <c r="K128" s="23"/>
      <c r="L128" s="23"/>
      <c r="M128" s="23"/>
      <c r="N128" s="23"/>
      <c r="O128" s="23"/>
      <c r="P128" s="23"/>
      <c r="Q128" s="23"/>
      <c r="R128" s="23"/>
      <c r="S128" s="23"/>
      <c r="T128" s="23"/>
      <c r="U128" s="23"/>
      <c r="V128" s="23"/>
      <c r="W128" s="23"/>
      <c r="X128" s="23"/>
      <c r="Y128" s="23"/>
      <c r="Z128" s="23"/>
      <c r="AA128" s="23"/>
      <c r="AB128" s="23"/>
      <c r="AC128" s="23"/>
      <c r="AD128" s="23"/>
      <c r="AE128" s="23"/>
      <c r="AF128" s="23"/>
      <c r="AG128" s="23"/>
    </row>
    <row r="129" ht="15.75" customHeight="1">
      <c r="A129" s="23"/>
      <c r="B129" s="23"/>
      <c r="C129" s="23"/>
      <c r="D129" s="23"/>
      <c r="E129" s="23"/>
      <c r="F129" s="23"/>
      <c r="G129" s="23"/>
      <c r="H129" s="23"/>
      <c r="I129" s="23"/>
      <c r="J129" s="23"/>
      <c r="K129" s="23"/>
      <c r="L129" s="23"/>
      <c r="M129" s="23"/>
      <c r="N129" s="23"/>
      <c r="O129" s="23"/>
      <c r="P129" s="23"/>
      <c r="Q129" s="23"/>
      <c r="R129" s="23"/>
      <c r="S129" s="23"/>
      <c r="T129" s="23"/>
      <c r="U129" s="23"/>
      <c r="V129" s="23"/>
      <c r="W129" s="23"/>
      <c r="X129" s="23"/>
      <c r="Y129" s="23"/>
      <c r="Z129" s="23"/>
      <c r="AA129" s="23"/>
      <c r="AB129" s="23"/>
      <c r="AC129" s="23"/>
      <c r="AD129" s="23"/>
      <c r="AE129" s="23"/>
      <c r="AF129" s="23"/>
      <c r="AG129" s="23"/>
    </row>
    <row r="130" ht="15.75" customHeight="1">
      <c r="A130" s="23"/>
      <c r="B130" s="23"/>
      <c r="C130" s="23"/>
      <c r="D130" s="23"/>
      <c r="E130" s="23"/>
      <c r="F130" s="23"/>
      <c r="G130" s="23"/>
      <c r="H130" s="23"/>
      <c r="I130" s="23"/>
      <c r="J130" s="23"/>
      <c r="K130" s="23"/>
      <c r="L130" s="23"/>
      <c r="M130" s="23"/>
      <c r="N130" s="23"/>
      <c r="O130" s="23"/>
      <c r="P130" s="23"/>
      <c r="Q130" s="23"/>
      <c r="R130" s="23"/>
      <c r="S130" s="23"/>
      <c r="T130" s="23"/>
      <c r="U130" s="23"/>
      <c r="V130" s="23"/>
      <c r="W130" s="23"/>
      <c r="X130" s="23"/>
      <c r="Y130" s="23"/>
      <c r="Z130" s="23"/>
      <c r="AA130" s="23"/>
      <c r="AB130" s="23"/>
      <c r="AC130" s="23"/>
      <c r="AD130" s="23"/>
      <c r="AE130" s="23"/>
      <c r="AF130" s="23"/>
      <c r="AG130" s="23"/>
    </row>
    <row r="131" ht="15.75" customHeight="1">
      <c r="A131" s="23"/>
      <c r="B131" s="23"/>
      <c r="C131" s="23"/>
      <c r="D131" s="23"/>
      <c r="E131" s="23"/>
      <c r="F131" s="23"/>
      <c r="G131" s="23"/>
      <c r="H131" s="23"/>
      <c r="I131" s="23"/>
      <c r="J131" s="23"/>
      <c r="K131" s="23"/>
      <c r="L131" s="23"/>
      <c r="M131" s="23"/>
      <c r="N131" s="23"/>
      <c r="O131" s="23"/>
      <c r="P131" s="23"/>
      <c r="Q131" s="23"/>
      <c r="R131" s="23"/>
      <c r="S131" s="23"/>
      <c r="T131" s="23"/>
      <c r="U131" s="23"/>
      <c r="V131" s="23"/>
      <c r="W131" s="23"/>
      <c r="X131" s="23"/>
      <c r="Y131" s="23"/>
      <c r="Z131" s="23"/>
      <c r="AA131" s="23"/>
      <c r="AB131" s="23"/>
      <c r="AC131" s="23"/>
      <c r="AD131" s="23"/>
      <c r="AE131" s="23"/>
      <c r="AF131" s="23"/>
      <c r="AG131" s="23"/>
    </row>
    <row r="132" ht="15.75" customHeight="1">
      <c r="A132" s="23"/>
      <c r="B132" s="23"/>
      <c r="C132" s="23"/>
      <c r="D132" s="23"/>
      <c r="E132" s="23"/>
      <c r="F132" s="23"/>
      <c r="G132" s="23"/>
      <c r="H132" s="23"/>
      <c r="I132" s="23"/>
      <c r="J132" s="23"/>
      <c r="K132" s="23"/>
      <c r="L132" s="23"/>
      <c r="M132" s="23"/>
      <c r="N132" s="23"/>
      <c r="O132" s="23"/>
      <c r="P132" s="23"/>
      <c r="Q132" s="23"/>
      <c r="R132" s="23"/>
      <c r="S132" s="23"/>
      <c r="T132" s="23"/>
      <c r="U132" s="23"/>
      <c r="V132" s="23"/>
      <c r="W132" s="23"/>
      <c r="X132" s="23"/>
      <c r="Y132" s="23"/>
      <c r="Z132" s="23"/>
      <c r="AA132" s="23"/>
      <c r="AB132" s="23"/>
      <c r="AC132" s="23"/>
      <c r="AD132" s="23"/>
      <c r="AE132" s="23"/>
      <c r="AF132" s="23"/>
      <c r="AG132" s="23"/>
    </row>
    <row r="133" ht="15.75" customHeight="1">
      <c r="A133" s="23"/>
      <c r="B133" s="23"/>
      <c r="C133" s="23"/>
      <c r="D133" s="23"/>
      <c r="E133" s="23"/>
      <c r="F133" s="23"/>
      <c r="G133" s="23"/>
      <c r="H133" s="23"/>
      <c r="I133" s="23"/>
      <c r="J133" s="23"/>
      <c r="K133" s="23"/>
      <c r="L133" s="23"/>
      <c r="M133" s="23"/>
      <c r="N133" s="23"/>
      <c r="O133" s="23"/>
      <c r="P133" s="23"/>
      <c r="Q133" s="23"/>
      <c r="R133" s="23"/>
      <c r="S133" s="23"/>
      <c r="T133" s="23"/>
      <c r="U133" s="23"/>
      <c r="V133" s="23"/>
      <c r="W133" s="23"/>
      <c r="X133" s="23"/>
      <c r="Y133" s="23"/>
      <c r="Z133" s="23"/>
      <c r="AA133" s="23"/>
      <c r="AB133" s="23"/>
      <c r="AC133" s="23"/>
      <c r="AD133" s="23"/>
      <c r="AE133" s="23"/>
      <c r="AF133" s="23"/>
      <c r="AG133" s="23"/>
    </row>
    <row r="134" ht="15.75" customHeight="1">
      <c r="A134" s="23"/>
      <c r="B134" s="23"/>
      <c r="C134" s="23"/>
      <c r="D134" s="23"/>
      <c r="E134" s="23"/>
      <c r="F134" s="23"/>
      <c r="G134" s="23"/>
      <c r="H134" s="23"/>
      <c r="I134" s="23"/>
      <c r="J134" s="23"/>
      <c r="K134" s="23"/>
      <c r="L134" s="23"/>
      <c r="M134" s="23"/>
      <c r="N134" s="23"/>
      <c r="O134" s="23"/>
      <c r="P134" s="23"/>
      <c r="Q134" s="23"/>
      <c r="R134" s="23"/>
      <c r="S134" s="23"/>
      <c r="T134" s="23"/>
      <c r="U134" s="23"/>
      <c r="V134" s="23"/>
      <c r="W134" s="23"/>
      <c r="X134" s="23"/>
      <c r="Y134" s="23"/>
      <c r="Z134" s="23"/>
      <c r="AA134" s="23"/>
      <c r="AB134" s="23"/>
      <c r="AC134" s="23"/>
      <c r="AD134" s="23"/>
      <c r="AE134" s="23"/>
      <c r="AF134" s="23"/>
      <c r="AG134" s="23"/>
    </row>
    <row r="135" ht="15.75" customHeight="1">
      <c r="A135" s="23"/>
      <c r="B135" s="23"/>
      <c r="C135" s="23"/>
      <c r="D135" s="23"/>
      <c r="E135" s="23"/>
      <c r="F135" s="23"/>
      <c r="G135" s="23"/>
      <c r="H135" s="23"/>
      <c r="I135" s="23"/>
      <c r="J135" s="23"/>
      <c r="K135" s="23"/>
      <c r="L135" s="23"/>
      <c r="M135" s="23"/>
      <c r="N135" s="23"/>
      <c r="O135" s="23"/>
      <c r="P135" s="23"/>
      <c r="Q135" s="23"/>
      <c r="R135" s="23"/>
      <c r="S135" s="23"/>
      <c r="T135" s="23"/>
      <c r="U135" s="23"/>
      <c r="V135" s="23"/>
      <c r="W135" s="23"/>
      <c r="X135" s="23"/>
      <c r="Y135" s="23"/>
      <c r="Z135" s="23"/>
      <c r="AA135" s="23"/>
      <c r="AB135" s="23"/>
      <c r="AC135" s="23"/>
      <c r="AD135" s="23"/>
      <c r="AE135" s="23"/>
      <c r="AF135" s="23"/>
      <c r="AG135" s="23"/>
    </row>
    <row r="136" ht="15.75" customHeight="1">
      <c r="A136" s="23"/>
      <c r="B136" s="23"/>
      <c r="C136" s="23"/>
      <c r="D136" s="23"/>
      <c r="E136" s="23"/>
      <c r="F136" s="23"/>
      <c r="G136" s="23"/>
      <c r="H136" s="23"/>
      <c r="I136" s="23"/>
      <c r="J136" s="23"/>
      <c r="K136" s="23"/>
      <c r="L136" s="23"/>
      <c r="M136" s="23"/>
      <c r="N136" s="23"/>
      <c r="O136" s="23"/>
      <c r="P136" s="23"/>
      <c r="Q136" s="23"/>
      <c r="R136" s="23"/>
      <c r="S136" s="23"/>
      <c r="T136" s="23"/>
      <c r="U136" s="23"/>
      <c r="V136" s="23"/>
      <c r="W136" s="23"/>
      <c r="X136" s="23"/>
      <c r="Y136" s="23"/>
      <c r="Z136" s="23"/>
      <c r="AA136" s="23"/>
      <c r="AB136" s="23"/>
      <c r="AC136" s="23"/>
      <c r="AD136" s="23"/>
      <c r="AE136" s="23"/>
      <c r="AF136" s="23"/>
      <c r="AG136" s="23"/>
    </row>
    <row r="137" ht="15.75" customHeight="1">
      <c r="A137" s="23"/>
      <c r="B137" s="23"/>
      <c r="C137" s="23"/>
      <c r="D137" s="23"/>
      <c r="E137" s="23"/>
      <c r="F137" s="23"/>
      <c r="G137" s="23"/>
      <c r="H137" s="23"/>
      <c r="I137" s="23"/>
      <c r="J137" s="23"/>
      <c r="K137" s="23"/>
      <c r="L137" s="23"/>
      <c r="M137" s="23"/>
      <c r="N137" s="23"/>
      <c r="O137" s="23"/>
      <c r="P137" s="23"/>
      <c r="Q137" s="23"/>
      <c r="R137" s="23"/>
      <c r="S137" s="23"/>
      <c r="T137" s="23"/>
      <c r="U137" s="23"/>
      <c r="V137" s="23"/>
      <c r="W137" s="23"/>
      <c r="X137" s="23"/>
      <c r="Y137" s="23"/>
      <c r="Z137" s="23"/>
      <c r="AA137" s="23"/>
      <c r="AB137" s="23"/>
      <c r="AC137" s="23"/>
      <c r="AD137" s="23"/>
      <c r="AE137" s="23"/>
      <c r="AF137" s="23"/>
      <c r="AG137" s="23"/>
    </row>
    <row r="138" ht="15.75" customHeight="1">
      <c r="A138" s="23"/>
      <c r="B138" s="23"/>
      <c r="C138" s="23"/>
      <c r="D138" s="23"/>
      <c r="E138" s="23"/>
      <c r="F138" s="23"/>
      <c r="G138" s="23"/>
      <c r="H138" s="23"/>
      <c r="I138" s="23"/>
      <c r="J138" s="23"/>
      <c r="K138" s="23"/>
      <c r="L138" s="23"/>
      <c r="M138" s="23"/>
      <c r="N138" s="23"/>
      <c r="O138" s="23"/>
      <c r="P138" s="23"/>
      <c r="Q138" s="23"/>
      <c r="R138" s="23"/>
      <c r="S138" s="23"/>
      <c r="T138" s="23"/>
      <c r="U138" s="23"/>
      <c r="V138" s="23"/>
      <c r="W138" s="23"/>
      <c r="X138" s="23"/>
      <c r="Y138" s="23"/>
      <c r="Z138" s="23"/>
      <c r="AA138" s="23"/>
      <c r="AB138" s="23"/>
      <c r="AC138" s="23"/>
      <c r="AD138" s="23"/>
      <c r="AE138" s="23"/>
      <c r="AF138" s="23"/>
      <c r="AG138" s="23"/>
    </row>
    <row r="139" ht="15.75" customHeight="1">
      <c r="A139" s="23"/>
      <c r="B139" s="23"/>
      <c r="C139" s="23"/>
      <c r="D139" s="23"/>
      <c r="E139" s="23"/>
      <c r="F139" s="23"/>
      <c r="G139" s="23"/>
      <c r="H139" s="23"/>
      <c r="I139" s="23"/>
      <c r="J139" s="23"/>
      <c r="K139" s="23"/>
      <c r="L139" s="23"/>
      <c r="M139" s="23"/>
      <c r="N139" s="23"/>
      <c r="O139" s="23"/>
      <c r="P139" s="23"/>
      <c r="Q139" s="23"/>
      <c r="R139" s="23"/>
      <c r="S139" s="23"/>
      <c r="T139" s="23"/>
      <c r="U139" s="23"/>
      <c r="V139" s="23"/>
      <c r="W139" s="23"/>
      <c r="X139" s="23"/>
      <c r="Y139" s="23"/>
      <c r="Z139" s="23"/>
      <c r="AA139" s="23"/>
      <c r="AB139" s="23"/>
      <c r="AC139" s="23"/>
      <c r="AD139" s="23"/>
      <c r="AE139" s="23"/>
      <c r="AF139" s="23"/>
      <c r="AG139" s="23"/>
    </row>
    <row r="140" ht="15.75" customHeight="1">
      <c r="A140" s="23"/>
      <c r="B140" s="23"/>
      <c r="C140" s="23"/>
      <c r="D140" s="23"/>
      <c r="E140" s="23"/>
      <c r="F140" s="23"/>
      <c r="G140" s="23"/>
      <c r="H140" s="23"/>
      <c r="I140" s="23"/>
      <c r="J140" s="23"/>
      <c r="K140" s="23"/>
      <c r="L140" s="23"/>
      <c r="M140" s="23"/>
      <c r="N140" s="23"/>
      <c r="O140" s="23"/>
      <c r="P140" s="23"/>
      <c r="Q140" s="23"/>
      <c r="R140" s="23"/>
      <c r="S140" s="23"/>
      <c r="T140" s="23"/>
      <c r="U140" s="23"/>
      <c r="V140" s="23"/>
      <c r="W140" s="23"/>
      <c r="X140" s="23"/>
      <c r="Y140" s="23"/>
      <c r="Z140" s="23"/>
      <c r="AA140" s="23"/>
      <c r="AB140" s="23"/>
      <c r="AC140" s="23"/>
      <c r="AD140" s="23"/>
      <c r="AE140" s="23"/>
      <c r="AF140" s="23"/>
      <c r="AG140" s="23"/>
    </row>
    <row r="141" ht="15.75" customHeight="1">
      <c r="A141" s="23"/>
      <c r="B141" s="23"/>
      <c r="C141" s="23"/>
      <c r="D141" s="23"/>
      <c r="E141" s="23"/>
      <c r="F141" s="23"/>
      <c r="G141" s="23"/>
      <c r="H141" s="23"/>
      <c r="I141" s="23"/>
      <c r="J141" s="23"/>
      <c r="K141" s="23"/>
      <c r="L141" s="23"/>
      <c r="M141" s="23"/>
      <c r="N141" s="23"/>
      <c r="O141" s="23"/>
      <c r="P141" s="23"/>
      <c r="Q141" s="23"/>
      <c r="R141" s="23"/>
      <c r="S141" s="23"/>
      <c r="T141" s="23"/>
      <c r="U141" s="23"/>
      <c r="V141" s="23"/>
      <c r="W141" s="23"/>
      <c r="X141" s="23"/>
      <c r="Y141" s="23"/>
      <c r="Z141" s="23"/>
      <c r="AA141" s="23"/>
      <c r="AB141" s="23"/>
      <c r="AC141" s="23"/>
      <c r="AD141" s="23"/>
      <c r="AE141" s="23"/>
      <c r="AF141" s="23"/>
      <c r="AG141" s="23"/>
    </row>
    <row r="142" ht="15.75" customHeight="1">
      <c r="A142" s="23"/>
      <c r="B142" s="23"/>
      <c r="C142" s="23"/>
      <c r="D142" s="23"/>
      <c r="E142" s="23"/>
      <c r="F142" s="23"/>
      <c r="G142" s="23"/>
      <c r="H142" s="23"/>
      <c r="I142" s="23"/>
      <c r="J142" s="23"/>
      <c r="K142" s="23"/>
      <c r="L142" s="23"/>
      <c r="M142" s="23"/>
      <c r="N142" s="23"/>
      <c r="O142" s="23"/>
      <c r="P142" s="23"/>
      <c r="Q142" s="23"/>
      <c r="R142" s="23"/>
      <c r="S142" s="23"/>
      <c r="T142" s="23"/>
      <c r="U142" s="23"/>
      <c r="V142" s="23"/>
      <c r="W142" s="23"/>
      <c r="X142" s="23"/>
      <c r="Y142" s="23"/>
      <c r="Z142" s="23"/>
      <c r="AA142" s="23"/>
      <c r="AB142" s="23"/>
      <c r="AC142" s="23"/>
      <c r="AD142" s="23"/>
      <c r="AE142" s="23"/>
      <c r="AF142" s="23"/>
      <c r="AG142" s="23"/>
    </row>
    <row r="143" ht="15.75" customHeight="1">
      <c r="A143" s="23"/>
      <c r="B143" s="23"/>
      <c r="C143" s="23"/>
      <c r="D143" s="23"/>
      <c r="E143" s="23"/>
      <c r="F143" s="23"/>
      <c r="G143" s="23"/>
      <c r="H143" s="23"/>
      <c r="I143" s="23"/>
      <c r="J143" s="23"/>
      <c r="K143" s="23"/>
      <c r="L143" s="23"/>
      <c r="M143" s="23"/>
      <c r="N143" s="23"/>
      <c r="O143" s="23"/>
      <c r="P143" s="23"/>
      <c r="Q143" s="23"/>
      <c r="R143" s="23"/>
      <c r="S143" s="23"/>
      <c r="T143" s="23"/>
      <c r="U143" s="23"/>
      <c r="V143" s="23"/>
      <c r="W143" s="23"/>
      <c r="X143" s="23"/>
      <c r="Y143" s="23"/>
      <c r="Z143" s="23"/>
      <c r="AA143" s="23"/>
      <c r="AB143" s="23"/>
      <c r="AC143" s="23"/>
      <c r="AD143" s="23"/>
      <c r="AE143" s="23"/>
      <c r="AF143" s="23"/>
      <c r="AG143" s="23"/>
    </row>
    <row r="144" ht="15.75" customHeight="1">
      <c r="A144" s="23"/>
      <c r="B144" s="23"/>
      <c r="C144" s="23"/>
      <c r="D144" s="23"/>
      <c r="E144" s="23"/>
      <c r="F144" s="23"/>
      <c r="G144" s="23"/>
      <c r="H144" s="23"/>
      <c r="I144" s="23"/>
      <c r="J144" s="23"/>
      <c r="K144" s="23"/>
      <c r="L144" s="23"/>
      <c r="M144" s="23"/>
      <c r="N144" s="23"/>
      <c r="O144" s="23"/>
      <c r="P144" s="23"/>
      <c r="Q144" s="23"/>
      <c r="R144" s="23"/>
      <c r="S144" s="23"/>
      <c r="T144" s="23"/>
      <c r="U144" s="23"/>
      <c r="V144" s="23"/>
      <c r="W144" s="23"/>
      <c r="X144" s="23"/>
      <c r="Y144" s="23"/>
      <c r="Z144" s="23"/>
      <c r="AA144" s="23"/>
      <c r="AB144" s="23"/>
      <c r="AC144" s="23"/>
      <c r="AD144" s="23"/>
      <c r="AE144" s="23"/>
      <c r="AF144" s="23"/>
      <c r="AG144" s="23"/>
    </row>
    <row r="145" ht="15.75" customHeight="1">
      <c r="A145" s="23"/>
      <c r="B145" s="23"/>
      <c r="C145" s="23"/>
      <c r="D145" s="23"/>
      <c r="E145" s="23"/>
      <c r="F145" s="23"/>
      <c r="G145" s="23"/>
      <c r="H145" s="23"/>
      <c r="I145" s="23"/>
      <c r="J145" s="23"/>
      <c r="K145" s="23"/>
      <c r="L145" s="23"/>
      <c r="M145" s="23"/>
      <c r="N145" s="23"/>
      <c r="O145" s="23"/>
      <c r="P145" s="23"/>
      <c r="Q145" s="23"/>
      <c r="R145" s="23"/>
      <c r="S145" s="23"/>
      <c r="T145" s="23"/>
      <c r="U145" s="23"/>
      <c r="V145" s="23"/>
      <c r="W145" s="23"/>
      <c r="X145" s="23"/>
      <c r="Y145" s="23"/>
      <c r="Z145" s="23"/>
      <c r="AA145" s="23"/>
      <c r="AB145" s="23"/>
      <c r="AC145" s="23"/>
      <c r="AD145" s="23"/>
      <c r="AE145" s="23"/>
      <c r="AF145" s="23"/>
      <c r="AG145" s="23"/>
    </row>
    <row r="146" ht="15.75" customHeight="1">
      <c r="A146" s="23"/>
      <c r="B146" s="23"/>
      <c r="C146" s="23"/>
      <c r="D146" s="23"/>
      <c r="E146" s="23"/>
      <c r="F146" s="23"/>
      <c r="G146" s="23"/>
      <c r="H146" s="23"/>
      <c r="I146" s="23"/>
      <c r="J146" s="23"/>
      <c r="K146" s="23"/>
      <c r="L146" s="23"/>
      <c r="M146" s="23"/>
      <c r="N146" s="23"/>
      <c r="O146" s="23"/>
      <c r="P146" s="23"/>
      <c r="Q146" s="23"/>
      <c r="R146" s="23"/>
      <c r="S146" s="23"/>
      <c r="T146" s="23"/>
      <c r="U146" s="23"/>
      <c r="V146" s="23"/>
      <c r="W146" s="23"/>
      <c r="X146" s="23"/>
      <c r="Y146" s="23"/>
      <c r="Z146" s="23"/>
      <c r="AA146" s="23"/>
      <c r="AB146" s="23"/>
      <c r="AC146" s="23"/>
      <c r="AD146" s="23"/>
      <c r="AE146" s="23"/>
      <c r="AF146" s="23"/>
      <c r="AG146" s="23"/>
    </row>
    <row r="147" ht="15.75" customHeight="1">
      <c r="A147" s="23"/>
      <c r="B147" s="23"/>
      <c r="C147" s="23"/>
      <c r="D147" s="23"/>
      <c r="E147" s="23"/>
      <c r="F147" s="23"/>
      <c r="G147" s="23"/>
      <c r="H147" s="23"/>
      <c r="I147" s="23"/>
      <c r="J147" s="23"/>
      <c r="K147" s="23"/>
      <c r="L147" s="23"/>
      <c r="M147" s="23"/>
      <c r="N147" s="23"/>
      <c r="O147" s="23"/>
      <c r="P147" s="23"/>
      <c r="Q147" s="23"/>
      <c r="R147" s="23"/>
      <c r="S147" s="23"/>
      <c r="T147" s="23"/>
      <c r="U147" s="23"/>
      <c r="V147" s="23"/>
      <c r="W147" s="23"/>
      <c r="X147" s="23"/>
      <c r="Y147" s="23"/>
      <c r="Z147" s="23"/>
      <c r="AA147" s="23"/>
      <c r="AB147" s="23"/>
      <c r="AC147" s="23"/>
      <c r="AD147" s="23"/>
      <c r="AE147" s="23"/>
      <c r="AF147" s="23"/>
      <c r="AG147" s="23"/>
    </row>
    <row r="148" ht="15.75" customHeight="1">
      <c r="A148" s="23"/>
      <c r="B148" s="23"/>
      <c r="C148" s="23"/>
      <c r="D148" s="23"/>
      <c r="E148" s="23"/>
      <c r="F148" s="23"/>
      <c r="G148" s="23"/>
      <c r="H148" s="23"/>
      <c r="I148" s="23"/>
      <c r="J148" s="23"/>
      <c r="K148" s="23"/>
      <c r="L148" s="23"/>
      <c r="M148" s="23"/>
      <c r="N148" s="23"/>
      <c r="O148" s="23"/>
      <c r="P148" s="23"/>
      <c r="Q148" s="23"/>
      <c r="R148" s="23"/>
      <c r="S148" s="23"/>
      <c r="T148" s="23"/>
      <c r="U148" s="23"/>
      <c r="V148" s="23"/>
      <c r="W148" s="23"/>
      <c r="X148" s="23"/>
      <c r="Y148" s="23"/>
      <c r="Z148" s="23"/>
      <c r="AA148" s="23"/>
      <c r="AB148" s="23"/>
      <c r="AC148" s="23"/>
      <c r="AD148" s="23"/>
      <c r="AE148" s="23"/>
      <c r="AF148" s="23"/>
      <c r="AG148" s="23"/>
    </row>
    <row r="149" ht="15.75" customHeight="1">
      <c r="A149" s="23"/>
      <c r="B149" s="23"/>
      <c r="C149" s="23"/>
      <c r="D149" s="23"/>
      <c r="E149" s="23"/>
      <c r="F149" s="23"/>
      <c r="G149" s="23"/>
      <c r="H149" s="23"/>
      <c r="I149" s="23"/>
      <c r="J149" s="23"/>
      <c r="K149" s="23"/>
      <c r="L149" s="23"/>
      <c r="M149" s="23"/>
      <c r="N149" s="23"/>
      <c r="O149" s="23"/>
      <c r="P149" s="23"/>
      <c r="Q149" s="23"/>
      <c r="R149" s="23"/>
      <c r="S149" s="23"/>
      <c r="T149" s="23"/>
      <c r="U149" s="23"/>
      <c r="V149" s="23"/>
      <c r="W149" s="23"/>
      <c r="X149" s="23"/>
      <c r="Y149" s="23"/>
      <c r="Z149" s="23"/>
      <c r="AA149" s="23"/>
      <c r="AB149" s="23"/>
      <c r="AC149" s="23"/>
      <c r="AD149" s="23"/>
      <c r="AE149" s="23"/>
      <c r="AF149" s="23"/>
      <c r="AG149" s="23"/>
    </row>
    <row r="150" ht="15.75" customHeight="1">
      <c r="A150" s="23"/>
      <c r="B150" s="23"/>
      <c r="C150" s="23"/>
      <c r="D150" s="23"/>
      <c r="E150" s="23"/>
      <c r="F150" s="23"/>
      <c r="G150" s="23"/>
      <c r="H150" s="23"/>
      <c r="I150" s="23"/>
      <c r="J150" s="23"/>
      <c r="K150" s="23"/>
      <c r="L150" s="23"/>
      <c r="M150" s="23"/>
      <c r="N150" s="23"/>
      <c r="O150" s="23"/>
      <c r="P150" s="23"/>
      <c r="Q150" s="23"/>
      <c r="R150" s="23"/>
      <c r="S150" s="23"/>
      <c r="T150" s="23"/>
      <c r="U150" s="23"/>
      <c r="V150" s="23"/>
      <c r="W150" s="23"/>
      <c r="X150" s="23"/>
      <c r="Y150" s="23"/>
      <c r="Z150" s="23"/>
      <c r="AA150" s="23"/>
      <c r="AB150" s="23"/>
      <c r="AC150" s="23"/>
      <c r="AD150" s="23"/>
      <c r="AE150" s="23"/>
      <c r="AF150" s="23"/>
      <c r="AG150" s="23"/>
    </row>
    <row r="151" ht="15.75" customHeight="1">
      <c r="A151" s="23"/>
      <c r="B151" s="23"/>
      <c r="C151" s="23"/>
      <c r="D151" s="23"/>
      <c r="E151" s="23"/>
      <c r="F151" s="23"/>
      <c r="G151" s="23"/>
      <c r="H151" s="23"/>
      <c r="I151" s="23"/>
      <c r="J151" s="23"/>
      <c r="K151" s="23"/>
      <c r="L151" s="23"/>
      <c r="M151" s="23"/>
      <c r="N151" s="23"/>
      <c r="O151" s="23"/>
      <c r="P151" s="23"/>
      <c r="Q151" s="23"/>
      <c r="R151" s="23"/>
      <c r="S151" s="23"/>
      <c r="T151" s="23"/>
      <c r="U151" s="23"/>
      <c r="V151" s="23"/>
      <c r="W151" s="23"/>
      <c r="X151" s="23"/>
      <c r="Y151" s="23"/>
      <c r="Z151" s="23"/>
      <c r="AA151" s="23"/>
      <c r="AB151" s="23"/>
      <c r="AC151" s="23"/>
      <c r="AD151" s="23"/>
      <c r="AE151" s="23"/>
      <c r="AF151" s="23"/>
      <c r="AG151" s="23"/>
    </row>
    <row r="152" ht="15.75" customHeight="1">
      <c r="A152" s="23"/>
      <c r="B152" s="23"/>
      <c r="C152" s="23"/>
      <c r="D152" s="23"/>
      <c r="E152" s="23"/>
      <c r="F152" s="23"/>
      <c r="G152" s="23"/>
      <c r="H152" s="23"/>
      <c r="I152" s="23"/>
      <c r="J152" s="23"/>
      <c r="K152" s="23"/>
      <c r="L152" s="23"/>
      <c r="M152" s="23"/>
      <c r="N152" s="23"/>
      <c r="O152" s="23"/>
      <c r="P152" s="23"/>
      <c r="Q152" s="23"/>
      <c r="R152" s="23"/>
      <c r="S152" s="23"/>
      <c r="T152" s="23"/>
      <c r="U152" s="23"/>
      <c r="V152" s="23"/>
      <c r="W152" s="23"/>
      <c r="X152" s="23"/>
      <c r="Y152" s="23"/>
      <c r="Z152" s="23"/>
      <c r="AA152" s="23"/>
      <c r="AB152" s="23"/>
      <c r="AC152" s="23"/>
      <c r="AD152" s="23"/>
      <c r="AE152" s="23"/>
      <c r="AF152" s="23"/>
      <c r="AG152" s="23"/>
    </row>
    <row r="153" ht="15.75" customHeight="1">
      <c r="A153" s="23"/>
      <c r="B153" s="23"/>
      <c r="C153" s="23"/>
      <c r="D153" s="23"/>
      <c r="E153" s="23"/>
      <c r="F153" s="23"/>
      <c r="G153" s="23"/>
      <c r="H153" s="23"/>
      <c r="I153" s="23"/>
      <c r="J153" s="23"/>
      <c r="K153" s="23"/>
      <c r="L153" s="23"/>
      <c r="M153" s="23"/>
      <c r="N153" s="23"/>
      <c r="O153" s="23"/>
      <c r="P153" s="23"/>
      <c r="Q153" s="23"/>
      <c r="R153" s="23"/>
      <c r="S153" s="23"/>
      <c r="T153" s="23"/>
      <c r="U153" s="23"/>
      <c r="V153" s="23"/>
      <c r="W153" s="23"/>
      <c r="X153" s="23"/>
      <c r="Y153" s="23"/>
      <c r="Z153" s="23"/>
      <c r="AA153" s="23"/>
      <c r="AB153" s="23"/>
      <c r="AC153" s="23"/>
      <c r="AD153" s="23"/>
      <c r="AE153" s="23"/>
      <c r="AF153" s="23"/>
      <c r="AG153" s="23"/>
    </row>
    <row r="154" ht="15.75" customHeight="1">
      <c r="A154" s="23"/>
      <c r="B154" s="23"/>
      <c r="C154" s="23"/>
      <c r="D154" s="23"/>
      <c r="E154" s="23"/>
      <c r="F154" s="23"/>
      <c r="G154" s="23"/>
      <c r="H154" s="23"/>
      <c r="I154" s="23"/>
      <c r="J154" s="23"/>
      <c r="K154" s="23"/>
      <c r="L154" s="23"/>
      <c r="M154" s="23"/>
      <c r="N154" s="23"/>
      <c r="O154" s="23"/>
      <c r="P154" s="23"/>
      <c r="Q154" s="23"/>
      <c r="R154" s="23"/>
      <c r="S154" s="23"/>
      <c r="T154" s="23"/>
      <c r="U154" s="23"/>
      <c r="V154" s="23"/>
      <c r="W154" s="23"/>
      <c r="X154" s="23"/>
      <c r="Y154" s="23"/>
      <c r="Z154" s="23"/>
      <c r="AA154" s="23"/>
      <c r="AB154" s="23"/>
      <c r="AC154" s="23"/>
      <c r="AD154" s="23"/>
      <c r="AE154" s="23"/>
      <c r="AF154" s="23"/>
      <c r="AG154" s="23"/>
    </row>
    <row r="155" ht="15.75" customHeight="1">
      <c r="A155" s="23"/>
      <c r="B155" s="23"/>
      <c r="C155" s="23"/>
      <c r="D155" s="23"/>
      <c r="E155" s="23"/>
      <c r="F155" s="23"/>
      <c r="G155" s="23"/>
      <c r="H155" s="23"/>
      <c r="I155" s="23"/>
      <c r="J155" s="23"/>
      <c r="K155" s="23"/>
      <c r="L155" s="23"/>
      <c r="M155" s="23"/>
      <c r="N155" s="23"/>
      <c r="O155" s="23"/>
      <c r="P155" s="23"/>
      <c r="Q155" s="23"/>
      <c r="R155" s="23"/>
      <c r="S155" s="23"/>
      <c r="T155" s="23"/>
      <c r="U155" s="23"/>
      <c r="V155" s="23"/>
      <c r="W155" s="23"/>
      <c r="X155" s="23"/>
      <c r="Y155" s="23"/>
      <c r="Z155" s="23"/>
      <c r="AA155" s="23"/>
      <c r="AB155" s="23"/>
      <c r="AC155" s="23"/>
      <c r="AD155" s="23"/>
      <c r="AE155" s="23"/>
      <c r="AF155" s="23"/>
      <c r="AG155" s="23"/>
    </row>
    <row r="156" ht="15.75" customHeight="1">
      <c r="A156" s="23"/>
      <c r="B156" s="23"/>
      <c r="C156" s="23"/>
      <c r="D156" s="23"/>
      <c r="E156" s="23"/>
      <c r="F156" s="23"/>
      <c r="G156" s="23"/>
      <c r="H156" s="23"/>
      <c r="I156" s="23"/>
      <c r="J156" s="23"/>
      <c r="K156" s="23"/>
      <c r="L156" s="23"/>
      <c r="M156" s="23"/>
      <c r="N156" s="23"/>
      <c r="O156" s="23"/>
      <c r="P156" s="23"/>
      <c r="Q156" s="23"/>
      <c r="R156" s="23"/>
      <c r="S156" s="23"/>
      <c r="T156" s="23"/>
      <c r="U156" s="23"/>
      <c r="V156" s="23"/>
      <c r="W156" s="23"/>
      <c r="X156" s="23"/>
      <c r="Y156" s="23"/>
      <c r="Z156" s="23"/>
      <c r="AA156" s="23"/>
      <c r="AB156" s="23"/>
      <c r="AC156" s="23"/>
      <c r="AD156" s="23"/>
      <c r="AE156" s="23"/>
      <c r="AF156" s="23"/>
      <c r="AG156" s="23"/>
    </row>
    <row r="157" ht="15.75" customHeight="1">
      <c r="A157" s="23"/>
      <c r="B157" s="23"/>
      <c r="C157" s="23"/>
      <c r="D157" s="23"/>
      <c r="E157" s="23"/>
      <c r="F157" s="23"/>
      <c r="G157" s="23"/>
      <c r="H157" s="23"/>
      <c r="I157" s="23"/>
      <c r="J157" s="23"/>
      <c r="K157" s="23"/>
      <c r="L157" s="23"/>
      <c r="M157" s="23"/>
      <c r="N157" s="23"/>
      <c r="O157" s="23"/>
      <c r="P157" s="23"/>
      <c r="Q157" s="23"/>
      <c r="R157" s="23"/>
      <c r="S157" s="23"/>
      <c r="T157" s="23"/>
      <c r="U157" s="23"/>
      <c r="V157" s="23"/>
      <c r="W157" s="23"/>
      <c r="X157" s="23"/>
      <c r="Y157" s="23"/>
      <c r="Z157" s="23"/>
      <c r="AA157" s="23"/>
      <c r="AB157" s="23"/>
      <c r="AC157" s="23"/>
      <c r="AD157" s="23"/>
      <c r="AE157" s="23"/>
      <c r="AF157" s="23"/>
      <c r="AG157" s="23"/>
    </row>
    <row r="158" ht="15.75" customHeight="1">
      <c r="A158" s="23"/>
      <c r="B158" s="23"/>
      <c r="C158" s="23"/>
      <c r="D158" s="23"/>
      <c r="E158" s="23"/>
      <c r="F158" s="23"/>
      <c r="G158" s="23"/>
      <c r="H158" s="23"/>
      <c r="I158" s="23"/>
      <c r="J158" s="23"/>
      <c r="K158" s="23"/>
      <c r="L158" s="23"/>
      <c r="M158" s="23"/>
      <c r="N158" s="23"/>
      <c r="O158" s="23"/>
      <c r="P158" s="23"/>
      <c r="Q158" s="23"/>
      <c r="R158" s="23"/>
      <c r="S158" s="23"/>
      <c r="T158" s="23"/>
      <c r="U158" s="23"/>
      <c r="V158" s="23"/>
      <c r="W158" s="23"/>
      <c r="X158" s="23"/>
      <c r="Y158" s="23"/>
      <c r="Z158" s="23"/>
      <c r="AA158" s="23"/>
      <c r="AB158" s="23"/>
      <c r="AC158" s="23"/>
      <c r="AD158" s="23"/>
      <c r="AE158" s="23"/>
      <c r="AF158" s="23"/>
      <c r="AG158" s="23"/>
    </row>
    <row r="159" ht="15.75" customHeight="1">
      <c r="A159" s="23"/>
      <c r="B159" s="23"/>
      <c r="C159" s="23"/>
      <c r="D159" s="23"/>
      <c r="E159" s="23"/>
      <c r="F159" s="23"/>
      <c r="G159" s="23"/>
      <c r="H159" s="23"/>
      <c r="I159" s="23"/>
      <c r="J159" s="23"/>
      <c r="K159" s="23"/>
      <c r="L159" s="23"/>
      <c r="M159" s="23"/>
      <c r="N159" s="23"/>
      <c r="O159" s="23"/>
      <c r="P159" s="23"/>
      <c r="Q159" s="23"/>
      <c r="R159" s="23"/>
      <c r="S159" s="23"/>
      <c r="T159" s="23"/>
      <c r="U159" s="23"/>
      <c r="V159" s="23"/>
      <c r="W159" s="23"/>
      <c r="X159" s="23"/>
      <c r="Y159" s="23"/>
      <c r="Z159" s="23"/>
      <c r="AA159" s="23"/>
      <c r="AB159" s="23"/>
      <c r="AC159" s="23"/>
      <c r="AD159" s="23"/>
      <c r="AE159" s="23"/>
      <c r="AF159" s="23"/>
      <c r="AG159" s="23"/>
    </row>
    <row r="160" ht="15.75" customHeight="1">
      <c r="A160" s="23"/>
      <c r="B160" s="23"/>
      <c r="C160" s="23"/>
      <c r="D160" s="23"/>
      <c r="E160" s="23"/>
      <c r="F160" s="23"/>
      <c r="G160" s="23"/>
      <c r="H160" s="23"/>
      <c r="I160" s="23"/>
      <c r="J160" s="23"/>
      <c r="K160" s="23"/>
      <c r="L160" s="23"/>
      <c r="M160" s="23"/>
      <c r="N160" s="23"/>
      <c r="O160" s="23"/>
      <c r="P160" s="23"/>
      <c r="Q160" s="23"/>
      <c r="R160" s="23"/>
      <c r="S160" s="23"/>
      <c r="T160" s="23"/>
      <c r="U160" s="23"/>
      <c r="V160" s="23"/>
      <c r="W160" s="23"/>
      <c r="X160" s="23"/>
      <c r="Y160" s="23"/>
      <c r="Z160" s="23"/>
      <c r="AA160" s="23"/>
      <c r="AB160" s="23"/>
      <c r="AC160" s="23"/>
      <c r="AD160" s="23"/>
      <c r="AE160" s="23"/>
      <c r="AF160" s="23"/>
      <c r="AG160" s="23"/>
    </row>
    <row r="161" ht="15.75" customHeight="1">
      <c r="A161" s="23"/>
      <c r="B161" s="23"/>
      <c r="C161" s="23"/>
      <c r="D161" s="23"/>
      <c r="E161" s="23"/>
      <c r="F161" s="23"/>
      <c r="G161" s="23"/>
      <c r="H161" s="23"/>
      <c r="I161" s="23"/>
      <c r="J161" s="23"/>
      <c r="K161" s="23"/>
      <c r="L161" s="23"/>
      <c r="M161" s="23"/>
      <c r="N161" s="23"/>
      <c r="O161" s="23"/>
      <c r="P161" s="23"/>
      <c r="Q161" s="23"/>
      <c r="R161" s="23"/>
      <c r="S161" s="23"/>
      <c r="T161" s="23"/>
      <c r="U161" s="23"/>
      <c r="V161" s="23"/>
      <c r="W161" s="23"/>
      <c r="X161" s="23"/>
      <c r="Y161" s="23"/>
      <c r="Z161" s="23"/>
      <c r="AA161" s="23"/>
      <c r="AB161" s="23"/>
      <c r="AC161" s="23"/>
      <c r="AD161" s="23"/>
      <c r="AE161" s="23"/>
      <c r="AF161" s="23"/>
      <c r="AG161" s="23"/>
    </row>
    <row r="162" ht="15.75" customHeight="1">
      <c r="A162" s="23"/>
      <c r="B162" s="23"/>
      <c r="C162" s="23"/>
      <c r="D162" s="23"/>
      <c r="E162" s="23"/>
      <c r="F162" s="23"/>
      <c r="G162" s="23"/>
      <c r="H162" s="23"/>
      <c r="I162" s="23"/>
      <c r="J162" s="23"/>
      <c r="K162" s="23"/>
      <c r="L162" s="23"/>
      <c r="M162" s="23"/>
      <c r="N162" s="23"/>
      <c r="O162" s="23"/>
      <c r="P162" s="23"/>
      <c r="Q162" s="23"/>
      <c r="R162" s="23"/>
      <c r="S162" s="23"/>
      <c r="T162" s="23"/>
      <c r="U162" s="23"/>
      <c r="V162" s="23"/>
      <c r="W162" s="23"/>
      <c r="X162" s="23"/>
      <c r="Y162" s="23"/>
      <c r="Z162" s="23"/>
      <c r="AA162" s="23"/>
      <c r="AB162" s="23"/>
      <c r="AC162" s="23"/>
      <c r="AD162" s="23"/>
      <c r="AE162" s="23"/>
      <c r="AF162" s="23"/>
      <c r="AG162" s="23"/>
    </row>
    <row r="163" ht="15.75" customHeight="1">
      <c r="A163" s="23"/>
      <c r="B163" s="23"/>
      <c r="C163" s="23"/>
      <c r="D163" s="23"/>
      <c r="E163" s="23"/>
      <c r="F163" s="23"/>
      <c r="G163" s="23"/>
      <c r="H163" s="23"/>
      <c r="I163" s="23"/>
      <c r="J163" s="23"/>
      <c r="K163" s="23"/>
      <c r="L163" s="23"/>
      <c r="M163" s="23"/>
      <c r="N163" s="23"/>
      <c r="O163" s="23"/>
      <c r="P163" s="23"/>
      <c r="Q163" s="23"/>
      <c r="R163" s="23"/>
      <c r="S163" s="23"/>
      <c r="T163" s="23"/>
      <c r="U163" s="23"/>
      <c r="V163" s="23"/>
      <c r="W163" s="23"/>
      <c r="X163" s="23"/>
      <c r="Y163" s="23"/>
      <c r="Z163" s="23"/>
      <c r="AA163" s="23"/>
      <c r="AB163" s="23"/>
      <c r="AC163" s="23"/>
      <c r="AD163" s="23"/>
      <c r="AE163" s="23"/>
      <c r="AF163" s="23"/>
      <c r="AG163" s="23"/>
    </row>
    <row r="164" ht="15.75" customHeight="1">
      <c r="A164" s="23"/>
      <c r="B164" s="23"/>
      <c r="C164" s="23"/>
      <c r="D164" s="23"/>
      <c r="E164" s="23"/>
      <c r="F164" s="23"/>
      <c r="G164" s="23"/>
      <c r="H164" s="23"/>
      <c r="I164" s="23"/>
      <c r="J164" s="23"/>
      <c r="K164" s="23"/>
      <c r="L164" s="23"/>
      <c r="M164" s="23"/>
      <c r="N164" s="23"/>
      <c r="O164" s="23"/>
      <c r="P164" s="23"/>
      <c r="Q164" s="23"/>
      <c r="R164" s="23"/>
      <c r="S164" s="23"/>
      <c r="T164" s="23"/>
      <c r="U164" s="23"/>
      <c r="V164" s="23"/>
      <c r="W164" s="23"/>
      <c r="X164" s="23"/>
      <c r="Y164" s="23"/>
      <c r="Z164" s="23"/>
      <c r="AA164" s="23"/>
      <c r="AB164" s="23"/>
      <c r="AC164" s="23"/>
      <c r="AD164" s="23"/>
      <c r="AE164" s="23"/>
      <c r="AF164" s="23"/>
      <c r="AG164" s="23"/>
    </row>
    <row r="165" ht="15.75" customHeight="1">
      <c r="A165" s="23"/>
      <c r="B165" s="23"/>
      <c r="C165" s="23"/>
      <c r="D165" s="23"/>
      <c r="E165" s="23"/>
      <c r="F165" s="23"/>
      <c r="G165" s="23"/>
      <c r="H165" s="23"/>
      <c r="I165" s="23"/>
      <c r="J165" s="23"/>
      <c r="K165" s="23"/>
      <c r="L165" s="23"/>
      <c r="M165" s="23"/>
      <c r="N165" s="23"/>
      <c r="O165" s="23"/>
      <c r="P165" s="23"/>
      <c r="Q165" s="23"/>
      <c r="R165" s="23"/>
      <c r="S165" s="23"/>
      <c r="T165" s="23"/>
      <c r="U165" s="23"/>
      <c r="V165" s="23"/>
      <c r="W165" s="23"/>
      <c r="X165" s="23"/>
      <c r="Y165" s="23"/>
      <c r="Z165" s="23"/>
      <c r="AA165" s="23"/>
      <c r="AB165" s="23"/>
      <c r="AC165" s="23"/>
      <c r="AD165" s="23"/>
      <c r="AE165" s="23"/>
      <c r="AF165" s="23"/>
      <c r="AG165" s="23"/>
    </row>
    <row r="166" ht="15.75" customHeight="1">
      <c r="A166" s="23"/>
      <c r="B166" s="23"/>
      <c r="C166" s="23"/>
      <c r="D166" s="23"/>
      <c r="E166" s="23"/>
      <c r="F166" s="23"/>
      <c r="G166" s="23"/>
      <c r="H166" s="23"/>
      <c r="I166" s="23"/>
      <c r="J166" s="23"/>
      <c r="K166" s="23"/>
      <c r="L166" s="23"/>
      <c r="M166" s="23"/>
      <c r="N166" s="23"/>
      <c r="O166" s="23"/>
      <c r="P166" s="23"/>
      <c r="Q166" s="23"/>
      <c r="R166" s="23"/>
      <c r="S166" s="23"/>
      <c r="T166" s="23"/>
      <c r="U166" s="23"/>
      <c r="V166" s="23"/>
      <c r="W166" s="23"/>
      <c r="X166" s="23"/>
      <c r="Y166" s="23"/>
      <c r="Z166" s="23"/>
      <c r="AA166" s="23"/>
      <c r="AB166" s="23"/>
      <c r="AC166" s="23"/>
      <c r="AD166" s="23"/>
      <c r="AE166" s="23"/>
      <c r="AF166" s="23"/>
      <c r="AG166" s="23"/>
    </row>
    <row r="167" ht="15.75" customHeight="1">
      <c r="A167" s="23"/>
      <c r="B167" s="23"/>
      <c r="C167" s="23"/>
      <c r="D167" s="23"/>
      <c r="E167" s="23"/>
      <c r="F167" s="23"/>
      <c r="G167" s="23"/>
      <c r="H167" s="23"/>
      <c r="I167" s="23"/>
      <c r="J167" s="23"/>
      <c r="K167" s="23"/>
      <c r="L167" s="23"/>
      <c r="M167" s="23"/>
      <c r="N167" s="23"/>
      <c r="O167" s="23"/>
      <c r="P167" s="23"/>
      <c r="Q167" s="23"/>
      <c r="R167" s="23"/>
      <c r="S167" s="23"/>
      <c r="T167" s="23"/>
      <c r="U167" s="23"/>
      <c r="V167" s="23"/>
      <c r="W167" s="23"/>
      <c r="X167" s="23"/>
      <c r="Y167" s="23"/>
      <c r="Z167" s="23"/>
      <c r="AA167" s="23"/>
      <c r="AB167" s="23"/>
      <c r="AC167" s="23"/>
      <c r="AD167" s="23"/>
      <c r="AE167" s="23"/>
      <c r="AF167" s="23"/>
      <c r="AG167" s="23"/>
    </row>
    <row r="168" ht="15.75" customHeight="1">
      <c r="A168" s="23"/>
      <c r="B168" s="23"/>
      <c r="C168" s="23"/>
      <c r="D168" s="23"/>
      <c r="E168" s="23"/>
      <c r="F168" s="23"/>
      <c r="G168" s="23"/>
      <c r="H168" s="23"/>
      <c r="I168" s="23"/>
      <c r="J168" s="23"/>
      <c r="K168" s="23"/>
      <c r="L168" s="23"/>
      <c r="M168" s="23"/>
      <c r="N168" s="23"/>
      <c r="O168" s="23"/>
      <c r="P168" s="23"/>
      <c r="Q168" s="23"/>
      <c r="R168" s="23"/>
      <c r="S168" s="23"/>
      <c r="T168" s="23"/>
      <c r="U168" s="23"/>
      <c r="V168" s="23"/>
      <c r="W168" s="23"/>
      <c r="X168" s="23"/>
      <c r="Y168" s="23"/>
      <c r="Z168" s="23"/>
      <c r="AA168" s="23"/>
      <c r="AB168" s="23"/>
      <c r="AC168" s="23"/>
      <c r="AD168" s="23"/>
      <c r="AE168" s="23"/>
      <c r="AF168" s="23"/>
      <c r="AG168" s="23"/>
    </row>
    <row r="169" ht="15.75" customHeight="1">
      <c r="A169" s="23"/>
      <c r="B169" s="23"/>
      <c r="C169" s="23"/>
      <c r="D169" s="23"/>
      <c r="E169" s="23"/>
      <c r="F169" s="23"/>
      <c r="G169" s="23"/>
      <c r="H169" s="23"/>
      <c r="I169" s="23"/>
      <c r="J169" s="23"/>
      <c r="K169" s="23"/>
      <c r="L169" s="23"/>
      <c r="M169" s="23"/>
      <c r="N169" s="23"/>
      <c r="O169" s="23"/>
      <c r="P169" s="23"/>
      <c r="Q169" s="23"/>
      <c r="R169" s="23"/>
      <c r="S169" s="23"/>
      <c r="T169" s="23"/>
      <c r="U169" s="23"/>
      <c r="V169" s="23"/>
      <c r="W169" s="23"/>
      <c r="X169" s="23"/>
      <c r="Y169" s="23"/>
      <c r="Z169" s="23"/>
      <c r="AA169" s="23"/>
      <c r="AB169" s="23"/>
      <c r="AC169" s="23"/>
      <c r="AD169" s="23"/>
      <c r="AE169" s="23"/>
      <c r="AF169" s="23"/>
      <c r="AG169" s="23"/>
    </row>
    <row r="170" ht="15.75" customHeight="1">
      <c r="A170" s="23"/>
      <c r="B170" s="23"/>
      <c r="C170" s="23"/>
      <c r="D170" s="23"/>
      <c r="E170" s="23"/>
      <c r="F170" s="23"/>
      <c r="G170" s="23"/>
      <c r="H170" s="23"/>
      <c r="I170" s="23"/>
      <c r="J170" s="23"/>
      <c r="K170" s="23"/>
      <c r="L170" s="23"/>
      <c r="M170" s="23"/>
      <c r="N170" s="23"/>
      <c r="O170" s="23"/>
      <c r="P170" s="23"/>
      <c r="Q170" s="23"/>
      <c r="R170" s="23"/>
      <c r="S170" s="23"/>
      <c r="T170" s="23"/>
      <c r="U170" s="23"/>
      <c r="V170" s="23"/>
      <c r="W170" s="23"/>
      <c r="X170" s="23"/>
      <c r="Y170" s="23"/>
      <c r="Z170" s="23"/>
      <c r="AA170" s="23"/>
      <c r="AB170" s="23"/>
      <c r="AC170" s="23"/>
      <c r="AD170" s="23"/>
      <c r="AE170" s="23"/>
      <c r="AF170" s="23"/>
      <c r="AG170" s="23"/>
    </row>
    <row r="171" ht="15.75" customHeight="1">
      <c r="A171" s="23"/>
      <c r="B171" s="23"/>
      <c r="C171" s="23"/>
      <c r="D171" s="23"/>
      <c r="E171" s="23"/>
      <c r="F171" s="23"/>
      <c r="G171" s="23"/>
      <c r="H171" s="23"/>
      <c r="I171" s="23"/>
      <c r="J171" s="23"/>
      <c r="K171" s="23"/>
      <c r="L171" s="23"/>
      <c r="M171" s="23"/>
      <c r="N171" s="23"/>
      <c r="O171" s="23"/>
      <c r="P171" s="23"/>
      <c r="Q171" s="23"/>
      <c r="R171" s="23"/>
      <c r="S171" s="23"/>
      <c r="T171" s="23"/>
      <c r="U171" s="23"/>
      <c r="V171" s="23"/>
      <c r="W171" s="23"/>
      <c r="X171" s="23"/>
      <c r="Y171" s="23"/>
      <c r="Z171" s="23"/>
      <c r="AA171" s="23"/>
      <c r="AB171" s="23"/>
      <c r="AC171" s="23"/>
      <c r="AD171" s="23"/>
      <c r="AE171" s="23"/>
      <c r="AF171" s="23"/>
      <c r="AG171" s="23"/>
    </row>
    <row r="172" ht="15.75" customHeight="1">
      <c r="A172" s="23"/>
      <c r="B172" s="23"/>
      <c r="C172" s="23"/>
      <c r="D172" s="23"/>
      <c r="E172" s="23"/>
      <c r="F172" s="23"/>
      <c r="G172" s="23"/>
      <c r="H172" s="23"/>
      <c r="I172" s="23"/>
      <c r="J172" s="23"/>
      <c r="K172" s="23"/>
      <c r="L172" s="23"/>
      <c r="M172" s="23"/>
      <c r="N172" s="23"/>
      <c r="O172" s="23"/>
      <c r="P172" s="23"/>
      <c r="Q172" s="23"/>
      <c r="R172" s="23"/>
      <c r="S172" s="23"/>
      <c r="T172" s="23"/>
      <c r="U172" s="23"/>
      <c r="V172" s="23"/>
      <c r="W172" s="23"/>
      <c r="X172" s="23"/>
      <c r="Y172" s="23"/>
      <c r="Z172" s="23"/>
      <c r="AA172" s="23"/>
      <c r="AB172" s="23"/>
      <c r="AC172" s="23"/>
      <c r="AD172" s="23"/>
      <c r="AE172" s="23"/>
      <c r="AF172" s="23"/>
      <c r="AG172" s="23"/>
    </row>
    <row r="173" ht="15.75" customHeight="1">
      <c r="A173" s="23"/>
      <c r="B173" s="23"/>
      <c r="C173" s="23"/>
      <c r="D173" s="23"/>
      <c r="E173" s="23"/>
      <c r="F173" s="23"/>
      <c r="G173" s="23"/>
      <c r="H173" s="23"/>
      <c r="I173" s="23"/>
      <c r="J173" s="23"/>
      <c r="K173" s="23"/>
      <c r="L173" s="23"/>
      <c r="M173" s="23"/>
      <c r="N173" s="23"/>
      <c r="O173" s="23"/>
      <c r="P173" s="23"/>
      <c r="Q173" s="23"/>
      <c r="R173" s="23"/>
      <c r="S173" s="23"/>
      <c r="T173" s="23"/>
      <c r="U173" s="23"/>
      <c r="V173" s="23"/>
      <c r="W173" s="23"/>
      <c r="X173" s="23"/>
      <c r="Y173" s="23"/>
      <c r="Z173" s="23"/>
      <c r="AA173" s="23"/>
      <c r="AB173" s="23"/>
      <c r="AC173" s="23"/>
      <c r="AD173" s="23"/>
      <c r="AE173" s="23"/>
      <c r="AF173" s="23"/>
      <c r="AG173" s="23"/>
    </row>
    <row r="174" ht="15.75" customHeight="1">
      <c r="A174" s="23"/>
      <c r="B174" s="23"/>
      <c r="C174" s="23"/>
      <c r="D174" s="23"/>
      <c r="E174" s="23"/>
      <c r="F174" s="23"/>
      <c r="G174" s="23"/>
      <c r="H174" s="23"/>
      <c r="I174" s="23"/>
      <c r="J174" s="23"/>
      <c r="K174" s="23"/>
      <c r="L174" s="23"/>
      <c r="M174" s="23"/>
      <c r="N174" s="23"/>
      <c r="O174" s="23"/>
      <c r="P174" s="23"/>
      <c r="Q174" s="23"/>
      <c r="R174" s="23"/>
      <c r="S174" s="23"/>
      <c r="T174" s="23"/>
      <c r="U174" s="23"/>
      <c r="V174" s="23"/>
      <c r="W174" s="23"/>
      <c r="X174" s="23"/>
      <c r="Y174" s="23"/>
      <c r="Z174" s="23"/>
      <c r="AA174" s="23"/>
      <c r="AB174" s="23"/>
      <c r="AC174" s="23"/>
      <c r="AD174" s="23"/>
      <c r="AE174" s="23"/>
      <c r="AF174" s="23"/>
      <c r="AG174" s="23"/>
    </row>
    <row r="175" ht="15.75" customHeight="1">
      <c r="A175" s="23"/>
      <c r="B175" s="23"/>
      <c r="C175" s="23"/>
      <c r="D175" s="23"/>
      <c r="E175" s="23"/>
      <c r="F175" s="23"/>
      <c r="G175" s="23"/>
      <c r="H175" s="23"/>
      <c r="I175" s="23"/>
      <c r="J175" s="23"/>
      <c r="K175" s="23"/>
      <c r="L175" s="23"/>
      <c r="M175" s="23"/>
      <c r="N175" s="23"/>
      <c r="O175" s="23"/>
      <c r="P175" s="23"/>
      <c r="Q175" s="23"/>
      <c r="R175" s="23"/>
      <c r="S175" s="23"/>
      <c r="T175" s="23"/>
      <c r="U175" s="23"/>
      <c r="V175" s="23"/>
      <c r="W175" s="23"/>
      <c r="X175" s="23"/>
      <c r="Y175" s="23"/>
      <c r="Z175" s="23"/>
      <c r="AA175" s="23"/>
      <c r="AB175" s="23"/>
      <c r="AC175" s="23"/>
      <c r="AD175" s="23"/>
      <c r="AE175" s="23"/>
      <c r="AF175" s="23"/>
      <c r="AG175" s="23"/>
    </row>
    <row r="176" ht="15.75" customHeight="1">
      <c r="A176" s="23"/>
      <c r="B176" s="23"/>
      <c r="C176" s="23"/>
      <c r="D176" s="23"/>
      <c r="E176" s="23"/>
      <c r="F176" s="23"/>
      <c r="G176" s="23"/>
      <c r="H176" s="23"/>
      <c r="I176" s="23"/>
      <c r="J176" s="23"/>
      <c r="K176" s="23"/>
      <c r="L176" s="23"/>
      <c r="M176" s="23"/>
      <c r="N176" s="23"/>
      <c r="O176" s="23"/>
      <c r="P176" s="23"/>
      <c r="Q176" s="23"/>
      <c r="R176" s="23"/>
      <c r="S176" s="23"/>
      <c r="T176" s="23"/>
      <c r="U176" s="23"/>
      <c r="V176" s="23"/>
      <c r="W176" s="23"/>
      <c r="X176" s="23"/>
      <c r="Y176" s="23"/>
      <c r="Z176" s="23"/>
      <c r="AA176" s="23"/>
      <c r="AB176" s="23"/>
      <c r="AC176" s="23"/>
      <c r="AD176" s="23"/>
      <c r="AE176" s="23"/>
      <c r="AF176" s="23"/>
      <c r="AG176" s="23"/>
    </row>
    <row r="177" ht="15.75" customHeight="1">
      <c r="A177" s="23"/>
      <c r="B177" s="23"/>
      <c r="C177" s="23"/>
      <c r="D177" s="23"/>
      <c r="E177" s="23"/>
      <c r="F177" s="23"/>
      <c r="G177" s="23"/>
      <c r="H177" s="23"/>
      <c r="I177" s="23"/>
      <c r="J177" s="23"/>
      <c r="K177" s="23"/>
      <c r="L177" s="23"/>
      <c r="M177" s="23"/>
      <c r="N177" s="23"/>
      <c r="O177" s="23"/>
      <c r="P177" s="23"/>
      <c r="Q177" s="23"/>
      <c r="R177" s="23"/>
      <c r="S177" s="23"/>
      <c r="T177" s="23"/>
      <c r="U177" s="23"/>
      <c r="V177" s="23"/>
      <c r="W177" s="23"/>
      <c r="X177" s="23"/>
      <c r="Y177" s="23"/>
      <c r="Z177" s="23"/>
      <c r="AA177" s="23"/>
      <c r="AB177" s="23"/>
      <c r="AC177" s="23"/>
      <c r="AD177" s="23"/>
      <c r="AE177" s="23"/>
      <c r="AF177" s="23"/>
      <c r="AG177" s="23"/>
    </row>
    <row r="178" ht="15.75" customHeight="1">
      <c r="A178" s="23"/>
      <c r="B178" s="23"/>
      <c r="C178" s="23"/>
      <c r="D178" s="23"/>
      <c r="E178" s="23"/>
      <c r="F178" s="23"/>
      <c r="G178" s="23"/>
      <c r="H178" s="23"/>
      <c r="I178" s="23"/>
      <c r="J178" s="23"/>
      <c r="K178" s="23"/>
      <c r="L178" s="23"/>
      <c r="M178" s="23"/>
      <c r="N178" s="23"/>
      <c r="O178" s="23"/>
      <c r="P178" s="23"/>
      <c r="Q178" s="23"/>
      <c r="R178" s="23"/>
      <c r="S178" s="23"/>
      <c r="T178" s="23"/>
      <c r="U178" s="23"/>
      <c r="V178" s="23"/>
      <c r="W178" s="23"/>
      <c r="X178" s="23"/>
      <c r="Y178" s="23"/>
      <c r="Z178" s="23"/>
      <c r="AA178" s="23"/>
      <c r="AB178" s="23"/>
      <c r="AC178" s="23"/>
      <c r="AD178" s="23"/>
      <c r="AE178" s="23"/>
      <c r="AF178" s="23"/>
      <c r="AG178" s="23"/>
    </row>
    <row r="179" ht="15.75" customHeight="1">
      <c r="A179" s="23"/>
      <c r="B179" s="23"/>
      <c r="C179" s="23"/>
      <c r="D179" s="23"/>
      <c r="E179" s="23"/>
      <c r="F179" s="23"/>
      <c r="G179" s="23"/>
      <c r="H179" s="23"/>
      <c r="I179" s="23"/>
      <c r="J179" s="23"/>
      <c r="K179" s="23"/>
      <c r="L179" s="23"/>
      <c r="M179" s="23"/>
      <c r="N179" s="23"/>
      <c r="O179" s="23"/>
      <c r="P179" s="23"/>
      <c r="Q179" s="23"/>
      <c r="R179" s="23"/>
      <c r="S179" s="23"/>
      <c r="T179" s="23"/>
      <c r="U179" s="23"/>
      <c r="V179" s="23"/>
      <c r="W179" s="23"/>
      <c r="X179" s="23"/>
      <c r="Y179" s="23"/>
      <c r="Z179" s="23"/>
      <c r="AA179" s="23"/>
      <c r="AB179" s="23"/>
      <c r="AC179" s="23"/>
      <c r="AD179" s="23"/>
      <c r="AE179" s="23"/>
      <c r="AF179" s="23"/>
      <c r="AG179" s="23"/>
    </row>
    <row r="180" ht="15.75" customHeight="1">
      <c r="A180" s="23"/>
      <c r="B180" s="23"/>
      <c r="C180" s="23"/>
      <c r="D180" s="23"/>
      <c r="E180" s="23"/>
      <c r="F180" s="23"/>
      <c r="G180" s="23"/>
      <c r="H180" s="23"/>
      <c r="I180" s="23"/>
      <c r="J180" s="23"/>
      <c r="K180" s="23"/>
      <c r="L180" s="23"/>
      <c r="M180" s="23"/>
      <c r="N180" s="23"/>
      <c r="O180" s="23"/>
      <c r="P180" s="23"/>
      <c r="Q180" s="23"/>
      <c r="R180" s="23"/>
      <c r="S180" s="23"/>
      <c r="T180" s="23"/>
      <c r="U180" s="23"/>
      <c r="V180" s="23"/>
      <c r="W180" s="23"/>
      <c r="X180" s="23"/>
      <c r="Y180" s="23"/>
      <c r="Z180" s="23"/>
      <c r="AA180" s="23"/>
      <c r="AB180" s="23"/>
      <c r="AC180" s="23"/>
      <c r="AD180" s="23"/>
      <c r="AE180" s="23"/>
      <c r="AF180" s="23"/>
      <c r="AG180" s="23"/>
    </row>
    <row r="181" ht="15.75" customHeight="1">
      <c r="A181" s="23"/>
      <c r="B181" s="23"/>
      <c r="C181" s="23"/>
      <c r="D181" s="23"/>
      <c r="E181" s="23"/>
      <c r="F181" s="23"/>
      <c r="G181" s="23"/>
      <c r="H181" s="23"/>
      <c r="I181" s="23"/>
      <c r="J181" s="23"/>
      <c r="K181" s="23"/>
      <c r="L181" s="23"/>
      <c r="M181" s="23"/>
      <c r="N181" s="23"/>
      <c r="O181" s="23"/>
      <c r="P181" s="23"/>
      <c r="Q181" s="23"/>
      <c r="R181" s="23"/>
      <c r="S181" s="23"/>
      <c r="T181" s="23"/>
      <c r="U181" s="23"/>
      <c r="V181" s="23"/>
      <c r="W181" s="23"/>
      <c r="X181" s="23"/>
      <c r="Y181" s="23"/>
      <c r="Z181" s="23"/>
      <c r="AA181" s="23"/>
      <c r="AB181" s="23"/>
      <c r="AC181" s="23"/>
      <c r="AD181" s="23"/>
      <c r="AE181" s="23"/>
      <c r="AF181" s="23"/>
      <c r="AG181" s="23"/>
    </row>
    <row r="182" ht="15.75" customHeight="1">
      <c r="A182" s="23"/>
      <c r="B182" s="23"/>
      <c r="C182" s="23"/>
      <c r="D182" s="23"/>
      <c r="E182" s="23"/>
      <c r="F182" s="23"/>
      <c r="G182" s="23"/>
      <c r="H182" s="23"/>
      <c r="I182" s="23"/>
      <c r="J182" s="23"/>
      <c r="K182" s="23"/>
      <c r="L182" s="23"/>
      <c r="M182" s="23"/>
      <c r="N182" s="23"/>
      <c r="O182" s="23"/>
      <c r="P182" s="23"/>
      <c r="Q182" s="23"/>
      <c r="R182" s="23"/>
      <c r="S182" s="23"/>
      <c r="T182" s="23"/>
      <c r="U182" s="23"/>
      <c r="V182" s="23"/>
      <c r="W182" s="23"/>
      <c r="X182" s="23"/>
      <c r="Y182" s="23"/>
      <c r="Z182" s="23"/>
      <c r="AA182" s="23"/>
      <c r="AB182" s="23"/>
      <c r="AC182" s="23"/>
      <c r="AD182" s="23"/>
      <c r="AE182" s="23"/>
      <c r="AF182" s="23"/>
      <c r="AG182" s="23"/>
    </row>
    <row r="183" ht="15.75" customHeight="1">
      <c r="A183" s="23"/>
      <c r="B183" s="23"/>
      <c r="C183" s="23"/>
      <c r="D183" s="23"/>
      <c r="E183" s="23"/>
      <c r="F183" s="23"/>
      <c r="G183" s="23"/>
      <c r="H183" s="23"/>
      <c r="I183" s="23"/>
      <c r="J183" s="23"/>
      <c r="K183" s="23"/>
      <c r="L183" s="23"/>
      <c r="M183" s="23"/>
      <c r="N183" s="23"/>
      <c r="O183" s="23"/>
      <c r="P183" s="23"/>
      <c r="Q183" s="23"/>
      <c r="R183" s="23"/>
      <c r="S183" s="23"/>
      <c r="T183" s="23"/>
      <c r="U183" s="23"/>
      <c r="V183" s="23"/>
      <c r="W183" s="23"/>
      <c r="X183" s="23"/>
      <c r="Y183" s="23"/>
      <c r="Z183" s="23"/>
      <c r="AA183" s="23"/>
      <c r="AB183" s="23"/>
      <c r="AC183" s="23"/>
      <c r="AD183" s="23"/>
      <c r="AE183" s="23"/>
      <c r="AF183" s="23"/>
      <c r="AG183" s="23"/>
    </row>
    <row r="184" ht="15.75" customHeight="1">
      <c r="A184" s="23"/>
      <c r="B184" s="23"/>
      <c r="C184" s="23"/>
      <c r="D184" s="23"/>
      <c r="E184" s="23"/>
      <c r="F184" s="23"/>
      <c r="G184" s="23"/>
      <c r="H184" s="23"/>
      <c r="I184" s="23"/>
      <c r="J184" s="23"/>
      <c r="K184" s="23"/>
      <c r="L184" s="23"/>
      <c r="M184" s="23"/>
      <c r="N184" s="23"/>
      <c r="O184" s="23"/>
      <c r="P184" s="23"/>
      <c r="Q184" s="23"/>
      <c r="R184" s="23"/>
      <c r="S184" s="23"/>
      <c r="T184" s="23"/>
      <c r="U184" s="23"/>
      <c r="V184" s="23"/>
      <c r="W184" s="23"/>
      <c r="X184" s="23"/>
      <c r="Y184" s="23"/>
      <c r="Z184" s="23"/>
      <c r="AA184" s="23"/>
      <c r="AB184" s="23"/>
      <c r="AC184" s="23"/>
      <c r="AD184" s="23"/>
      <c r="AE184" s="23"/>
      <c r="AF184" s="23"/>
      <c r="AG184" s="23"/>
    </row>
    <row r="185" ht="15.75" customHeight="1">
      <c r="A185" s="23"/>
      <c r="B185" s="23"/>
      <c r="C185" s="23"/>
      <c r="D185" s="23"/>
      <c r="E185" s="23"/>
      <c r="F185" s="23"/>
      <c r="G185" s="23"/>
      <c r="H185" s="23"/>
      <c r="I185" s="23"/>
      <c r="J185" s="23"/>
      <c r="K185" s="23"/>
      <c r="L185" s="23"/>
      <c r="M185" s="23"/>
      <c r="N185" s="23"/>
      <c r="O185" s="23"/>
      <c r="P185" s="23"/>
      <c r="Q185" s="23"/>
      <c r="R185" s="23"/>
      <c r="S185" s="23"/>
      <c r="T185" s="23"/>
      <c r="U185" s="23"/>
      <c r="V185" s="23"/>
      <c r="W185" s="23"/>
      <c r="X185" s="23"/>
      <c r="Y185" s="23"/>
      <c r="Z185" s="23"/>
      <c r="AA185" s="23"/>
      <c r="AB185" s="23"/>
      <c r="AC185" s="23"/>
      <c r="AD185" s="23"/>
      <c r="AE185" s="23"/>
      <c r="AF185" s="23"/>
      <c r="AG185" s="23"/>
    </row>
    <row r="186" ht="15.75" customHeight="1">
      <c r="A186" s="23"/>
      <c r="B186" s="23"/>
      <c r="C186" s="23"/>
      <c r="D186" s="23"/>
      <c r="E186" s="23"/>
      <c r="F186" s="23"/>
      <c r="G186" s="23"/>
      <c r="H186" s="23"/>
      <c r="I186" s="23"/>
      <c r="J186" s="23"/>
      <c r="K186" s="23"/>
      <c r="L186" s="23"/>
      <c r="M186" s="23"/>
      <c r="N186" s="23"/>
      <c r="O186" s="23"/>
      <c r="P186" s="23"/>
      <c r="Q186" s="23"/>
      <c r="R186" s="23"/>
      <c r="S186" s="23"/>
      <c r="T186" s="23"/>
      <c r="U186" s="23"/>
      <c r="V186" s="23"/>
      <c r="W186" s="23"/>
      <c r="X186" s="23"/>
      <c r="Y186" s="23"/>
      <c r="Z186" s="23"/>
      <c r="AA186" s="23"/>
      <c r="AB186" s="23"/>
      <c r="AC186" s="23"/>
      <c r="AD186" s="23"/>
      <c r="AE186" s="23"/>
      <c r="AF186" s="23"/>
      <c r="AG186" s="23"/>
    </row>
    <row r="187" ht="15.75" customHeight="1">
      <c r="A187" s="23"/>
      <c r="B187" s="23"/>
      <c r="C187" s="23"/>
      <c r="D187" s="23"/>
      <c r="E187" s="23"/>
      <c r="F187" s="23"/>
      <c r="G187" s="23"/>
      <c r="H187" s="23"/>
      <c r="I187" s="23"/>
      <c r="J187" s="23"/>
      <c r="K187" s="23"/>
      <c r="L187" s="23"/>
      <c r="M187" s="23"/>
      <c r="N187" s="23"/>
      <c r="O187" s="23"/>
      <c r="P187" s="23"/>
      <c r="Q187" s="23"/>
      <c r="R187" s="23"/>
      <c r="S187" s="23"/>
      <c r="T187" s="23"/>
      <c r="U187" s="23"/>
      <c r="V187" s="23"/>
      <c r="W187" s="23"/>
      <c r="X187" s="23"/>
      <c r="Y187" s="23"/>
      <c r="Z187" s="23"/>
      <c r="AA187" s="23"/>
      <c r="AB187" s="23"/>
      <c r="AC187" s="23"/>
      <c r="AD187" s="23"/>
      <c r="AE187" s="23"/>
      <c r="AF187" s="23"/>
      <c r="AG187" s="23"/>
    </row>
    <row r="188" ht="15.75" customHeight="1">
      <c r="A188" s="23"/>
      <c r="B188" s="23"/>
      <c r="C188" s="23"/>
      <c r="D188" s="23"/>
      <c r="E188" s="23"/>
      <c r="F188" s="23"/>
      <c r="G188" s="23"/>
      <c r="H188" s="23"/>
      <c r="I188" s="23"/>
      <c r="J188" s="23"/>
      <c r="K188" s="23"/>
      <c r="L188" s="23"/>
      <c r="M188" s="23"/>
      <c r="N188" s="23"/>
      <c r="O188" s="23"/>
      <c r="P188" s="23"/>
      <c r="Q188" s="23"/>
      <c r="R188" s="23"/>
      <c r="S188" s="23"/>
      <c r="T188" s="23"/>
      <c r="U188" s="23"/>
      <c r="V188" s="23"/>
      <c r="W188" s="23"/>
      <c r="X188" s="23"/>
      <c r="Y188" s="23"/>
      <c r="Z188" s="23"/>
      <c r="AA188" s="23"/>
      <c r="AB188" s="23"/>
      <c r="AC188" s="23"/>
      <c r="AD188" s="23"/>
      <c r="AE188" s="23"/>
      <c r="AF188" s="23"/>
      <c r="AG188" s="23"/>
    </row>
    <row r="189" ht="15.75" customHeight="1">
      <c r="A189" s="23"/>
      <c r="B189" s="23"/>
      <c r="C189" s="23"/>
      <c r="D189" s="23"/>
      <c r="E189" s="23"/>
      <c r="F189" s="23"/>
      <c r="G189" s="23"/>
      <c r="H189" s="23"/>
      <c r="I189" s="23"/>
      <c r="J189" s="23"/>
      <c r="K189" s="23"/>
      <c r="L189" s="23"/>
      <c r="M189" s="23"/>
      <c r="N189" s="23"/>
      <c r="O189" s="23"/>
      <c r="P189" s="23"/>
      <c r="Q189" s="23"/>
      <c r="R189" s="23"/>
      <c r="S189" s="23"/>
      <c r="T189" s="23"/>
      <c r="U189" s="23"/>
      <c r="V189" s="23"/>
      <c r="W189" s="23"/>
      <c r="X189" s="23"/>
      <c r="Y189" s="23"/>
      <c r="Z189" s="23"/>
      <c r="AA189" s="23"/>
      <c r="AB189" s="23"/>
      <c r="AC189" s="23"/>
      <c r="AD189" s="23"/>
      <c r="AE189" s="23"/>
      <c r="AF189" s="23"/>
      <c r="AG189" s="23"/>
    </row>
    <row r="190" ht="15.75" customHeight="1">
      <c r="A190" s="23"/>
      <c r="B190" s="23"/>
      <c r="C190" s="23"/>
      <c r="D190" s="23"/>
      <c r="E190" s="23"/>
      <c r="F190" s="23"/>
      <c r="G190" s="23"/>
      <c r="H190" s="23"/>
      <c r="I190" s="23"/>
      <c r="J190" s="23"/>
      <c r="K190" s="23"/>
      <c r="L190" s="23"/>
      <c r="M190" s="23"/>
      <c r="N190" s="23"/>
      <c r="O190" s="23"/>
      <c r="P190" s="23"/>
      <c r="Q190" s="23"/>
      <c r="R190" s="23"/>
      <c r="S190" s="23"/>
      <c r="T190" s="23"/>
      <c r="U190" s="23"/>
      <c r="V190" s="23"/>
      <c r="W190" s="23"/>
      <c r="X190" s="23"/>
      <c r="Y190" s="23"/>
      <c r="Z190" s="23"/>
      <c r="AA190" s="23"/>
      <c r="AB190" s="23"/>
      <c r="AC190" s="23"/>
      <c r="AD190" s="23"/>
      <c r="AE190" s="23"/>
      <c r="AF190" s="23"/>
      <c r="AG190" s="23"/>
    </row>
    <row r="191" ht="15.75" customHeight="1">
      <c r="A191" s="23"/>
      <c r="B191" s="23"/>
      <c r="C191" s="23"/>
      <c r="D191" s="23"/>
      <c r="E191" s="23"/>
      <c r="F191" s="23"/>
      <c r="G191" s="23"/>
      <c r="H191" s="23"/>
      <c r="I191" s="23"/>
      <c r="J191" s="23"/>
      <c r="K191" s="23"/>
      <c r="L191" s="23"/>
      <c r="M191" s="23"/>
      <c r="N191" s="23"/>
      <c r="O191" s="23"/>
      <c r="P191" s="23"/>
      <c r="Q191" s="23"/>
      <c r="R191" s="23"/>
      <c r="S191" s="23"/>
      <c r="T191" s="23"/>
      <c r="U191" s="23"/>
      <c r="V191" s="23"/>
      <c r="W191" s="23"/>
      <c r="X191" s="23"/>
      <c r="Y191" s="23"/>
      <c r="Z191" s="23"/>
      <c r="AA191" s="23"/>
      <c r="AB191" s="23"/>
      <c r="AC191" s="23"/>
      <c r="AD191" s="23"/>
      <c r="AE191" s="23"/>
      <c r="AF191" s="23"/>
      <c r="AG191" s="23"/>
    </row>
    <row r="192" ht="15.75" customHeight="1">
      <c r="A192" s="23"/>
      <c r="B192" s="23"/>
      <c r="C192" s="23"/>
      <c r="D192" s="23"/>
      <c r="E192" s="23"/>
      <c r="F192" s="23"/>
      <c r="G192" s="23"/>
      <c r="H192" s="23"/>
      <c r="I192" s="23"/>
      <c r="J192" s="23"/>
      <c r="K192" s="23"/>
      <c r="L192" s="23"/>
      <c r="M192" s="23"/>
      <c r="N192" s="23"/>
      <c r="O192" s="23"/>
      <c r="P192" s="23"/>
      <c r="Q192" s="23"/>
      <c r="R192" s="23"/>
      <c r="S192" s="23"/>
      <c r="T192" s="23"/>
      <c r="U192" s="23"/>
      <c r="V192" s="23"/>
      <c r="W192" s="23"/>
      <c r="X192" s="23"/>
      <c r="Y192" s="23"/>
      <c r="Z192" s="23"/>
      <c r="AA192" s="23"/>
      <c r="AB192" s="23"/>
      <c r="AC192" s="23"/>
      <c r="AD192" s="23"/>
      <c r="AE192" s="23"/>
      <c r="AF192" s="23"/>
      <c r="AG192" s="23"/>
    </row>
    <row r="193" ht="15.75" customHeight="1">
      <c r="A193" s="23"/>
      <c r="B193" s="23"/>
      <c r="C193" s="23"/>
      <c r="D193" s="23"/>
      <c r="E193" s="23"/>
      <c r="F193" s="23"/>
      <c r="G193" s="23"/>
      <c r="H193" s="23"/>
      <c r="I193" s="23"/>
      <c r="J193" s="23"/>
      <c r="K193" s="23"/>
      <c r="L193" s="23"/>
      <c r="M193" s="23"/>
      <c r="N193" s="23"/>
      <c r="O193" s="23"/>
      <c r="P193" s="23"/>
      <c r="Q193" s="23"/>
      <c r="R193" s="23"/>
      <c r="S193" s="23"/>
      <c r="T193" s="23"/>
      <c r="U193" s="23"/>
      <c r="V193" s="23"/>
      <c r="W193" s="23"/>
      <c r="X193" s="23"/>
      <c r="Y193" s="23"/>
      <c r="Z193" s="23"/>
      <c r="AA193" s="23"/>
      <c r="AB193" s="23"/>
      <c r="AC193" s="23"/>
      <c r="AD193" s="23"/>
      <c r="AE193" s="23"/>
      <c r="AF193" s="23"/>
      <c r="AG193" s="23"/>
    </row>
    <row r="194" ht="15.75" customHeight="1">
      <c r="A194" s="23"/>
      <c r="B194" s="23"/>
      <c r="C194" s="23"/>
      <c r="D194" s="23"/>
      <c r="E194" s="23"/>
      <c r="F194" s="23"/>
      <c r="G194" s="23"/>
      <c r="H194" s="23"/>
      <c r="I194" s="23"/>
      <c r="J194" s="23"/>
      <c r="K194" s="23"/>
      <c r="L194" s="23"/>
      <c r="M194" s="23"/>
      <c r="N194" s="23"/>
      <c r="O194" s="23"/>
      <c r="P194" s="23"/>
      <c r="Q194" s="23"/>
      <c r="R194" s="23"/>
      <c r="S194" s="23"/>
      <c r="T194" s="23"/>
      <c r="U194" s="23"/>
      <c r="V194" s="23"/>
      <c r="W194" s="23"/>
      <c r="X194" s="23"/>
      <c r="Y194" s="23"/>
      <c r="Z194" s="23"/>
      <c r="AA194" s="23"/>
      <c r="AB194" s="23"/>
      <c r="AC194" s="23"/>
      <c r="AD194" s="23"/>
      <c r="AE194" s="23"/>
      <c r="AF194" s="23"/>
      <c r="AG194" s="23"/>
    </row>
    <row r="195" ht="15.75" customHeight="1">
      <c r="A195" s="23"/>
      <c r="B195" s="23"/>
      <c r="C195" s="23"/>
      <c r="D195" s="23"/>
      <c r="E195" s="23"/>
      <c r="F195" s="23"/>
      <c r="G195" s="23"/>
      <c r="H195" s="23"/>
      <c r="I195" s="23"/>
      <c r="J195" s="23"/>
      <c r="K195" s="23"/>
      <c r="L195" s="23"/>
      <c r="M195" s="23"/>
      <c r="N195" s="23"/>
      <c r="O195" s="23"/>
      <c r="P195" s="23"/>
      <c r="Q195" s="23"/>
      <c r="R195" s="23"/>
      <c r="S195" s="23"/>
      <c r="T195" s="23"/>
      <c r="U195" s="23"/>
      <c r="V195" s="23"/>
      <c r="W195" s="23"/>
      <c r="X195" s="23"/>
      <c r="Y195" s="23"/>
      <c r="Z195" s="23"/>
      <c r="AA195" s="23"/>
      <c r="AB195" s="23"/>
      <c r="AC195" s="23"/>
      <c r="AD195" s="23"/>
      <c r="AE195" s="23"/>
      <c r="AF195" s="23"/>
      <c r="AG195" s="23"/>
    </row>
    <row r="196" ht="15.75" customHeight="1">
      <c r="A196" s="23"/>
      <c r="B196" s="23"/>
      <c r="C196" s="23"/>
      <c r="D196" s="23"/>
      <c r="E196" s="23"/>
      <c r="F196" s="23"/>
      <c r="G196" s="23"/>
      <c r="H196" s="23"/>
      <c r="I196" s="23"/>
      <c r="J196" s="23"/>
      <c r="K196" s="23"/>
      <c r="L196" s="23"/>
      <c r="M196" s="23"/>
      <c r="N196" s="23"/>
      <c r="O196" s="23"/>
      <c r="P196" s="23"/>
      <c r="Q196" s="23"/>
      <c r="R196" s="23"/>
      <c r="S196" s="23"/>
      <c r="T196" s="23"/>
      <c r="U196" s="23"/>
      <c r="V196" s="23"/>
      <c r="W196" s="23"/>
      <c r="X196" s="23"/>
      <c r="Y196" s="23"/>
      <c r="Z196" s="23"/>
      <c r="AA196" s="23"/>
      <c r="AB196" s="23"/>
      <c r="AC196" s="23"/>
      <c r="AD196" s="23"/>
      <c r="AE196" s="23"/>
      <c r="AF196" s="23"/>
      <c r="AG196" s="23"/>
    </row>
    <row r="197" ht="15.75" customHeight="1">
      <c r="A197" s="23"/>
      <c r="B197" s="23"/>
      <c r="C197" s="23"/>
      <c r="D197" s="23"/>
      <c r="E197" s="23"/>
      <c r="F197" s="23"/>
      <c r="G197" s="23"/>
      <c r="H197" s="23"/>
      <c r="I197" s="23"/>
      <c r="J197" s="23"/>
      <c r="K197" s="23"/>
      <c r="L197" s="23"/>
      <c r="M197" s="23"/>
      <c r="N197" s="23"/>
      <c r="O197" s="23"/>
      <c r="P197" s="23"/>
      <c r="Q197" s="23"/>
      <c r="R197" s="23"/>
      <c r="S197" s="23"/>
      <c r="T197" s="23"/>
      <c r="U197" s="23"/>
      <c r="V197" s="23"/>
      <c r="W197" s="23"/>
      <c r="X197" s="23"/>
      <c r="Y197" s="23"/>
      <c r="Z197" s="23"/>
      <c r="AA197" s="23"/>
      <c r="AB197" s="23"/>
      <c r="AC197" s="23"/>
      <c r="AD197" s="23"/>
      <c r="AE197" s="23"/>
      <c r="AF197" s="23"/>
      <c r="AG197" s="23"/>
    </row>
    <row r="198" ht="15.75" customHeight="1">
      <c r="A198" s="23"/>
      <c r="B198" s="23"/>
      <c r="C198" s="23"/>
      <c r="D198" s="23"/>
      <c r="E198" s="23"/>
      <c r="F198" s="23"/>
      <c r="G198" s="23"/>
      <c r="H198" s="23"/>
      <c r="I198" s="23"/>
      <c r="J198" s="23"/>
      <c r="K198" s="23"/>
      <c r="L198" s="23"/>
      <c r="M198" s="23"/>
      <c r="N198" s="23"/>
      <c r="O198" s="23"/>
      <c r="P198" s="23"/>
      <c r="Q198" s="23"/>
      <c r="R198" s="23"/>
      <c r="S198" s="23"/>
      <c r="T198" s="23"/>
      <c r="U198" s="23"/>
      <c r="V198" s="23"/>
      <c r="W198" s="23"/>
      <c r="X198" s="23"/>
      <c r="Y198" s="23"/>
      <c r="Z198" s="23"/>
      <c r="AA198" s="23"/>
      <c r="AB198" s="23"/>
      <c r="AC198" s="23"/>
      <c r="AD198" s="23"/>
      <c r="AE198" s="23"/>
      <c r="AF198" s="23"/>
      <c r="AG198" s="23"/>
    </row>
    <row r="199" ht="15.75" customHeight="1">
      <c r="A199" s="23"/>
      <c r="B199" s="23"/>
      <c r="C199" s="23"/>
      <c r="D199" s="23"/>
      <c r="E199" s="23"/>
      <c r="F199" s="23"/>
      <c r="G199" s="23"/>
      <c r="H199" s="23"/>
      <c r="I199" s="23"/>
      <c r="J199" s="23"/>
      <c r="K199" s="23"/>
      <c r="L199" s="23"/>
      <c r="M199" s="23"/>
      <c r="N199" s="23"/>
      <c r="O199" s="23"/>
      <c r="P199" s="23"/>
      <c r="Q199" s="23"/>
      <c r="R199" s="23"/>
      <c r="S199" s="23"/>
      <c r="T199" s="23"/>
      <c r="U199" s="23"/>
      <c r="V199" s="23"/>
      <c r="W199" s="23"/>
      <c r="X199" s="23"/>
      <c r="Y199" s="23"/>
      <c r="Z199" s="23"/>
      <c r="AA199" s="23"/>
      <c r="AB199" s="23"/>
      <c r="AC199" s="23"/>
      <c r="AD199" s="23"/>
      <c r="AE199" s="23"/>
      <c r="AF199" s="23"/>
      <c r="AG199" s="23"/>
    </row>
    <row r="200" ht="15.75" customHeight="1">
      <c r="A200" s="23"/>
      <c r="B200" s="23"/>
      <c r="C200" s="23"/>
      <c r="D200" s="23"/>
      <c r="E200" s="23"/>
      <c r="F200" s="23"/>
      <c r="G200" s="23"/>
      <c r="H200" s="23"/>
      <c r="I200" s="23"/>
      <c r="J200" s="23"/>
      <c r="K200" s="23"/>
      <c r="L200" s="23"/>
      <c r="M200" s="23"/>
      <c r="N200" s="23"/>
      <c r="O200" s="23"/>
      <c r="P200" s="23"/>
      <c r="Q200" s="23"/>
      <c r="R200" s="23"/>
      <c r="S200" s="23"/>
      <c r="T200" s="23"/>
      <c r="U200" s="23"/>
      <c r="V200" s="23"/>
      <c r="W200" s="23"/>
      <c r="X200" s="23"/>
      <c r="Y200" s="23"/>
      <c r="Z200" s="23"/>
      <c r="AA200" s="23"/>
      <c r="AB200" s="23"/>
      <c r="AC200" s="23"/>
      <c r="AD200" s="23"/>
      <c r="AE200" s="23"/>
      <c r="AF200" s="23"/>
      <c r="AG200" s="23"/>
    </row>
    <row r="201" ht="15.75" customHeight="1">
      <c r="A201" s="23"/>
      <c r="B201" s="23"/>
      <c r="C201" s="23"/>
      <c r="D201" s="23"/>
      <c r="E201" s="23"/>
      <c r="F201" s="23"/>
      <c r="G201" s="23"/>
      <c r="H201" s="23"/>
      <c r="I201" s="23"/>
      <c r="J201" s="23"/>
      <c r="K201" s="23"/>
      <c r="L201" s="23"/>
      <c r="M201" s="23"/>
      <c r="N201" s="23"/>
      <c r="O201" s="23"/>
      <c r="P201" s="23"/>
      <c r="Q201" s="23"/>
      <c r="R201" s="23"/>
      <c r="S201" s="23"/>
      <c r="T201" s="23"/>
      <c r="U201" s="23"/>
      <c r="V201" s="23"/>
      <c r="W201" s="23"/>
      <c r="X201" s="23"/>
      <c r="Y201" s="23"/>
      <c r="Z201" s="23"/>
      <c r="AA201" s="23"/>
      <c r="AB201" s="23"/>
      <c r="AC201" s="23"/>
      <c r="AD201" s="23"/>
      <c r="AE201" s="23"/>
      <c r="AF201" s="23"/>
      <c r="AG201" s="23"/>
    </row>
    <row r="202" ht="15.75" customHeight="1">
      <c r="A202" s="23"/>
      <c r="B202" s="23"/>
      <c r="C202" s="23"/>
      <c r="D202" s="23"/>
      <c r="E202" s="23"/>
      <c r="F202" s="23"/>
      <c r="G202" s="23"/>
      <c r="H202" s="23"/>
      <c r="I202" s="23"/>
      <c r="J202" s="23"/>
      <c r="K202" s="23"/>
      <c r="L202" s="23"/>
      <c r="M202" s="23"/>
      <c r="N202" s="23"/>
      <c r="O202" s="23"/>
      <c r="P202" s="23"/>
      <c r="Q202" s="23"/>
      <c r="R202" s="23"/>
      <c r="S202" s="23"/>
      <c r="T202" s="23"/>
      <c r="U202" s="23"/>
      <c r="V202" s="23"/>
      <c r="W202" s="23"/>
      <c r="X202" s="23"/>
      <c r="Y202" s="23"/>
      <c r="Z202" s="23"/>
      <c r="AA202" s="23"/>
      <c r="AB202" s="23"/>
      <c r="AC202" s="23"/>
      <c r="AD202" s="23"/>
      <c r="AE202" s="23"/>
      <c r="AF202" s="23"/>
      <c r="AG202" s="23"/>
    </row>
    <row r="203" ht="15.75" customHeight="1">
      <c r="A203" s="23"/>
      <c r="B203" s="23"/>
      <c r="C203" s="23"/>
      <c r="D203" s="23"/>
      <c r="E203" s="23"/>
      <c r="F203" s="23"/>
      <c r="G203" s="23"/>
      <c r="H203" s="23"/>
      <c r="I203" s="23"/>
      <c r="J203" s="23"/>
      <c r="K203" s="23"/>
      <c r="L203" s="23"/>
      <c r="M203" s="23"/>
      <c r="N203" s="23"/>
      <c r="O203" s="23"/>
      <c r="P203" s="23"/>
      <c r="Q203" s="23"/>
      <c r="R203" s="23"/>
      <c r="S203" s="23"/>
      <c r="T203" s="23"/>
      <c r="U203" s="23"/>
      <c r="V203" s="23"/>
      <c r="W203" s="23"/>
      <c r="X203" s="23"/>
      <c r="Y203" s="23"/>
      <c r="Z203" s="23"/>
      <c r="AA203" s="23"/>
      <c r="AB203" s="23"/>
      <c r="AC203" s="23"/>
      <c r="AD203" s="23"/>
      <c r="AE203" s="23"/>
      <c r="AF203" s="23"/>
      <c r="AG203" s="23"/>
    </row>
    <row r="204" ht="15.75" customHeight="1">
      <c r="A204" s="23"/>
      <c r="B204" s="23"/>
      <c r="C204" s="23"/>
      <c r="D204" s="23"/>
      <c r="E204" s="23"/>
      <c r="F204" s="23"/>
      <c r="G204" s="23"/>
      <c r="H204" s="23"/>
      <c r="I204" s="23"/>
      <c r="J204" s="23"/>
      <c r="K204" s="23"/>
      <c r="L204" s="23"/>
      <c r="M204" s="23"/>
      <c r="N204" s="23"/>
      <c r="O204" s="23"/>
      <c r="P204" s="23"/>
      <c r="Q204" s="23"/>
      <c r="R204" s="23"/>
      <c r="S204" s="23"/>
      <c r="T204" s="23"/>
      <c r="U204" s="23"/>
      <c r="V204" s="23"/>
      <c r="W204" s="23"/>
      <c r="X204" s="23"/>
      <c r="Y204" s="23"/>
      <c r="Z204" s="23"/>
      <c r="AA204" s="23"/>
      <c r="AB204" s="23"/>
      <c r="AC204" s="23"/>
      <c r="AD204" s="23"/>
      <c r="AE204" s="23"/>
      <c r="AF204" s="23"/>
      <c r="AG204" s="23"/>
    </row>
    <row r="205" ht="15.75" customHeight="1">
      <c r="A205" s="23"/>
      <c r="B205" s="23"/>
      <c r="C205" s="23"/>
      <c r="D205" s="23"/>
      <c r="E205" s="23"/>
      <c r="F205" s="23"/>
      <c r="G205" s="23"/>
      <c r="H205" s="23"/>
      <c r="I205" s="23"/>
      <c r="J205" s="23"/>
      <c r="K205" s="23"/>
      <c r="L205" s="23"/>
      <c r="M205" s="23"/>
      <c r="N205" s="23"/>
      <c r="O205" s="23"/>
      <c r="P205" s="23"/>
      <c r="Q205" s="23"/>
      <c r="R205" s="23"/>
      <c r="S205" s="23"/>
      <c r="T205" s="23"/>
      <c r="U205" s="23"/>
      <c r="V205" s="23"/>
      <c r="W205" s="23"/>
      <c r="X205" s="23"/>
      <c r="Y205" s="23"/>
      <c r="Z205" s="23"/>
      <c r="AA205" s="23"/>
      <c r="AB205" s="23"/>
      <c r="AC205" s="23"/>
      <c r="AD205" s="23"/>
      <c r="AE205" s="23"/>
      <c r="AF205" s="23"/>
      <c r="AG205" s="23"/>
    </row>
    <row r="206" ht="15.75" customHeight="1">
      <c r="A206" s="23"/>
      <c r="B206" s="23"/>
      <c r="C206" s="23"/>
      <c r="D206" s="23"/>
      <c r="E206" s="23"/>
      <c r="F206" s="23"/>
      <c r="G206" s="23"/>
      <c r="H206" s="23"/>
      <c r="I206" s="23"/>
      <c r="J206" s="23"/>
      <c r="K206" s="23"/>
      <c r="L206" s="23"/>
      <c r="M206" s="23"/>
      <c r="N206" s="23"/>
      <c r="O206" s="23"/>
      <c r="P206" s="23"/>
      <c r="Q206" s="23"/>
      <c r="R206" s="23"/>
      <c r="S206" s="23"/>
      <c r="T206" s="23"/>
      <c r="U206" s="23"/>
      <c r="V206" s="23"/>
      <c r="W206" s="23"/>
      <c r="X206" s="23"/>
      <c r="Y206" s="23"/>
      <c r="Z206" s="23"/>
      <c r="AA206" s="23"/>
      <c r="AB206" s="23"/>
      <c r="AC206" s="23"/>
      <c r="AD206" s="23"/>
      <c r="AE206" s="23"/>
      <c r="AF206" s="23"/>
      <c r="AG206" s="23"/>
    </row>
    <row r="207" ht="15.75" customHeight="1">
      <c r="A207" s="23"/>
      <c r="B207" s="23"/>
      <c r="C207" s="23"/>
      <c r="D207" s="23"/>
      <c r="E207" s="23"/>
      <c r="F207" s="23"/>
      <c r="G207" s="23"/>
      <c r="H207" s="23"/>
      <c r="I207" s="23"/>
      <c r="J207" s="23"/>
      <c r="K207" s="23"/>
      <c r="L207" s="23"/>
      <c r="M207" s="23"/>
      <c r="N207" s="23"/>
      <c r="O207" s="23"/>
      <c r="P207" s="23"/>
      <c r="Q207" s="23"/>
      <c r="R207" s="23"/>
      <c r="S207" s="23"/>
      <c r="T207" s="23"/>
      <c r="U207" s="23"/>
      <c r="V207" s="23"/>
      <c r="W207" s="23"/>
      <c r="X207" s="23"/>
      <c r="Y207" s="23"/>
      <c r="Z207" s="23"/>
      <c r="AA207" s="23"/>
      <c r="AB207" s="23"/>
      <c r="AC207" s="23"/>
      <c r="AD207" s="23"/>
      <c r="AE207" s="23"/>
      <c r="AF207" s="23"/>
      <c r="AG207" s="23"/>
    </row>
    <row r="208" ht="15.75" customHeight="1">
      <c r="A208" s="23"/>
      <c r="B208" s="23"/>
      <c r="C208" s="23"/>
      <c r="D208" s="23"/>
      <c r="E208" s="23"/>
      <c r="F208" s="23"/>
      <c r="G208" s="23"/>
      <c r="H208" s="23"/>
      <c r="I208" s="23"/>
      <c r="J208" s="23"/>
      <c r="K208" s="23"/>
      <c r="L208" s="23"/>
      <c r="M208" s="23"/>
      <c r="N208" s="23"/>
      <c r="O208" s="23"/>
      <c r="P208" s="23"/>
      <c r="Q208" s="23"/>
      <c r="R208" s="23"/>
      <c r="S208" s="23"/>
      <c r="T208" s="23"/>
      <c r="U208" s="23"/>
      <c r="V208" s="23"/>
      <c r="W208" s="23"/>
      <c r="X208" s="23"/>
      <c r="Y208" s="23"/>
      <c r="Z208" s="23"/>
      <c r="AA208" s="23"/>
      <c r="AB208" s="23"/>
      <c r="AC208" s="23"/>
      <c r="AD208" s="23"/>
      <c r="AE208" s="23"/>
      <c r="AF208" s="23"/>
      <c r="AG208" s="23"/>
    </row>
    <row r="209" ht="15.75" customHeight="1">
      <c r="A209" s="23"/>
      <c r="B209" s="23"/>
      <c r="C209" s="23"/>
      <c r="D209" s="23"/>
      <c r="E209" s="23"/>
      <c r="F209" s="23"/>
      <c r="G209" s="23"/>
      <c r="H209" s="23"/>
      <c r="I209" s="23"/>
      <c r="J209" s="23"/>
      <c r="K209" s="23"/>
      <c r="L209" s="23"/>
      <c r="M209" s="23"/>
      <c r="N209" s="23"/>
      <c r="O209" s="23"/>
      <c r="P209" s="23"/>
      <c r="Q209" s="23"/>
      <c r="R209" s="23"/>
      <c r="S209" s="23"/>
      <c r="T209" s="23"/>
      <c r="U209" s="23"/>
      <c r="V209" s="23"/>
      <c r="W209" s="23"/>
      <c r="X209" s="23"/>
      <c r="Y209" s="23"/>
      <c r="Z209" s="23"/>
      <c r="AA209" s="23"/>
      <c r="AB209" s="23"/>
      <c r="AC209" s="23"/>
      <c r="AD209" s="23"/>
      <c r="AE209" s="23"/>
      <c r="AF209" s="23"/>
      <c r="AG209" s="23"/>
    </row>
    <row r="210" ht="15.75" customHeight="1">
      <c r="A210" s="23"/>
      <c r="B210" s="23"/>
      <c r="C210" s="23"/>
      <c r="D210" s="23"/>
      <c r="E210" s="23"/>
      <c r="F210" s="23"/>
      <c r="G210" s="23"/>
      <c r="H210" s="23"/>
      <c r="I210" s="23"/>
      <c r="J210" s="23"/>
      <c r="K210" s="23"/>
      <c r="L210" s="23"/>
      <c r="M210" s="23"/>
      <c r="N210" s="23"/>
      <c r="O210" s="23"/>
      <c r="P210" s="23"/>
      <c r="Q210" s="23"/>
      <c r="R210" s="23"/>
      <c r="S210" s="23"/>
      <c r="T210" s="23"/>
      <c r="U210" s="23"/>
      <c r="V210" s="23"/>
      <c r="W210" s="23"/>
      <c r="X210" s="23"/>
      <c r="Y210" s="23"/>
      <c r="Z210" s="23"/>
      <c r="AA210" s="23"/>
      <c r="AB210" s="23"/>
      <c r="AC210" s="23"/>
      <c r="AD210" s="23"/>
      <c r="AE210" s="23"/>
      <c r="AF210" s="23"/>
      <c r="AG210" s="23"/>
    </row>
    <row r="211" ht="15.75" customHeight="1">
      <c r="A211" s="23"/>
      <c r="B211" s="23"/>
      <c r="C211" s="23"/>
      <c r="D211" s="23"/>
      <c r="E211" s="23"/>
      <c r="F211" s="23"/>
      <c r="G211" s="23"/>
      <c r="H211" s="23"/>
      <c r="I211" s="23"/>
      <c r="J211" s="23"/>
      <c r="K211" s="23"/>
      <c r="L211" s="23"/>
      <c r="M211" s="23"/>
      <c r="N211" s="23"/>
      <c r="O211" s="23"/>
      <c r="P211" s="23"/>
      <c r="Q211" s="23"/>
      <c r="R211" s="23"/>
      <c r="S211" s="23"/>
      <c r="T211" s="23"/>
      <c r="U211" s="23"/>
      <c r="V211" s="23"/>
      <c r="W211" s="23"/>
      <c r="X211" s="23"/>
      <c r="Y211" s="23"/>
      <c r="Z211" s="23"/>
      <c r="AA211" s="23"/>
      <c r="AB211" s="23"/>
      <c r="AC211" s="23"/>
      <c r="AD211" s="23"/>
      <c r="AE211" s="23"/>
      <c r="AF211" s="23"/>
      <c r="AG211" s="23"/>
    </row>
    <row r="212" ht="15.75" customHeight="1">
      <c r="A212" s="23"/>
      <c r="B212" s="23"/>
      <c r="C212" s="23"/>
      <c r="D212" s="23"/>
      <c r="E212" s="23"/>
      <c r="F212" s="23"/>
      <c r="G212" s="23"/>
      <c r="H212" s="23"/>
      <c r="I212" s="23"/>
      <c r="J212" s="23"/>
      <c r="K212" s="23"/>
      <c r="L212" s="23"/>
      <c r="M212" s="23"/>
      <c r="N212" s="23"/>
      <c r="O212" s="23"/>
      <c r="P212" s="23"/>
      <c r="Q212" s="23"/>
      <c r="R212" s="23"/>
      <c r="S212" s="23"/>
      <c r="T212" s="23"/>
      <c r="U212" s="23"/>
      <c r="V212" s="23"/>
      <c r="W212" s="23"/>
      <c r="X212" s="23"/>
      <c r="Y212" s="23"/>
      <c r="Z212" s="23"/>
      <c r="AA212" s="23"/>
      <c r="AB212" s="23"/>
      <c r="AC212" s="23"/>
      <c r="AD212" s="23"/>
      <c r="AE212" s="23"/>
      <c r="AF212" s="23"/>
      <c r="AG212" s="23"/>
    </row>
    <row r="213" ht="15.75" customHeight="1">
      <c r="A213" s="23"/>
      <c r="B213" s="23"/>
      <c r="C213" s="23"/>
      <c r="D213" s="23"/>
      <c r="E213" s="23"/>
      <c r="F213" s="23"/>
      <c r="G213" s="23"/>
      <c r="H213" s="23"/>
      <c r="I213" s="23"/>
      <c r="J213" s="23"/>
      <c r="K213" s="23"/>
      <c r="L213" s="23"/>
      <c r="M213" s="23"/>
      <c r="N213" s="23"/>
      <c r="O213" s="23"/>
      <c r="P213" s="23"/>
      <c r="Q213" s="23"/>
      <c r="R213" s="23"/>
      <c r="S213" s="23"/>
      <c r="T213" s="23"/>
      <c r="U213" s="23"/>
      <c r="V213" s="23"/>
      <c r="W213" s="23"/>
      <c r="X213" s="23"/>
      <c r="Y213" s="23"/>
      <c r="Z213" s="23"/>
      <c r="AA213" s="23"/>
      <c r="AB213" s="23"/>
      <c r="AC213" s="23"/>
      <c r="AD213" s="23"/>
      <c r="AE213" s="23"/>
      <c r="AF213" s="23"/>
      <c r="AG213" s="23"/>
    </row>
    <row r="214" ht="15.75" customHeight="1">
      <c r="A214" s="23"/>
      <c r="B214" s="23"/>
      <c r="C214" s="23"/>
      <c r="D214" s="23"/>
      <c r="E214" s="23"/>
      <c r="F214" s="23"/>
      <c r="G214" s="23"/>
      <c r="H214" s="23"/>
      <c r="I214" s="23"/>
      <c r="J214" s="23"/>
      <c r="K214" s="23"/>
      <c r="L214" s="23"/>
      <c r="M214" s="23"/>
      <c r="N214" s="23"/>
      <c r="O214" s="23"/>
      <c r="P214" s="23"/>
      <c r="Q214" s="23"/>
      <c r="R214" s="23"/>
      <c r="S214" s="23"/>
      <c r="T214" s="23"/>
      <c r="U214" s="23"/>
      <c r="V214" s="23"/>
      <c r="W214" s="23"/>
      <c r="X214" s="23"/>
      <c r="Y214" s="23"/>
      <c r="Z214" s="23"/>
      <c r="AA214" s="23"/>
      <c r="AB214" s="23"/>
      <c r="AC214" s="23"/>
      <c r="AD214" s="23"/>
      <c r="AE214" s="23"/>
      <c r="AF214" s="23"/>
      <c r="AG214" s="23"/>
    </row>
    <row r="215" ht="15.75" customHeight="1">
      <c r="A215" s="23"/>
      <c r="B215" s="23"/>
      <c r="C215" s="23"/>
      <c r="D215" s="23"/>
      <c r="E215" s="23"/>
      <c r="F215" s="23"/>
      <c r="G215" s="23"/>
      <c r="H215" s="23"/>
      <c r="I215" s="23"/>
      <c r="J215" s="23"/>
      <c r="K215" s="23"/>
      <c r="L215" s="23"/>
      <c r="M215" s="23"/>
      <c r="N215" s="23"/>
      <c r="O215" s="23"/>
      <c r="P215" s="23"/>
      <c r="Q215" s="23"/>
      <c r="R215" s="23"/>
      <c r="S215" s="23"/>
      <c r="T215" s="23"/>
      <c r="U215" s="23"/>
      <c r="V215" s="23"/>
      <c r="W215" s="23"/>
      <c r="X215" s="23"/>
      <c r="Y215" s="23"/>
      <c r="Z215" s="23"/>
      <c r="AA215" s="23"/>
      <c r="AB215" s="23"/>
      <c r="AC215" s="23"/>
      <c r="AD215" s="23"/>
      <c r="AE215" s="23"/>
      <c r="AF215" s="23"/>
      <c r="AG215" s="23"/>
    </row>
    <row r="216" ht="15.75" customHeight="1">
      <c r="A216" s="23"/>
      <c r="B216" s="23"/>
      <c r="C216" s="23"/>
      <c r="D216" s="23"/>
      <c r="E216" s="23"/>
      <c r="F216" s="23"/>
      <c r="G216" s="23"/>
      <c r="H216" s="23"/>
      <c r="I216" s="23"/>
      <c r="J216" s="23"/>
      <c r="K216" s="23"/>
      <c r="L216" s="23"/>
      <c r="M216" s="23"/>
      <c r="N216" s="23"/>
      <c r="O216" s="23"/>
      <c r="P216" s="23"/>
      <c r="Q216" s="23"/>
      <c r="R216" s="23"/>
      <c r="S216" s="23"/>
      <c r="T216" s="23"/>
      <c r="U216" s="23"/>
      <c r="V216" s="23"/>
      <c r="W216" s="23"/>
      <c r="X216" s="23"/>
      <c r="Y216" s="23"/>
      <c r="Z216" s="23"/>
      <c r="AA216" s="23"/>
      <c r="AB216" s="23"/>
      <c r="AC216" s="23"/>
      <c r="AD216" s="23"/>
      <c r="AE216" s="23"/>
      <c r="AF216" s="23"/>
      <c r="AG216" s="23"/>
    </row>
    <row r="217" ht="15.75" customHeight="1">
      <c r="A217" s="23"/>
      <c r="B217" s="23"/>
      <c r="C217" s="23"/>
      <c r="D217" s="23"/>
      <c r="E217" s="23"/>
      <c r="F217" s="23"/>
      <c r="G217" s="23"/>
      <c r="H217" s="23"/>
      <c r="I217" s="23"/>
      <c r="J217" s="23"/>
      <c r="K217" s="23"/>
      <c r="L217" s="23"/>
      <c r="M217" s="23"/>
      <c r="N217" s="23"/>
      <c r="O217" s="23"/>
      <c r="P217" s="23"/>
      <c r="Q217" s="23"/>
      <c r="R217" s="23"/>
      <c r="S217" s="23"/>
      <c r="T217" s="23"/>
      <c r="U217" s="23"/>
      <c r="V217" s="23"/>
      <c r="W217" s="23"/>
      <c r="X217" s="23"/>
      <c r="Y217" s="23"/>
      <c r="Z217" s="23"/>
      <c r="AA217" s="23"/>
      <c r="AB217" s="23"/>
      <c r="AC217" s="23"/>
      <c r="AD217" s="23"/>
      <c r="AE217" s="23"/>
      <c r="AF217" s="23"/>
      <c r="AG217" s="23"/>
    </row>
    <row r="218" ht="15.75" customHeight="1">
      <c r="A218" s="23"/>
      <c r="B218" s="23"/>
      <c r="C218" s="23"/>
      <c r="D218" s="23"/>
      <c r="E218" s="23"/>
      <c r="F218" s="23"/>
      <c r="G218" s="23"/>
      <c r="H218" s="23"/>
      <c r="I218" s="23"/>
      <c r="J218" s="23"/>
      <c r="K218" s="23"/>
      <c r="L218" s="23"/>
      <c r="M218" s="23"/>
      <c r="N218" s="23"/>
      <c r="O218" s="23"/>
      <c r="P218" s="23"/>
      <c r="Q218" s="23"/>
      <c r="R218" s="23"/>
      <c r="S218" s="23"/>
      <c r="T218" s="23"/>
      <c r="U218" s="23"/>
      <c r="V218" s="23"/>
      <c r="W218" s="23"/>
      <c r="X218" s="23"/>
      <c r="Y218" s="23"/>
      <c r="Z218" s="23"/>
      <c r="AA218" s="23"/>
      <c r="AB218" s="23"/>
      <c r="AC218" s="23"/>
      <c r="AD218" s="23"/>
      <c r="AE218" s="23"/>
      <c r="AF218" s="23"/>
      <c r="AG218" s="23"/>
    </row>
    <row r="219" ht="15.75" customHeight="1">
      <c r="A219" s="23"/>
      <c r="B219" s="23"/>
      <c r="C219" s="23"/>
      <c r="D219" s="23"/>
      <c r="E219" s="23"/>
      <c r="F219" s="23"/>
      <c r="G219" s="23"/>
      <c r="H219" s="23"/>
      <c r="I219" s="23"/>
      <c r="J219" s="23"/>
      <c r="K219" s="23"/>
      <c r="L219" s="23"/>
      <c r="M219" s="23"/>
      <c r="N219" s="23"/>
      <c r="O219" s="23"/>
      <c r="P219" s="23"/>
      <c r="Q219" s="23"/>
      <c r="R219" s="23"/>
      <c r="S219" s="23"/>
      <c r="T219" s="23"/>
      <c r="U219" s="23"/>
      <c r="V219" s="23"/>
      <c r="W219" s="23"/>
      <c r="X219" s="23"/>
      <c r="Y219" s="23"/>
      <c r="Z219" s="23"/>
      <c r="AA219" s="23"/>
      <c r="AB219" s="23"/>
      <c r="AC219" s="23"/>
      <c r="AD219" s="23"/>
      <c r="AE219" s="23"/>
      <c r="AF219" s="23"/>
      <c r="AG219" s="23"/>
    </row>
    <row r="220" ht="15.75" customHeight="1">
      <c r="A220" s="23"/>
      <c r="B220" s="23"/>
      <c r="C220" s="23"/>
      <c r="D220" s="23"/>
      <c r="E220" s="23"/>
      <c r="F220" s="23"/>
      <c r="G220" s="23"/>
      <c r="H220" s="23"/>
      <c r="I220" s="23"/>
      <c r="J220" s="23"/>
      <c r="K220" s="23"/>
      <c r="L220" s="23"/>
      <c r="M220" s="23"/>
      <c r="N220" s="23"/>
      <c r="O220" s="23"/>
      <c r="P220" s="23"/>
      <c r="Q220" s="23"/>
      <c r="R220" s="23"/>
      <c r="S220" s="23"/>
      <c r="T220" s="23"/>
      <c r="U220" s="23"/>
      <c r="V220" s="23"/>
      <c r="W220" s="23"/>
      <c r="X220" s="23"/>
      <c r="Y220" s="23"/>
      <c r="Z220" s="23"/>
      <c r="AA220" s="23"/>
      <c r="AB220" s="23"/>
      <c r="AC220" s="23"/>
      <c r="AD220" s="23"/>
      <c r="AE220" s="23"/>
      <c r="AF220" s="23"/>
      <c r="AG220" s="23"/>
    </row>
    <row r="221" ht="15.75" customHeight="1">
      <c r="A221" s="23"/>
      <c r="B221" s="23"/>
      <c r="C221" s="23"/>
      <c r="D221" s="23"/>
      <c r="E221" s="23"/>
      <c r="F221" s="23"/>
      <c r="G221" s="23"/>
      <c r="H221" s="23"/>
      <c r="I221" s="23"/>
      <c r="J221" s="23"/>
      <c r="K221" s="23"/>
      <c r="L221" s="23"/>
      <c r="M221" s="23"/>
      <c r="N221" s="23"/>
      <c r="O221" s="23"/>
      <c r="P221" s="23"/>
      <c r="Q221" s="23"/>
      <c r="R221" s="23"/>
      <c r="S221" s="23"/>
      <c r="T221" s="23"/>
      <c r="U221" s="23"/>
      <c r="V221" s="23"/>
      <c r="W221" s="23"/>
      <c r="X221" s="23"/>
      <c r="Y221" s="23"/>
      <c r="Z221" s="23"/>
      <c r="AA221" s="23"/>
      <c r="AB221" s="23"/>
      <c r="AC221" s="23"/>
      <c r="AD221" s="23"/>
      <c r="AE221" s="23"/>
      <c r="AF221" s="23"/>
      <c r="AG221" s="23"/>
    </row>
    <row r="222" ht="15.75" customHeight="1">
      <c r="A222" s="23"/>
      <c r="B222" s="23"/>
      <c r="C222" s="23"/>
      <c r="D222" s="23"/>
      <c r="E222" s="23"/>
      <c r="F222" s="23"/>
      <c r="G222" s="23"/>
      <c r="H222" s="23"/>
      <c r="I222" s="23"/>
      <c r="J222" s="23"/>
      <c r="K222" s="23"/>
      <c r="L222" s="23"/>
      <c r="M222" s="23"/>
      <c r="N222" s="23"/>
      <c r="O222" s="23"/>
      <c r="P222" s="23"/>
      <c r="Q222" s="23"/>
      <c r="R222" s="23"/>
      <c r="S222" s="23"/>
      <c r="T222" s="23"/>
      <c r="U222" s="23"/>
      <c r="V222" s="23"/>
      <c r="W222" s="23"/>
      <c r="X222" s="23"/>
      <c r="Y222" s="23"/>
      <c r="Z222" s="23"/>
      <c r="AA222" s="23"/>
      <c r="AB222" s="23"/>
      <c r="AC222" s="23"/>
      <c r="AD222" s="23"/>
      <c r="AE222" s="23"/>
      <c r="AF222" s="23"/>
      <c r="AG222" s="23"/>
    </row>
    <row r="223" ht="15.75" customHeight="1">
      <c r="A223" s="23"/>
      <c r="B223" s="23"/>
      <c r="C223" s="23"/>
      <c r="D223" s="23"/>
      <c r="E223" s="23"/>
      <c r="F223" s="23"/>
      <c r="G223" s="23"/>
      <c r="H223" s="23"/>
      <c r="I223" s="23"/>
      <c r="J223" s="23"/>
      <c r="K223" s="23"/>
      <c r="L223" s="23"/>
      <c r="M223" s="23"/>
      <c r="N223" s="23"/>
      <c r="O223" s="23"/>
      <c r="P223" s="23"/>
      <c r="Q223" s="23"/>
      <c r="R223" s="23"/>
      <c r="S223" s="23"/>
      <c r="T223" s="23"/>
      <c r="U223" s="23"/>
      <c r="V223" s="23"/>
      <c r="W223" s="23"/>
      <c r="X223" s="23"/>
      <c r="Y223" s="23"/>
      <c r="Z223" s="23"/>
      <c r="AA223" s="23"/>
      <c r="AB223" s="23"/>
      <c r="AC223" s="23"/>
      <c r="AD223" s="23"/>
      <c r="AE223" s="23"/>
      <c r="AF223" s="23"/>
      <c r="AG223" s="23"/>
    </row>
    <row r="224" ht="15.75" customHeight="1">
      <c r="A224" s="23"/>
      <c r="B224" s="23"/>
      <c r="C224" s="23"/>
      <c r="D224" s="23"/>
      <c r="E224" s="23"/>
      <c r="F224" s="23"/>
      <c r="G224" s="23"/>
      <c r="H224" s="23"/>
      <c r="I224" s="23"/>
      <c r="J224" s="23"/>
      <c r="K224" s="23"/>
      <c r="L224" s="23"/>
      <c r="M224" s="23"/>
      <c r="N224" s="23"/>
      <c r="O224" s="23"/>
      <c r="P224" s="23"/>
      <c r="Q224" s="23"/>
      <c r="R224" s="23"/>
      <c r="S224" s="23"/>
      <c r="T224" s="23"/>
      <c r="U224" s="23"/>
      <c r="V224" s="23"/>
      <c r="W224" s="23"/>
      <c r="X224" s="23"/>
      <c r="Y224" s="23"/>
      <c r="Z224" s="23"/>
      <c r="AA224" s="23"/>
      <c r="AB224" s="23"/>
      <c r="AC224" s="23"/>
      <c r="AD224" s="23"/>
      <c r="AE224" s="23"/>
      <c r="AF224" s="23"/>
      <c r="AG224" s="23"/>
    </row>
    <row r="225" ht="15.75" customHeight="1">
      <c r="A225" s="23"/>
      <c r="B225" s="23"/>
      <c r="C225" s="23"/>
      <c r="D225" s="23"/>
      <c r="E225" s="23"/>
      <c r="F225" s="23"/>
      <c r="G225" s="23"/>
      <c r="H225" s="23"/>
      <c r="I225" s="23"/>
      <c r="J225" s="23"/>
      <c r="K225" s="23"/>
      <c r="L225" s="23"/>
      <c r="M225" s="23"/>
      <c r="N225" s="23"/>
      <c r="O225" s="23"/>
      <c r="P225" s="23"/>
      <c r="Q225" s="23"/>
      <c r="R225" s="23"/>
      <c r="S225" s="23"/>
      <c r="T225" s="23"/>
      <c r="U225" s="23"/>
      <c r="V225" s="23"/>
      <c r="W225" s="23"/>
      <c r="X225" s="23"/>
      <c r="Y225" s="23"/>
      <c r="Z225" s="23"/>
      <c r="AA225" s="23"/>
      <c r="AB225" s="23"/>
      <c r="AC225" s="23"/>
      <c r="AD225" s="23"/>
      <c r="AE225" s="23"/>
      <c r="AF225" s="23"/>
      <c r="AG225" s="23"/>
    </row>
    <row r="226" ht="15.75" customHeight="1">
      <c r="A226" s="23"/>
      <c r="B226" s="23"/>
      <c r="C226" s="23"/>
      <c r="D226" s="23"/>
      <c r="E226" s="23"/>
      <c r="F226" s="23"/>
      <c r="G226" s="23"/>
      <c r="H226" s="23"/>
      <c r="I226" s="23"/>
      <c r="J226" s="23"/>
      <c r="K226" s="23"/>
      <c r="L226" s="23"/>
      <c r="M226" s="23"/>
      <c r="N226" s="23"/>
      <c r="O226" s="23"/>
      <c r="P226" s="23"/>
      <c r="Q226" s="23"/>
      <c r="R226" s="23"/>
      <c r="S226" s="23"/>
      <c r="T226" s="23"/>
      <c r="U226" s="23"/>
      <c r="V226" s="23"/>
      <c r="W226" s="23"/>
      <c r="X226" s="23"/>
      <c r="Y226" s="23"/>
      <c r="Z226" s="23"/>
      <c r="AA226" s="23"/>
      <c r="AB226" s="23"/>
      <c r="AC226" s="23"/>
      <c r="AD226" s="23"/>
      <c r="AE226" s="23"/>
      <c r="AF226" s="23"/>
      <c r="AG226" s="23"/>
    </row>
    <row r="227" ht="15.75" customHeight="1">
      <c r="A227" s="23"/>
      <c r="B227" s="23"/>
      <c r="C227" s="23"/>
      <c r="D227" s="23"/>
      <c r="E227" s="23"/>
      <c r="F227" s="23"/>
      <c r="G227" s="23"/>
      <c r="H227" s="23"/>
      <c r="I227" s="23"/>
      <c r="J227" s="23"/>
      <c r="K227" s="23"/>
      <c r="L227" s="23"/>
      <c r="M227" s="23"/>
      <c r="N227" s="23"/>
      <c r="O227" s="23"/>
      <c r="P227" s="23"/>
      <c r="Q227" s="23"/>
      <c r="R227" s="23"/>
      <c r="S227" s="23"/>
      <c r="T227" s="23"/>
      <c r="U227" s="23"/>
      <c r="V227" s="23"/>
      <c r="W227" s="23"/>
      <c r="X227" s="23"/>
      <c r="Y227" s="23"/>
      <c r="Z227" s="23"/>
      <c r="AA227" s="23"/>
      <c r="AB227" s="23"/>
      <c r="AC227" s="23"/>
      <c r="AD227" s="23"/>
      <c r="AE227" s="23"/>
      <c r="AF227" s="23"/>
      <c r="AG227" s="23"/>
    </row>
    <row r="228" ht="15.75" customHeight="1">
      <c r="A228" s="23"/>
      <c r="B228" s="23"/>
      <c r="C228" s="23"/>
      <c r="D228" s="23"/>
      <c r="E228" s="23"/>
      <c r="F228" s="23"/>
      <c r="G228" s="23"/>
      <c r="H228" s="23"/>
      <c r="I228" s="23"/>
      <c r="J228" s="23"/>
      <c r="K228" s="23"/>
      <c r="L228" s="23"/>
      <c r="M228" s="23"/>
      <c r="N228" s="23"/>
      <c r="O228" s="23"/>
      <c r="P228" s="23"/>
      <c r="Q228" s="23"/>
      <c r="R228" s="23"/>
      <c r="S228" s="23"/>
      <c r="T228" s="23"/>
      <c r="U228" s="23"/>
      <c r="V228" s="23"/>
      <c r="W228" s="23"/>
      <c r="X228" s="23"/>
      <c r="Y228" s="23"/>
      <c r="Z228" s="23"/>
      <c r="AA228" s="23"/>
      <c r="AB228" s="23"/>
      <c r="AC228" s="23"/>
      <c r="AD228" s="23"/>
      <c r="AE228" s="23"/>
      <c r="AF228" s="23"/>
      <c r="AG228" s="23"/>
    </row>
    <row r="229" ht="15.75" customHeight="1">
      <c r="A229" s="23"/>
      <c r="B229" s="23"/>
      <c r="C229" s="23"/>
      <c r="D229" s="23"/>
      <c r="E229" s="23"/>
      <c r="F229" s="23"/>
      <c r="G229" s="23"/>
      <c r="H229" s="23"/>
      <c r="I229" s="23"/>
      <c r="J229" s="23"/>
      <c r="K229" s="23"/>
      <c r="L229" s="23"/>
      <c r="M229" s="23"/>
      <c r="N229" s="23"/>
      <c r="O229" s="23"/>
      <c r="P229" s="23"/>
      <c r="Q229" s="23"/>
      <c r="R229" s="23"/>
      <c r="S229" s="23"/>
      <c r="T229" s="23"/>
      <c r="U229" s="23"/>
      <c r="V229" s="23"/>
      <c r="W229" s="23"/>
      <c r="X229" s="23"/>
      <c r="Y229" s="23"/>
      <c r="Z229" s="23"/>
      <c r="AA229" s="23"/>
      <c r="AB229" s="23"/>
      <c r="AC229" s="23"/>
      <c r="AD229" s="23"/>
      <c r="AE229" s="23"/>
      <c r="AF229" s="23"/>
      <c r="AG229" s="23"/>
    </row>
    <row r="230" ht="15.75" customHeight="1">
      <c r="A230" s="23"/>
      <c r="B230" s="23"/>
      <c r="C230" s="23"/>
      <c r="D230" s="23"/>
      <c r="E230" s="23"/>
      <c r="F230" s="23"/>
      <c r="G230" s="23"/>
      <c r="H230" s="23"/>
      <c r="I230" s="23"/>
      <c r="J230" s="23"/>
      <c r="K230" s="23"/>
      <c r="L230" s="23"/>
      <c r="M230" s="23"/>
      <c r="N230" s="23"/>
      <c r="O230" s="23"/>
      <c r="P230" s="23"/>
      <c r="Q230" s="23"/>
      <c r="R230" s="23"/>
      <c r="S230" s="23"/>
      <c r="T230" s="23"/>
      <c r="U230" s="23"/>
      <c r="V230" s="23"/>
      <c r="W230" s="23"/>
      <c r="X230" s="23"/>
      <c r="Y230" s="23"/>
      <c r="Z230" s="23"/>
      <c r="AA230" s="23"/>
      <c r="AB230" s="23"/>
      <c r="AC230" s="23"/>
      <c r="AD230" s="23"/>
      <c r="AE230" s="23"/>
      <c r="AF230" s="23"/>
      <c r="AG230" s="23"/>
    </row>
    <row r="231" ht="15.75" customHeight="1">
      <c r="A231" s="23"/>
      <c r="B231" s="23"/>
      <c r="C231" s="23"/>
      <c r="D231" s="23"/>
      <c r="E231" s="23"/>
      <c r="F231" s="23"/>
      <c r="G231" s="23"/>
      <c r="H231" s="23"/>
      <c r="I231" s="23"/>
      <c r="J231" s="23"/>
      <c r="K231" s="23"/>
      <c r="L231" s="23"/>
      <c r="M231" s="23"/>
      <c r="N231" s="23"/>
      <c r="O231" s="23"/>
      <c r="P231" s="23"/>
      <c r="Q231" s="23"/>
      <c r="R231" s="23"/>
      <c r="S231" s="23"/>
      <c r="T231" s="23"/>
      <c r="U231" s="23"/>
      <c r="V231" s="23"/>
      <c r="W231" s="23"/>
      <c r="X231" s="23"/>
      <c r="Y231" s="23"/>
      <c r="Z231" s="23"/>
      <c r="AA231" s="23"/>
      <c r="AB231" s="23"/>
      <c r="AC231" s="23"/>
      <c r="AD231" s="23"/>
      <c r="AE231" s="23"/>
      <c r="AF231" s="23"/>
      <c r="AG231" s="23"/>
    </row>
    <row r="232" ht="15.75" customHeight="1">
      <c r="A232" s="23"/>
      <c r="B232" s="23"/>
      <c r="C232" s="23"/>
      <c r="D232" s="23"/>
      <c r="E232" s="23"/>
      <c r="F232" s="23"/>
      <c r="G232" s="23"/>
      <c r="H232" s="23"/>
      <c r="I232" s="23"/>
      <c r="J232" s="23"/>
      <c r="K232" s="23"/>
      <c r="L232" s="23"/>
      <c r="M232" s="23"/>
      <c r="N232" s="23"/>
      <c r="O232" s="23"/>
      <c r="P232" s="23"/>
      <c r="Q232" s="23"/>
      <c r="R232" s="23"/>
      <c r="S232" s="23"/>
      <c r="T232" s="23"/>
      <c r="U232" s="23"/>
      <c r="V232" s="23"/>
      <c r="W232" s="23"/>
      <c r="X232" s="23"/>
      <c r="Y232" s="23"/>
      <c r="Z232" s="23"/>
      <c r="AA232" s="23"/>
      <c r="AB232" s="23"/>
      <c r="AC232" s="23"/>
      <c r="AD232" s="23"/>
      <c r="AE232" s="23"/>
      <c r="AF232" s="23"/>
      <c r="AG232" s="23"/>
    </row>
    <row r="233" ht="15.75" customHeight="1">
      <c r="A233" s="23"/>
      <c r="B233" s="23"/>
      <c r="C233" s="23"/>
      <c r="D233" s="23"/>
      <c r="E233" s="23"/>
      <c r="F233" s="23"/>
      <c r="G233" s="23"/>
      <c r="H233" s="23"/>
      <c r="I233" s="23"/>
      <c r="J233" s="23"/>
      <c r="K233" s="23"/>
      <c r="L233" s="23"/>
      <c r="M233" s="23"/>
      <c r="N233" s="23"/>
      <c r="O233" s="23"/>
      <c r="P233" s="23"/>
      <c r="Q233" s="23"/>
      <c r="R233" s="23"/>
      <c r="S233" s="23"/>
      <c r="T233" s="23"/>
      <c r="U233" s="23"/>
      <c r="V233" s="23"/>
      <c r="W233" s="23"/>
      <c r="X233" s="23"/>
      <c r="Y233" s="23"/>
      <c r="Z233" s="23"/>
      <c r="AA233" s="23"/>
      <c r="AB233" s="23"/>
      <c r="AC233" s="23"/>
      <c r="AD233" s="23"/>
      <c r="AE233" s="23"/>
      <c r="AF233" s="23"/>
      <c r="AG233" s="23"/>
    </row>
    <row r="234" ht="15.75" customHeight="1">
      <c r="A234" s="23"/>
      <c r="B234" s="23"/>
      <c r="C234" s="23"/>
      <c r="D234" s="23"/>
      <c r="E234" s="23"/>
      <c r="F234" s="23"/>
      <c r="G234" s="23"/>
      <c r="H234" s="23"/>
      <c r="I234" s="23"/>
      <c r="J234" s="23"/>
      <c r="K234" s="23"/>
      <c r="L234" s="23"/>
      <c r="M234" s="23"/>
      <c r="N234" s="23"/>
      <c r="O234" s="23"/>
      <c r="P234" s="23"/>
      <c r="Q234" s="23"/>
      <c r="R234" s="23"/>
      <c r="S234" s="23"/>
      <c r="T234" s="23"/>
      <c r="U234" s="23"/>
      <c r="V234" s="23"/>
      <c r="W234" s="23"/>
      <c r="X234" s="23"/>
      <c r="Y234" s="23"/>
      <c r="Z234" s="23"/>
      <c r="AA234" s="23"/>
      <c r="AB234" s="23"/>
      <c r="AC234" s="23"/>
      <c r="AD234" s="23"/>
      <c r="AE234" s="23"/>
      <c r="AF234" s="23"/>
      <c r="AG234" s="23"/>
    </row>
    <row r="235" ht="15.75" customHeight="1">
      <c r="A235" s="23"/>
      <c r="B235" s="23"/>
      <c r="C235" s="23"/>
      <c r="D235" s="23"/>
      <c r="E235" s="23"/>
      <c r="F235" s="23"/>
      <c r="G235" s="23"/>
      <c r="H235" s="23"/>
      <c r="I235" s="23"/>
      <c r="J235" s="23"/>
      <c r="K235" s="23"/>
      <c r="L235" s="23"/>
      <c r="M235" s="23"/>
      <c r="N235" s="23"/>
      <c r="O235" s="23"/>
      <c r="P235" s="23"/>
      <c r="Q235" s="23"/>
      <c r="R235" s="23"/>
      <c r="S235" s="23"/>
      <c r="T235" s="23"/>
      <c r="U235" s="23"/>
      <c r="V235" s="23"/>
      <c r="W235" s="23"/>
      <c r="X235" s="23"/>
      <c r="Y235" s="23"/>
      <c r="Z235" s="23"/>
      <c r="AA235" s="23"/>
      <c r="AB235" s="23"/>
      <c r="AC235" s="23"/>
      <c r="AD235" s="23"/>
      <c r="AE235" s="23"/>
      <c r="AF235" s="23"/>
      <c r="AG235" s="23"/>
    </row>
    <row r="236" ht="15.75" customHeight="1">
      <c r="A236" s="23"/>
      <c r="B236" s="23"/>
      <c r="C236" s="23"/>
      <c r="D236" s="23"/>
      <c r="E236" s="23"/>
      <c r="F236" s="23"/>
      <c r="G236" s="23"/>
      <c r="H236" s="23"/>
      <c r="I236" s="23"/>
      <c r="J236" s="23"/>
      <c r="K236" s="23"/>
      <c r="L236" s="23"/>
      <c r="M236" s="23"/>
      <c r="N236" s="23"/>
      <c r="O236" s="23"/>
      <c r="P236" s="23"/>
      <c r="Q236" s="23"/>
      <c r="R236" s="23"/>
      <c r="S236" s="23"/>
      <c r="T236" s="23"/>
      <c r="U236" s="23"/>
      <c r="V236" s="23"/>
      <c r="W236" s="23"/>
      <c r="X236" s="23"/>
      <c r="Y236" s="23"/>
      <c r="Z236" s="23"/>
      <c r="AA236" s="23"/>
      <c r="AB236" s="23"/>
      <c r="AC236" s="23"/>
      <c r="AD236" s="23"/>
      <c r="AE236" s="23"/>
      <c r="AF236" s="23"/>
      <c r="AG236" s="23"/>
    </row>
    <row r="237" ht="15.75" customHeight="1">
      <c r="A237" s="23"/>
      <c r="B237" s="23"/>
      <c r="C237" s="23"/>
      <c r="D237" s="23"/>
      <c r="E237" s="23"/>
      <c r="F237" s="23"/>
      <c r="G237" s="23"/>
      <c r="H237" s="23"/>
      <c r="I237" s="23"/>
      <c r="J237" s="23"/>
      <c r="K237" s="23"/>
      <c r="L237" s="23"/>
      <c r="M237" s="23"/>
      <c r="N237" s="23"/>
      <c r="O237" s="23"/>
      <c r="P237" s="23"/>
      <c r="Q237" s="23"/>
      <c r="R237" s="23"/>
      <c r="S237" s="23"/>
      <c r="T237" s="23"/>
      <c r="U237" s="23"/>
      <c r="V237" s="23"/>
      <c r="W237" s="23"/>
      <c r="X237" s="23"/>
      <c r="Y237" s="23"/>
      <c r="Z237" s="23"/>
      <c r="AA237" s="23"/>
      <c r="AB237" s="23"/>
      <c r="AC237" s="23"/>
      <c r="AD237" s="23"/>
      <c r="AE237" s="23"/>
      <c r="AF237" s="23"/>
      <c r="AG237" s="23"/>
    </row>
    <row r="238" ht="15.75" customHeight="1">
      <c r="A238" s="23"/>
      <c r="B238" s="23"/>
      <c r="C238" s="23"/>
      <c r="D238" s="23"/>
      <c r="E238" s="23"/>
      <c r="F238" s="23"/>
      <c r="G238" s="23"/>
      <c r="H238" s="23"/>
      <c r="I238" s="23"/>
      <c r="J238" s="23"/>
      <c r="K238" s="23"/>
      <c r="L238" s="23"/>
      <c r="M238" s="23"/>
      <c r="N238" s="23"/>
      <c r="O238" s="23"/>
      <c r="P238" s="23"/>
      <c r="Q238" s="23"/>
      <c r="R238" s="23"/>
      <c r="S238" s="23"/>
      <c r="T238" s="23"/>
      <c r="U238" s="23"/>
      <c r="V238" s="23"/>
      <c r="W238" s="23"/>
      <c r="X238" s="23"/>
      <c r="Y238" s="23"/>
      <c r="Z238" s="23"/>
      <c r="AA238" s="23"/>
      <c r="AB238" s="23"/>
      <c r="AC238" s="23"/>
      <c r="AD238" s="23"/>
      <c r="AE238" s="23"/>
      <c r="AF238" s="23"/>
      <c r="AG238" s="23"/>
    </row>
    <row r="239" ht="15.75" customHeight="1">
      <c r="A239" s="23"/>
      <c r="B239" s="23"/>
      <c r="C239" s="23"/>
      <c r="D239" s="23"/>
      <c r="E239" s="23"/>
      <c r="F239" s="23"/>
      <c r="G239" s="23"/>
      <c r="H239" s="23"/>
      <c r="I239" s="23"/>
      <c r="J239" s="23"/>
      <c r="K239" s="23"/>
      <c r="L239" s="23"/>
      <c r="M239" s="23"/>
      <c r="N239" s="23"/>
      <c r="O239" s="23"/>
      <c r="P239" s="23"/>
      <c r="Q239" s="23"/>
      <c r="R239" s="23"/>
      <c r="S239" s="23"/>
      <c r="T239" s="23"/>
      <c r="U239" s="23"/>
      <c r="V239" s="23"/>
      <c r="W239" s="23"/>
      <c r="X239" s="23"/>
      <c r="Y239" s="23"/>
      <c r="Z239" s="23"/>
      <c r="AA239" s="23"/>
      <c r="AB239" s="23"/>
      <c r="AC239" s="23"/>
      <c r="AD239" s="23"/>
      <c r="AE239" s="23"/>
      <c r="AF239" s="23"/>
      <c r="AG239" s="23"/>
    </row>
    <row r="240" ht="15.75" customHeight="1">
      <c r="A240" s="23"/>
      <c r="B240" s="23"/>
      <c r="C240" s="23"/>
      <c r="D240" s="23"/>
      <c r="E240" s="23"/>
      <c r="F240" s="23"/>
      <c r="G240" s="23"/>
      <c r="H240" s="23"/>
      <c r="I240" s="23"/>
      <c r="J240" s="23"/>
      <c r="K240" s="23"/>
      <c r="L240" s="23"/>
      <c r="M240" s="23"/>
      <c r="N240" s="23"/>
      <c r="O240" s="23"/>
      <c r="P240" s="23"/>
      <c r="Q240" s="23"/>
      <c r="R240" s="23"/>
      <c r="S240" s="23"/>
      <c r="T240" s="23"/>
      <c r="U240" s="23"/>
      <c r="V240" s="23"/>
      <c r="W240" s="23"/>
      <c r="X240" s="23"/>
      <c r="Y240" s="23"/>
      <c r="Z240" s="23"/>
      <c r="AA240" s="23"/>
      <c r="AB240" s="23"/>
      <c r="AC240" s="23"/>
      <c r="AD240" s="23"/>
      <c r="AE240" s="23"/>
      <c r="AF240" s="23"/>
      <c r="AG240" s="23"/>
    </row>
    <row r="241" ht="15.75" customHeight="1">
      <c r="A241" s="23"/>
      <c r="B241" s="23"/>
      <c r="C241" s="23"/>
      <c r="D241" s="23"/>
      <c r="E241" s="23"/>
      <c r="F241" s="23"/>
      <c r="G241" s="23"/>
      <c r="H241" s="23"/>
      <c r="I241" s="23"/>
      <c r="J241" s="23"/>
      <c r="K241" s="23"/>
      <c r="L241" s="23"/>
      <c r="M241" s="23"/>
      <c r="N241" s="23"/>
      <c r="O241" s="23"/>
      <c r="P241" s="23"/>
      <c r="Q241" s="23"/>
      <c r="R241" s="23"/>
      <c r="S241" s="23"/>
      <c r="T241" s="23"/>
      <c r="U241" s="23"/>
      <c r="V241" s="23"/>
      <c r="W241" s="23"/>
      <c r="X241" s="23"/>
      <c r="Y241" s="23"/>
      <c r="Z241" s="23"/>
      <c r="AA241" s="23"/>
      <c r="AB241" s="23"/>
      <c r="AC241" s="23"/>
      <c r="AD241" s="23"/>
      <c r="AE241" s="23"/>
      <c r="AF241" s="23"/>
      <c r="AG241" s="23"/>
    </row>
    <row r="242" ht="15.75" customHeight="1">
      <c r="A242" s="23"/>
      <c r="B242" s="23"/>
      <c r="C242" s="23"/>
      <c r="D242" s="23"/>
      <c r="E242" s="23"/>
      <c r="F242" s="23"/>
      <c r="G242" s="23"/>
      <c r="H242" s="23"/>
      <c r="I242" s="23"/>
      <c r="J242" s="23"/>
      <c r="K242" s="23"/>
      <c r="L242" s="23"/>
      <c r="M242" s="23"/>
      <c r="N242" s="23"/>
      <c r="O242" s="23"/>
      <c r="P242" s="23"/>
      <c r="Q242" s="23"/>
      <c r="R242" s="23"/>
      <c r="S242" s="23"/>
      <c r="T242" s="23"/>
      <c r="U242" s="23"/>
      <c r="V242" s="23"/>
      <c r="W242" s="23"/>
      <c r="X242" s="23"/>
      <c r="Y242" s="23"/>
      <c r="Z242" s="23"/>
      <c r="AA242" s="23"/>
      <c r="AB242" s="23"/>
      <c r="AC242" s="23"/>
      <c r="AD242" s="23"/>
      <c r="AE242" s="23"/>
      <c r="AF242" s="23"/>
      <c r="AG242" s="23"/>
    </row>
    <row r="243" ht="15.75" customHeight="1">
      <c r="A243" s="23"/>
      <c r="B243" s="23"/>
      <c r="C243" s="23"/>
      <c r="D243" s="23"/>
      <c r="E243" s="23"/>
      <c r="F243" s="23"/>
      <c r="G243" s="23"/>
      <c r="H243" s="23"/>
      <c r="I243" s="23"/>
      <c r="J243" s="23"/>
      <c r="K243" s="23"/>
      <c r="L243" s="23"/>
      <c r="M243" s="23"/>
      <c r="N243" s="23"/>
      <c r="O243" s="23"/>
      <c r="P243" s="23"/>
      <c r="Q243" s="23"/>
      <c r="R243" s="23"/>
      <c r="S243" s="23"/>
      <c r="T243" s="23"/>
      <c r="U243" s="23"/>
      <c r="V243" s="23"/>
      <c r="W243" s="23"/>
      <c r="X243" s="23"/>
      <c r="Y243" s="23"/>
      <c r="Z243" s="23"/>
      <c r="AA243" s="23"/>
      <c r="AB243" s="23"/>
      <c r="AC243" s="23"/>
      <c r="AD243" s="23"/>
      <c r="AE243" s="23"/>
      <c r="AF243" s="23"/>
      <c r="AG243" s="23"/>
    </row>
    <row r="244" ht="15.75" customHeight="1">
      <c r="A244" s="23"/>
      <c r="B244" s="23"/>
      <c r="C244" s="23"/>
      <c r="D244" s="23"/>
      <c r="E244" s="23"/>
      <c r="F244" s="23"/>
      <c r="G244" s="23"/>
      <c r="H244" s="23"/>
      <c r="I244" s="23"/>
      <c r="J244" s="23"/>
      <c r="K244" s="23"/>
      <c r="L244" s="23"/>
      <c r="M244" s="23"/>
      <c r="N244" s="23"/>
      <c r="O244" s="23"/>
      <c r="P244" s="23"/>
      <c r="Q244" s="23"/>
      <c r="R244" s="23"/>
      <c r="S244" s="23"/>
      <c r="T244" s="23"/>
      <c r="U244" s="23"/>
      <c r="V244" s="23"/>
      <c r="W244" s="23"/>
      <c r="X244" s="23"/>
      <c r="Y244" s="23"/>
      <c r="Z244" s="23"/>
      <c r="AA244" s="23"/>
      <c r="AB244" s="23"/>
      <c r="AC244" s="23"/>
      <c r="AD244" s="23"/>
      <c r="AE244" s="23"/>
      <c r="AF244" s="23"/>
      <c r="AG244" s="23"/>
    </row>
    <row r="245" ht="15.75" customHeight="1">
      <c r="A245" s="23"/>
      <c r="B245" s="23"/>
      <c r="C245" s="23"/>
      <c r="D245" s="23"/>
      <c r="E245" s="23"/>
      <c r="F245" s="23"/>
      <c r="G245" s="23"/>
      <c r="H245" s="23"/>
      <c r="I245" s="23"/>
      <c r="J245" s="23"/>
      <c r="K245" s="23"/>
      <c r="L245" s="23"/>
      <c r="M245" s="23"/>
      <c r="N245" s="23"/>
      <c r="O245" s="23"/>
      <c r="P245" s="23"/>
      <c r="Q245" s="23"/>
      <c r="R245" s="23"/>
      <c r="S245" s="23"/>
      <c r="T245" s="23"/>
      <c r="U245" s="23"/>
      <c r="V245" s="23"/>
      <c r="W245" s="23"/>
      <c r="X245" s="23"/>
      <c r="Y245" s="23"/>
      <c r="Z245" s="23"/>
      <c r="AA245" s="23"/>
      <c r="AB245" s="23"/>
      <c r="AC245" s="23"/>
      <c r="AD245" s="23"/>
      <c r="AE245" s="23"/>
      <c r="AF245" s="23"/>
      <c r="AG245" s="23"/>
    </row>
    <row r="246" ht="15.75" customHeight="1">
      <c r="A246" s="23"/>
      <c r="B246" s="23"/>
      <c r="C246" s="23"/>
      <c r="D246" s="23"/>
      <c r="E246" s="23"/>
      <c r="F246" s="23"/>
      <c r="G246" s="23"/>
      <c r="H246" s="23"/>
      <c r="I246" s="23"/>
      <c r="J246" s="23"/>
      <c r="K246" s="23"/>
      <c r="L246" s="23"/>
      <c r="M246" s="23"/>
      <c r="N246" s="23"/>
      <c r="O246" s="23"/>
      <c r="P246" s="23"/>
      <c r="Q246" s="23"/>
      <c r="R246" s="23"/>
      <c r="S246" s="23"/>
      <c r="T246" s="23"/>
      <c r="U246" s="23"/>
      <c r="V246" s="23"/>
      <c r="W246" s="23"/>
      <c r="X246" s="23"/>
      <c r="Y246" s="23"/>
      <c r="Z246" s="23"/>
      <c r="AA246" s="23"/>
      <c r="AB246" s="23"/>
      <c r="AC246" s="23"/>
      <c r="AD246" s="23"/>
      <c r="AE246" s="23"/>
      <c r="AF246" s="23"/>
      <c r="AG246" s="23"/>
    </row>
    <row r="247" ht="15.75" customHeight="1">
      <c r="A247" s="23"/>
      <c r="B247" s="23"/>
      <c r="C247" s="23"/>
      <c r="D247" s="23"/>
      <c r="E247" s="23"/>
      <c r="F247" s="23"/>
      <c r="G247" s="23"/>
      <c r="H247" s="23"/>
      <c r="I247" s="23"/>
      <c r="J247" s="23"/>
      <c r="K247" s="23"/>
      <c r="L247" s="23"/>
      <c r="M247" s="23"/>
      <c r="N247" s="23"/>
      <c r="O247" s="23"/>
      <c r="P247" s="23"/>
      <c r="Q247" s="23"/>
      <c r="R247" s="23"/>
      <c r="S247" s="23"/>
      <c r="T247" s="23"/>
      <c r="U247" s="23"/>
      <c r="V247" s="23"/>
      <c r="W247" s="23"/>
      <c r="X247" s="23"/>
      <c r="Y247" s="23"/>
      <c r="Z247" s="23"/>
      <c r="AA247" s="23"/>
      <c r="AB247" s="23"/>
      <c r="AC247" s="23"/>
      <c r="AD247" s="23"/>
      <c r="AE247" s="23"/>
      <c r="AF247" s="23"/>
      <c r="AG247" s="23"/>
    </row>
    <row r="248" ht="15.75" customHeight="1">
      <c r="A248" s="23"/>
      <c r="B248" s="23"/>
      <c r="C248" s="23"/>
      <c r="D248" s="23"/>
      <c r="E248" s="23"/>
      <c r="F248" s="23"/>
      <c r="G248" s="23"/>
      <c r="H248" s="23"/>
      <c r="I248" s="23"/>
      <c r="J248" s="23"/>
      <c r="K248" s="23"/>
      <c r="L248" s="23"/>
      <c r="M248" s="23"/>
      <c r="N248" s="23"/>
      <c r="O248" s="23"/>
      <c r="P248" s="23"/>
      <c r="Q248" s="23"/>
      <c r="R248" s="23"/>
      <c r="S248" s="23"/>
      <c r="T248" s="23"/>
      <c r="U248" s="23"/>
      <c r="V248" s="23"/>
      <c r="W248" s="23"/>
      <c r="X248" s="23"/>
      <c r="Y248" s="23"/>
      <c r="Z248" s="23"/>
      <c r="AA248" s="23"/>
      <c r="AB248" s="23"/>
      <c r="AC248" s="23"/>
      <c r="AD248" s="23"/>
      <c r="AE248" s="23"/>
      <c r="AF248" s="23"/>
      <c r="AG248" s="23"/>
    </row>
    <row r="249" ht="15.75" customHeight="1">
      <c r="A249" s="23"/>
      <c r="B249" s="23"/>
      <c r="C249" s="23"/>
      <c r="D249" s="23"/>
      <c r="E249" s="23"/>
      <c r="F249" s="23"/>
      <c r="G249" s="23"/>
      <c r="H249" s="23"/>
      <c r="I249" s="23"/>
      <c r="J249" s="23"/>
      <c r="K249" s="23"/>
      <c r="L249" s="23"/>
      <c r="M249" s="23"/>
      <c r="N249" s="23"/>
      <c r="O249" s="23"/>
      <c r="P249" s="23"/>
      <c r="Q249" s="23"/>
      <c r="R249" s="23"/>
      <c r="S249" s="23"/>
      <c r="T249" s="23"/>
      <c r="U249" s="23"/>
      <c r="V249" s="23"/>
      <c r="W249" s="23"/>
      <c r="X249" s="23"/>
      <c r="Y249" s="23"/>
      <c r="Z249" s="23"/>
      <c r="AA249" s="23"/>
      <c r="AB249" s="23"/>
      <c r="AC249" s="23"/>
      <c r="AD249" s="23"/>
      <c r="AE249" s="23"/>
      <c r="AF249" s="23"/>
      <c r="AG249" s="23"/>
    </row>
    <row r="250" ht="15.75" customHeight="1">
      <c r="A250" s="23"/>
      <c r="B250" s="23"/>
      <c r="C250" s="23"/>
      <c r="D250" s="23"/>
      <c r="E250" s="23"/>
      <c r="F250" s="23"/>
      <c r="G250" s="23"/>
      <c r="H250" s="23"/>
      <c r="I250" s="23"/>
      <c r="J250" s="23"/>
      <c r="K250" s="23"/>
      <c r="L250" s="23"/>
      <c r="M250" s="23"/>
      <c r="N250" s="23"/>
      <c r="O250" s="23"/>
      <c r="P250" s="23"/>
      <c r="Q250" s="23"/>
      <c r="R250" s="23"/>
      <c r="S250" s="23"/>
      <c r="T250" s="23"/>
      <c r="U250" s="23"/>
      <c r="V250" s="23"/>
      <c r="W250" s="23"/>
      <c r="X250" s="23"/>
      <c r="Y250" s="23"/>
      <c r="Z250" s="23"/>
      <c r="AA250" s="23"/>
      <c r="AB250" s="23"/>
      <c r="AC250" s="23"/>
      <c r="AD250" s="23"/>
      <c r="AE250" s="23"/>
      <c r="AF250" s="23"/>
      <c r="AG250" s="23"/>
    </row>
    <row r="251" ht="15.75" customHeight="1">
      <c r="A251" s="23"/>
      <c r="B251" s="23"/>
      <c r="C251" s="23"/>
      <c r="D251" s="23"/>
      <c r="E251" s="23"/>
      <c r="F251" s="23"/>
      <c r="G251" s="23"/>
      <c r="H251" s="23"/>
      <c r="I251" s="23"/>
      <c r="J251" s="23"/>
      <c r="K251" s="23"/>
      <c r="L251" s="23"/>
      <c r="M251" s="23"/>
      <c r="N251" s="23"/>
      <c r="O251" s="23"/>
      <c r="P251" s="23"/>
      <c r="Q251" s="23"/>
      <c r="R251" s="23"/>
      <c r="S251" s="23"/>
      <c r="T251" s="23"/>
      <c r="U251" s="23"/>
      <c r="V251" s="23"/>
      <c r="W251" s="23"/>
      <c r="X251" s="23"/>
      <c r="Y251" s="23"/>
      <c r="Z251" s="23"/>
      <c r="AA251" s="23"/>
      <c r="AB251" s="23"/>
      <c r="AC251" s="23"/>
      <c r="AD251" s="23"/>
      <c r="AE251" s="23"/>
      <c r="AF251" s="23"/>
      <c r="AG251" s="23"/>
    </row>
    <row r="252" ht="15.75" customHeight="1">
      <c r="A252" s="23"/>
      <c r="B252" s="23"/>
      <c r="C252" s="23"/>
      <c r="D252" s="23"/>
      <c r="E252" s="23"/>
      <c r="F252" s="23"/>
      <c r="G252" s="23"/>
      <c r="H252" s="23"/>
      <c r="I252" s="23"/>
      <c r="J252" s="23"/>
      <c r="K252" s="23"/>
      <c r="L252" s="23"/>
      <c r="M252" s="23"/>
      <c r="N252" s="23"/>
      <c r="O252" s="23"/>
      <c r="P252" s="23"/>
      <c r="Q252" s="23"/>
      <c r="R252" s="23"/>
      <c r="S252" s="23"/>
      <c r="T252" s="23"/>
      <c r="U252" s="23"/>
      <c r="V252" s="23"/>
      <c r="W252" s="23"/>
      <c r="X252" s="23"/>
      <c r="Y252" s="23"/>
      <c r="Z252" s="23"/>
      <c r="AA252" s="23"/>
      <c r="AB252" s="23"/>
      <c r="AC252" s="23"/>
      <c r="AD252" s="23"/>
      <c r="AE252" s="23"/>
      <c r="AF252" s="23"/>
      <c r="AG252" s="23"/>
    </row>
    <row r="253" ht="15.75" customHeight="1">
      <c r="A253" s="23"/>
      <c r="B253" s="23"/>
      <c r="C253" s="23"/>
      <c r="D253" s="23"/>
      <c r="E253" s="23"/>
      <c r="F253" s="23"/>
      <c r="G253" s="23"/>
      <c r="H253" s="23"/>
      <c r="I253" s="23"/>
      <c r="J253" s="23"/>
      <c r="K253" s="23"/>
      <c r="L253" s="23"/>
      <c r="M253" s="23"/>
      <c r="N253" s="23"/>
      <c r="O253" s="23"/>
      <c r="P253" s="23"/>
      <c r="Q253" s="23"/>
      <c r="R253" s="23"/>
      <c r="S253" s="23"/>
      <c r="T253" s="23"/>
      <c r="U253" s="23"/>
      <c r="V253" s="23"/>
      <c r="W253" s="23"/>
      <c r="X253" s="23"/>
      <c r="Y253" s="23"/>
      <c r="Z253" s="23"/>
      <c r="AA253" s="23"/>
      <c r="AB253" s="23"/>
      <c r="AC253" s="23"/>
      <c r="AD253" s="23"/>
      <c r="AE253" s="23"/>
      <c r="AF253" s="23"/>
      <c r="AG253" s="23"/>
    </row>
    <row r="254" ht="15.75" customHeight="1">
      <c r="A254" s="23"/>
      <c r="B254" s="23"/>
      <c r="C254" s="23"/>
      <c r="D254" s="23"/>
      <c r="E254" s="23"/>
      <c r="F254" s="23"/>
      <c r="G254" s="23"/>
      <c r="H254" s="23"/>
      <c r="I254" s="23"/>
      <c r="J254" s="23"/>
      <c r="K254" s="23"/>
      <c r="L254" s="23"/>
      <c r="M254" s="23"/>
      <c r="N254" s="23"/>
      <c r="O254" s="23"/>
      <c r="P254" s="23"/>
      <c r="Q254" s="23"/>
      <c r="R254" s="23"/>
      <c r="S254" s="23"/>
      <c r="T254" s="23"/>
      <c r="U254" s="23"/>
      <c r="V254" s="23"/>
      <c r="W254" s="23"/>
      <c r="X254" s="23"/>
      <c r="Y254" s="23"/>
      <c r="Z254" s="23"/>
      <c r="AA254" s="23"/>
      <c r="AB254" s="23"/>
      <c r="AC254" s="23"/>
      <c r="AD254" s="23"/>
      <c r="AE254" s="23"/>
      <c r="AF254" s="23"/>
      <c r="AG254" s="23"/>
    </row>
    <row r="255" ht="15.75" customHeight="1">
      <c r="A255" s="23"/>
      <c r="B255" s="23"/>
      <c r="C255" s="23"/>
      <c r="D255" s="23"/>
      <c r="E255" s="23"/>
      <c r="F255" s="23"/>
      <c r="G255" s="23"/>
      <c r="H255" s="23"/>
      <c r="I255" s="23"/>
      <c r="J255" s="23"/>
      <c r="K255" s="23"/>
      <c r="L255" s="23"/>
      <c r="M255" s="23"/>
      <c r="N255" s="23"/>
      <c r="O255" s="23"/>
      <c r="P255" s="23"/>
      <c r="Q255" s="23"/>
      <c r="R255" s="23"/>
      <c r="S255" s="23"/>
      <c r="T255" s="23"/>
      <c r="U255" s="23"/>
      <c r="V255" s="23"/>
      <c r="W255" s="23"/>
      <c r="X255" s="23"/>
      <c r="Y255" s="23"/>
      <c r="Z255" s="23"/>
      <c r="AA255" s="23"/>
      <c r="AB255" s="23"/>
      <c r="AC255" s="23"/>
      <c r="AD255" s="23"/>
      <c r="AE255" s="23"/>
      <c r="AF255" s="23"/>
      <c r="AG255" s="23"/>
    </row>
    <row r="256" ht="15.75" customHeight="1">
      <c r="A256" s="23"/>
      <c r="B256" s="23"/>
      <c r="C256" s="23"/>
      <c r="D256" s="23"/>
      <c r="E256" s="23"/>
      <c r="F256" s="23"/>
      <c r="G256" s="23"/>
      <c r="H256" s="23"/>
      <c r="I256" s="23"/>
      <c r="J256" s="23"/>
      <c r="K256" s="23"/>
      <c r="L256" s="23"/>
      <c r="M256" s="23"/>
      <c r="N256" s="23"/>
      <c r="O256" s="23"/>
      <c r="P256" s="23"/>
      <c r="Q256" s="23"/>
      <c r="R256" s="23"/>
      <c r="S256" s="23"/>
      <c r="T256" s="23"/>
      <c r="U256" s="23"/>
      <c r="V256" s="23"/>
      <c r="W256" s="23"/>
      <c r="X256" s="23"/>
      <c r="Y256" s="23"/>
      <c r="Z256" s="23"/>
      <c r="AA256" s="23"/>
      <c r="AB256" s="23"/>
      <c r="AC256" s="23"/>
      <c r="AD256" s="23"/>
      <c r="AE256" s="23"/>
      <c r="AF256" s="23"/>
      <c r="AG256" s="23"/>
    </row>
    <row r="257" ht="15.75" customHeight="1">
      <c r="A257" s="23"/>
      <c r="B257" s="23"/>
      <c r="C257" s="23"/>
      <c r="D257" s="23"/>
      <c r="E257" s="23"/>
      <c r="F257" s="23"/>
      <c r="G257" s="23"/>
      <c r="H257" s="23"/>
      <c r="I257" s="23"/>
      <c r="J257" s="23"/>
      <c r="K257" s="23"/>
      <c r="L257" s="23"/>
      <c r="M257" s="23"/>
      <c r="N257" s="23"/>
      <c r="O257" s="23"/>
      <c r="P257" s="23"/>
      <c r="Q257" s="23"/>
      <c r="R257" s="23"/>
      <c r="S257" s="23"/>
      <c r="T257" s="23"/>
      <c r="U257" s="23"/>
      <c r="V257" s="23"/>
      <c r="W257" s="23"/>
      <c r="X257" s="23"/>
      <c r="Y257" s="23"/>
      <c r="Z257" s="23"/>
      <c r="AA257" s="23"/>
      <c r="AB257" s="23"/>
      <c r="AC257" s="23"/>
      <c r="AD257" s="23"/>
      <c r="AE257" s="23"/>
      <c r="AF257" s="23"/>
      <c r="AG257" s="23"/>
    </row>
    <row r="258" ht="15.75" customHeight="1">
      <c r="A258" s="23"/>
      <c r="B258" s="23"/>
      <c r="C258" s="23"/>
      <c r="D258" s="23"/>
      <c r="E258" s="23"/>
      <c r="F258" s="23"/>
      <c r="G258" s="23"/>
      <c r="H258" s="23"/>
      <c r="I258" s="23"/>
      <c r="J258" s="23"/>
      <c r="K258" s="23"/>
      <c r="L258" s="23"/>
      <c r="M258" s="23"/>
      <c r="N258" s="23"/>
      <c r="O258" s="23"/>
      <c r="P258" s="23"/>
      <c r="Q258" s="23"/>
      <c r="R258" s="23"/>
      <c r="S258" s="23"/>
      <c r="T258" s="23"/>
      <c r="U258" s="23"/>
      <c r="V258" s="23"/>
      <c r="W258" s="23"/>
      <c r="X258" s="23"/>
      <c r="Y258" s="23"/>
      <c r="Z258" s="23"/>
      <c r="AA258" s="23"/>
      <c r="AB258" s="23"/>
      <c r="AC258" s="23"/>
      <c r="AD258" s="23"/>
      <c r="AE258" s="23"/>
      <c r="AF258" s="23"/>
      <c r="AG258" s="23"/>
    </row>
    <row r="259" ht="15.75" customHeight="1">
      <c r="A259" s="23"/>
      <c r="B259" s="23"/>
      <c r="C259" s="23"/>
      <c r="D259" s="23"/>
      <c r="E259" s="23"/>
      <c r="F259" s="23"/>
      <c r="G259" s="23"/>
      <c r="H259" s="23"/>
      <c r="I259" s="23"/>
      <c r="J259" s="23"/>
      <c r="K259" s="23"/>
      <c r="L259" s="23"/>
      <c r="M259" s="23"/>
      <c r="N259" s="23"/>
      <c r="O259" s="23"/>
      <c r="P259" s="23"/>
      <c r="Q259" s="23"/>
      <c r="R259" s="23"/>
      <c r="S259" s="23"/>
      <c r="T259" s="23"/>
      <c r="U259" s="23"/>
      <c r="V259" s="23"/>
      <c r="W259" s="23"/>
      <c r="X259" s="23"/>
      <c r="Y259" s="23"/>
      <c r="Z259" s="23"/>
      <c r="AA259" s="23"/>
      <c r="AB259" s="23"/>
      <c r="AC259" s="23"/>
      <c r="AD259" s="23"/>
      <c r="AE259" s="23"/>
      <c r="AF259" s="23"/>
      <c r="AG259" s="23"/>
    </row>
    <row r="260" ht="15.75" customHeight="1">
      <c r="A260" s="23"/>
      <c r="B260" s="23"/>
      <c r="C260" s="23"/>
      <c r="D260" s="23"/>
      <c r="E260" s="23"/>
      <c r="F260" s="23"/>
      <c r="G260" s="23"/>
      <c r="H260" s="23"/>
      <c r="I260" s="23"/>
      <c r="J260" s="23"/>
      <c r="K260" s="23"/>
      <c r="L260" s="23"/>
      <c r="M260" s="23"/>
      <c r="N260" s="23"/>
      <c r="O260" s="23"/>
      <c r="P260" s="23"/>
      <c r="Q260" s="23"/>
      <c r="R260" s="23"/>
      <c r="S260" s="23"/>
      <c r="T260" s="23"/>
      <c r="U260" s="23"/>
      <c r="V260" s="23"/>
      <c r="W260" s="23"/>
      <c r="X260" s="23"/>
      <c r="Y260" s="23"/>
      <c r="Z260" s="23"/>
      <c r="AA260" s="23"/>
      <c r="AB260" s="23"/>
      <c r="AC260" s="23"/>
      <c r="AD260" s="23"/>
      <c r="AE260" s="23"/>
      <c r="AF260" s="23"/>
      <c r="AG260" s="23"/>
    </row>
    <row r="261" ht="15.75" customHeight="1">
      <c r="A261" s="23"/>
      <c r="B261" s="23"/>
      <c r="C261" s="23"/>
      <c r="D261" s="23"/>
      <c r="E261" s="23"/>
      <c r="F261" s="23"/>
      <c r="G261" s="23"/>
      <c r="H261" s="23"/>
      <c r="I261" s="23"/>
      <c r="J261" s="23"/>
      <c r="K261" s="23"/>
      <c r="L261" s="23"/>
      <c r="M261" s="23"/>
      <c r="N261" s="23"/>
      <c r="O261" s="23"/>
      <c r="P261" s="23"/>
      <c r="Q261" s="23"/>
      <c r="R261" s="23"/>
      <c r="S261" s="23"/>
      <c r="T261" s="23"/>
      <c r="U261" s="23"/>
      <c r="V261" s="23"/>
      <c r="W261" s="23"/>
      <c r="X261" s="23"/>
      <c r="Y261" s="23"/>
      <c r="Z261" s="23"/>
      <c r="AA261" s="23"/>
      <c r="AB261" s="23"/>
      <c r="AC261" s="23"/>
      <c r="AD261" s="23"/>
      <c r="AE261" s="23"/>
      <c r="AF261" s="23"/>
      <c r="AG261" s="23"/>
    </row>
    <row r="262" ht="15.75" customHeight="1">
      <c r="A262" s="23"/>
      <c r="B262" s="23"/>
      <c r="C262" s="23"/>
      <c r="D262" s="23"/>
      <c r="E262" s="23"/>
      <c r="F262" s="23"/>
      <c r="G262" s="23"/>
      <c r="H262" s="23"/>
      <c r="I262" s="23"/>
      <c r="J262" s="23"/>
      <c r="K262" s="23"/>
      <c r="L262" s="23"/>
      <c r="M262" s="23"/>
      <c r="N262" s="23"/>
      <c r="O262" s="23"/>
      <c r="P262" s="23"/>
      <c r="Q262" s="23"/>
      <c r="R262" s="23"/>
      <c r="S262" s="23"/>
      <c r="T262" s="23"/>
      <c r="U262" s="23"/>
      <c r="V262" s="23"/>
      <c r="W262" s="23"/>
      <c r="X262" s="23"/>
      <c r="Y262" s="23"/>
      <c r="Z262" s="23"/>
      <c r="AA262" s="23"/>
      <c r="AB262" s="23"/>
      <c r="AC262" s="23"/>
      <c r="AD262" s="23"/>
      <c r="AE262" s="23"/>
      <c r="AF262" s="23"/>
      <c r="AG262" s="23"/>
    </row>
    <row r="263" ht="15.75" customHeight="1">
      <c r="A263" s="23"/>
      <c r="B263" s="23"/>
      <c r="C263" s="23"/>
      <c r="D263" s="23"/>
      <c r="E263" s="23"/>
      <c r="F263" s="23"/>
      <c r="G263" s="23"/>
      <c r="H263" s="23"/>
      <c r="I263" s="23"/>
      <c r="J263" s="23"/>
      <c r="K263" s="23"/>
      <c r="L263" s="23"/>
      <c r="M263" s="23"/>
      <c r="N263" s="23"/>
      <c r="O263" s="23"/>
      <c r="P263" s="23"/>
      <c r="Q263" s="23"/>
      <c r="R263" s="23"/>
      <c r="S263" s="23"/>
      <c r="T263" s="23"/>
      <c r="U263" s="23"/>
      <c r="V263" s="23"/>
      <c r="W263" s="23"/>
      <c r="X263" s="23"/>
      <c r="Y263" s="23"/>
      <c r="Z263" s="23"/>
      <c r="AA263" s="23"/>
      <c r="AB263" s="23"/>
      <c r="AC263" s="23"/>
      <c r="AD263" s="23"/>
      <c r="AE263" s="23"/>
      <c r="AF263" s="23"/>
      <c r="AG263" s="23"/>
    </row>
    <row r="264" ht="15.75" customHeight="1">
      <c r="A264" s="23"/>
      <c r="B264" s="23"/>
      <c r="C264" s="23"/>
      <c r="D264" s="23"/>
      <c r="E264" s="23"/>
      <c r="F264" s="23"/>
      <c r="G264" s="23"/>
      <c r="H264" s="23"/>
      <c r="I264" s="23"/>
      <c r="J264" s="23"/>
      <c r="K264" s="23"/>
      <c r="L264" s="23"/>
      <c r="M264" s="23"/>
      <c r="N264" s="23"/>
      <c r="O264" s="23"/>
      <c r="P264" s="23"/>
      <c r="Q264" s="23"/>
      <c r="R264" s="23"/>
      <c r="S264" s="23"/>
      <c r="T264" s="23"/>
      <c r="U264" s="23"/>
      <c r="V264" s="23"/>
      <c r="W264" s="23"/>
      <c r="X264" s="23"/>
      <c r="Y264" s="23"/>
      <c r="Z264" s="23"/>
      <c r="AA264" s="23"/>
      <c r="AB264" s="23"/>
      <c r="AC264" s="23"/>
      <c r="AD264" s="23"/>
      <c r="AE264" s="23"/>
      <c r="AF264" s="23"/>
      <c r="AG264" s="23"/>
    </row>
    <row r="265" ht="15.75" customHeight="1">
      <c r="A265" s="23"/>
      <c r="B265" s="23"/>
      <c r="C265" s="23"/>
      <c r="D265" s="23"/>
      <c r="E265" s="23"/>
      <c r="F265" s="23"/>
      <c r="G265" s="23"/>
      <c r="H265" s="23"/>
      <c r="I265" s="23"/>
      <c r="J265" s="23"/>
      <c r="K265" s="23"/>
      <c r="L265" s="23"/>
      <c r="M265" s="23"/>
      <c r="N265" s="23"/>
      <c r="O265" s="23"/>
      <c r="P265" s="23"/>
      <c r="Q265" s="23"/>
      <c r="R265" s="23"/>
      <c r="S265" s="23"/>
      <c r="T265" s="23"/>
      <c r="U265" s="23"/>
      <c r="V265" s="23"/>
      <c r="W265" s="23"/>
      <c r="X265" s="23"/>
      <c r="Y265" s="23"/>
      <c r="Z265" s="23"/>
      <c r="AA265" s="23"/>
      <c r="AB265" s="23"/>
      <c r="AC265" s="23"/>
      <c r="AD265" s="23"/>
      <c r="AE265" s="23"/>
      <c r="AF265" s="23"/>
      <c r="AG265" s="23"/>
    </row>
    <row r="266" ht="15.75" customHeight="1">
      <c r="A266" s="23"/>
      <c r="B266" s="23"/>
      <c r="C266" s="23"/>
      <c r="D266" s="23"/>
      <c r="E266" s="23"/>
      <c r="F266" s="23"/>
      <c r="G266" s="23"/>
      <c r="H266" s="23"/>
      <c r="I266" s="23"/>
      <c r="J266" s="23"/>
      <c r="K266" s="23"/>
      <c r="L266" s="23"/>
      <c r="M266" s="23"/>
      <c r="N266" s="23"/>
      <c r="O266" s="23"/>
      <c r="P266" s="23"/>
      <c r="Q266" s="23"/>
      <c r="R266" s="23"/>
      <c r="S266" s="23"/>
      <c r="T266" s="23"/>
      <c r="U266" s="23"/>
      <c r="V266" s="23"/>
      <c r="W266" s="23"/>
      <c r="X266" s="23"/>
      <c r="Y266" s="23"/>
      <c r="Z266" s="23"/>
      <c r="AA266" s="23"/>
      <c r="AB266" s="23"/>
      <c r="AC266" s="23"/>
      <c r="AD266" s="23"/>
      <c r="AE266" s="23"/>
      <c r="AF266" s="23"/>
      <c r="AG266" s="23"/>
    </row>
    <row r="267" ht="15.75" customHeight="1">
      <c r="A267" s="23"/>
      <c r="B267" s="23"/>
      <c r="C267" s="23"/>
      <c r="D267" s="23"/>
      <c r="E267" s="23"/>
      <c r="F267" s="23"/>
      <c r="G267" s="23"/>
      <c r="H267" s="23"/>
      <c r="I267" s="23"/>
      <c r="J267" s="23"/>
      <c r="K267" s="23"/>
      <c r="L267" s="23"/>
      <c r="M267" s="23"/>
      <c r="N267" s="23"/>
      <c r="O267" s="23"/>
      <c r="P267" s="23"/>
      <c r="Q267" s="23"/>
      <c r="R267" s="23"/>
      <c r="S267" s="23"/>
      <c r="T267" s="23"/>
      <c r="U267" s="23"/>
      <c r="V267" s="23"/>
      <c r="W267" s="23"/>
      <c r="X267" s="23"/>
      <c r="Y267" s="23"/>
      <c r="Z267" s="23"/>
      <c r="AA267" s="23"/>
      <c r="AB267" s="23"/>
      <c r="AC267" s="23"/>
      <c r="AD267" s="23"/>
      <c r="AE267" s="23"/>
      <c r="AF267" s="23"/>
      <c r="AG267" s="23"/>
    </row>
    <row r="268" ht="15.75" customHeight="1">
      <c r="A268" s="23"/>
      <c r="B268" s="23"/>
      <c r="C268" s="23"/>
      <c r="D268" s="23"/>
      <c r="E268" s="23"/>
      <c r="F268" s="23"/>
      <c r="G268" s="23"/>
      <c r="H268" s="23"/>
      <c r="I268" s="23"/>
      <c r="J268" s="23"/>
      <c r="K268" s="23"/>
      <c r="L268" s="23"/>
      <c r="M268" s="23"/>
      <c r="N268" s="23"/>
      <c r="O268" s="23"/>
      <c r="P268" s="23"/>
      <c r="Q268" s="23"/>
      <c r="R268" s="23"/>
      <c r="S268" s="23"/>
      <c r="T268" s="23"/>
      <c r="U268" s="23"/>
      <c r="V268" s="23"/>
      <c r="W268" s="23"/>
      <c r="X268" s="23"/>
      <c r="Y268" s="23"/>
      <c r="Z268" s="23"/>
      <c r="AA268" s="23"/>
      <c r="AB268" s="23"/>
      <c r="AC268" s="23"/>
      <c r="AD268" s="23"/>
      <c r="AE268" s="23"/>
      <c r="AF268" s="23"/>
      <c r="AG268" s="23"/>
    </row>
    <row r="269" ht="15.75" customHeight="1">
      <c r="A269" s="23"/>
      <c r="B269" s="23"/>
      <c r="C269" s="23"/>
      <c r="D269" s="23"/>
      <c r="E269" s="23"/>
      <c r="F269" s="23"/>
      <c r="G269" s="23"/>
      <c r="H269" s="23"/>
      <c r="I269" s="23"/>
      <c r="J269" s="23"/>
      <c r="K269" s="23"/>
      <c r="L269" s="23"/>
      <c r="M269" s="23"/>
      <c r="N269" s="23"/>
      <c r="O269" s="23"/>
      <c r="P269" s="23"/>
      <c r="Q269" s="23"/>
      <c r="R269" s="23"/>
      <c r="S269" s="23"/>
      <c r="T269" s="23"/>
      <c r="U269" s="23"/>
      <c r="V269" s="23"/>
      <c r="W269" s="23"/>
      <c r="X269" s="23"/>
      <c r="Y269" s="23"/>
      <c r="Z269" s="23"/>
      <c r="AA269" s="23"/>
      <c r="AB269" s="23"/>
      <c r="AC269" s="23"/>
      <c r="AD269" s="23"/>
      <c r="AE269" s="23"/>
      <c r="AF269" s="23"/>
      <c r="AG269" s="23"/>
    </row>
    <row r="270" ht="15.75" customHeight="1">
      <c r="A270" s="23"/>
      <c r="B270" s="23"/>
      <c r="C270" s="23"/>
      <c r="D270" s="23"/>
      <c r="E270" s="23"/>
      <c r="F270" s="23"/>
      <c r="G270" s="23"/>
      <c r="H270" s="23"/>
      <c r="I270" s="23"/>
      <c r="J270" s="23"/>
      <c r="K270" s="23"/>
      <c r="L270" s="23"/>
      <c r="M270" s="23"/>
      <c r="N270" s="23"/>
      <c r="O270" s="23"/>
      <c r="P270" s="23"/>
      <c r="Q270" s="23"/>
      <c r="R270" s="23"/>
      <c r="S270" s="23"/>
      <c r="T270" s="23"/>
      <c r="U270" s="23"/>
      <c r="V270" s="23"/>
      <c r="W270" s="23"/>
      <c r="X270" s="23"/>
      <c r="Y270" s="23"/>
      <c r="Z270" s="23"/>
      <c r="AA270" s="23"/>
      <c r="AB270" s="23"/>
      <c r="AC270" s="23"/>
      <c r="AD270" s="23"/>
      <c r="AE270" s="23"/>
      <c r="AF270" s="23"/>
      <c r="AG270" s="23"/>
    </row>
    <row r="271" ht="15.75" customHeight="1">
      <c r="A271" s="23"/>
      <c r="B271" s="23"/>
      <c r="C271" s="23"/>
      <c r="D271" s="23"/>
      <c r="E271" s="23"/>
      <c r="F271" s="23"/>
      <c r="G271" s="23"/>
      <c r="H271" s="23"/>
      <c r="I271" s="23"/>
      <c r="J271" s="23"/>
      <c r="K271" s="23"/>
      <c r="L271" s="23"/>
      <c r="M271" s="23"/>
      <c r="N271" s="23"/>
      <c r="O271" s="23"/>
      <c r="P271" s="23"/>
      <c r="Q271" s="23"/>
      <c r="R271" s="23"/>
      <c r="S271" s="23"/>
      <c r="T271" s="23"/>
      <c r="U271" s="23"/>
      <c r="V271" s="23"/>
      <c r="W271" s="23"/>
      <c r="X271" s="23"/>
      <c r="Y271" s="23"/>
      <c r="Z271" s="23"/>
      <c r="AA271" s="23"/>
      <c r="AB271" s="23"/>
      <c r="AC271" s="23"/>
      <c r="AD271" s="23"/>
      <c r="AE271" s="23"/>
      <c r="AF271" s="23"/>
      <c r="AG271" s="23"/>
    </row>
    <row r="272" ht="15.75" customHeight="1">
      <c r="A272" s="23"/>
      <c r="B272" s="23"/>
      <c r="C272" s="23"/>
      <c r="D272" s="23"/>
      <c r="E272" s="23"/>
      <c r="F272" s="23"/>
      <c r="G272" s="23"/>
      <c r="H272" s="23"/>
      <c r="I272" s="23"/>
      <c r="J272" s="23"/>
      <c r="K272" s="23"/>
      <c r="L272" s="23"/>
      <c r="M272" s="23"/>
      <c r="N272" s="23"/>
      <c r="O272" s="23"/>
      <c r="P272" s="23"/>
      <c r="Q272" s="23"/>
      <c r="R272" s="23"/>
      <c r="S272" s="23"/>
      <c r="T272" s="23"/>
      <c r="U272" s="23"/>
      <c r="V272" s="23"/>
      <c r="W272" s="23"/>
      <c r="X272" s="23"/>
      <c r="Y272" s="23"/>
      <c r="Z272" s="23"/>
      <c r="AA272" s="23"/>
      <c r="AB272" s="23"/>
      <c r="AC272" s="23"/>
      <c r="AD272" s="23"/>
      <c r="AE272" s="23"/>
      <c r="AF272" s="23"/>
      <c r="AG272" s="23"/>
    </row>
    <row r="273" ht="15.75" customHeight="1">
      <c r="A273" s="23"/>
      <c r="B273" s="23"/>
      <c r="C273" s="23"/>
      <c r="D273" s="23"/>
      <c r="E273" s="23"/>
      <c r="F273" s="23"/>
      <c r="G273" s="23"/>
      <c r="H273" s="23"/>
      <c r="I273" s="23"/>
      <c r="J273" s="23"/>
      <c r="K273" s="23"/>
      <c r="L273" s="23"/>
      <c r="M273" s="23"/>
      <c r="N273" s="23"/>
      <c r="O273" s="23"/>
      <c r="P273" s="23"/>
      <c r="Q273" s="23"/>
      <c r="R273" s="23"/>
      <c r="S273" s="23"/>
      <c r="T273" s="23"/>
      <c r="U273" s="23"/>
      <c r="V273" s="23"/>
      <c r="W273" s="23"/>
      <c r="X273" s="23"/>
      <c r="Y273" s="23"/>
      <c r="Z273" s="23"/>
      <c r="AA273" s="23"/>
      <c r="AB273" s="23"/>
      <c r="AC273" s="23"/>
      <c r="AD273" s="23"/>
      <c r="AE273" s="23"/>
      <c r="AF273" s="23"/>
      <c r="AG273" s="23"/>
    </row>
    <row r="274" ht="15.75" customHeight="1">
      <c r="A274" s="23"/>
      <c r="B274" s="23"/>
      <c r="C274" s="23"/>
      <c r="D274" s="23"/>
      <c r="E274" s="23"/>
      <c r="F274" s="23"/>
      <c r="G274" s="23"/>
      <c r="H274" s="23"/>
      <c r="I274" s="23"/>
      <c r="J274" s="23"/>
      <c r="K274" s="23"/>
      <c r="L274" s="23"/>
      <c r="M274" s="23"/>
      <c r="N274" s="23"/>
      <c r="O274" s="23"/>
      <c r="P274" s="23"/>
      <c r="Q274" s="23"/>
      <c r="R274" s="23"/>
      <c r="S274" s="23"/>
      <c r="T274" s="23"/>
      <c r="U274" s="23"/>
      <c r="V274" s="23"/>
      <c r="W274" s="23"/>
      <c r="X274" s="23"/>
      <c r="Y274" s="23"/>
      <c r="Z274" s="23"/>
      <c r="AA274" s="23"/>
      <c r="AB274" s="23"/>
      <c r="AC274" s="23"/>
      <c r="AD274" s="23"/>
      <c r="AE274" s="23"/>
      <c r="AF274" s="23"/>
      <c r="AG274" s="23"/>
    </row>
    <row r="275" ht="15.75" customHeight="1">
      <c r="A275" s="23"/>
      <c r="B275" s="23"/>
      <c r="C275" s="23"/>
      <c r="D275" s="23"/>
      <c r="E275" s="23"/>
      <c r="F275" s="23"/>
      <c r="G275" s="23"/>
      <c r="H275" s="23"/>
      <c r="I275" s="23"/>
      <c r="J275" s="23"/>
      <c r="K275" s="23"/>
      <c r="L275" s="23"/>
      <c r="M275" s="23"/>
      <c r="N275" s="23"/>
      <c r="O275" s="23"/>
      <c r="P275" s="23"/>
      <c r="Q275" s="23"/>
      <c r="R275" s="23"/>
      <c r="S275" s="23"/>
      <c r="T275" s="23"/>
      <c r="U275" s="23"/>
      <c r="V275" s="23"/>
      <c r="W275" s="23"/>
      <c r="X275" s="23"/>
      <c r="Y275" s="23"/>
      <c r="Z275" s="23"/>
      <c r="AA275" s="23"/>
      <c r="AB275" s="23"/>
      <c r="AC275" s="23"/>
      <c r="AD275" s="23"/>
      <c r="AE275" s="23"/>
      <c r="AF275" s="23"/>
      <c r="AG275" s="23"/>
    </row>
    <row r="276" ht="15.75" customHeight="1">
      <c r="A276" s="23"/>
      <c r="B276" s="23"/>
      <c r="C276" s="23"/>
      <c r="D276" s="23"/>
      <c r="E276" s="23"/>
      <c r="F276" s="23"/>
      <c r="G276" s="23"/>
      <c r="H276" s="23"/>
      <c r="I276" s="23"/>
      <c r="J276" s="23"/>
      <c r="K276" s="23"/>
      <c r="L276" s="23"/>
      <c r="M276" s="23"/>
      <c r="N276" s="23"/>
      <c r="O276" s="23"/>
      <c r="P276" s="23"/>
      <c r="Q276" s="23"/>
      <c r="R276" s="23"/>
      <c r="S276" s="23"/>
      <c r="T276" s="23"/>
      <c r="U276" s="23"/>
      <c r="V276" s="23"/>
      <c r="W276" s="23"/>
      <c r="X276" s="23"/>
      <c r="Y276" s="23"/>
      <c r="Z276" s="23"/>
      <c r="AA276" s="23"/>
      <c r="AB276" s="23"/>
      <c r="AC276" s="23"/>
      <c r="AD276" s="23"/>
      <c r="AE276" s="23"/>
      <c r="AF276" s="23"/>
      <c r="AG276" s="23"/>
    </row>
    <row r="277" ht="15.75" customHeight="1">
      <c r="A277" s="23"/>
      <c r="B277" s="23"/>
      <c r="C277" s="23"/>
      <c r="D277" s="23"/>
      <c r="E277" s="23"/>
      <c r="F277" s="23"/>
      <c r="G277" s="23"/>
      <c r="H277" s="23"/>
      <c r="I277" s="23"/>
      <c r="J277" s="23"/>
      <c r="K277" s="23"/>
      <c r="L277" s="23"/>
      <c r="M277" s="23"/>
      <c r="N277" s="23"/>
      <c r="O277" s="23"/>
      <c r="P277" s="23"/>
      <c r="Q277" s="23"/>
      <c r="R277" s="23"/>
      <c r="S277" s="23"/>
      <c r="T277" s="23"/>
      <c r="U277" s="23"/>
      <c r="V277" s="23"/>
      <c r="W277" s="23"/>
      <c r="X277" s="23"/>
      <c r="Y277" s="23"/>
      <c r="Z277" s="23"/>
      <c r="AA277" s="23"/>
      <c r="AB277" s="23"/>
      <c r="AC277" s="23"/>
      <c r="AD277" s="23"/>
      <c r="AE277" s="23"/>
      <c r="AF277" s="23"/>
      <c r="AG277" s="23"/>
    </row>
    <row r="278" ht="15.75" customHeight="1">
      <c r="A278" s="23"/>
      <c r="B278" s="23"/>
      <c r="C278" s="23"/>
      <c r="D278" s="23"/>
      <c r="E278" s="23"/>
      <c r="F278" s="23"/>
      <c r="G278" s="23"/>
      <c r="H278" s="23"/>
      <c r="I278" s="23"/>
      <c r="J278" s="23"/>
      <c r="K278" s="23"/>
      <c r="L278" s="23"/>
      <c r="M278" s="23"/>
      <c r="N278" s="23"/>
      <c r="O278" s="23"/>
      <c r="P278" s="23"/>
      <c r="Q278" s="23"/>
      <c r="R278" s="23"/>
      <c r="S278" s="23"/>
      <c r="T278" s="23"/>
      <c r="U278" s="23"/>
      <c r="V278" s="23"/>
      <c r="W278" s="23"/>
      <c r="X278" s="23"/>
      <c r="Y278" s="23"/>
      <c r="Z278" s="23"/>
      <c r="AA278" s="23"/>
      <c r="AB278" s="23"/>
      <c r="AC278" s="23"/>
      <c r="AD278" s="23"/>
      <c r="AE278" s="23"/>
      <c r="AF278" s="23"/>
      <c r="AG278" s="23"/>
    </row>
    <row r="279" ht="15.75" customHeight="1">
      <c r="A279" s="23"/>
      <c r="B279" s="23"/>
      <c r="C279" s="23"/>
      <c r="D279" s="23"/>
      <c r="E279" s="23"/>
      <c r="F279" s="23"/>
      <c r="G279" s="23"/>
      <c r="H279" s="23"/>
      <c r="I279" s="23"/>
      <c r="J279" s="23"/>
      <c r="K279" s="23"/>
      <c r="L279" s="23"/>
      <c r="M279" s="23"/>
      <c r="N279" s="23"/>
      <c r="O279" s="23"/>
      <c r="P279" s="23"/>
      <c r="Q279" s="23"/>
      <c r="R279" s="23"/>
      <c r="S279" s="23"/>
      <c r="T279" s="23"/>
      <c r="U279" s="23"/>
      <c r="V279" s="23"/>
      <c r="W279" s="23"/>
      <c r="X279" s="23"/>
      <c r="Y279" s="23"/>
      <c r="Z279" s="23"/>
      <c r="AA279" s="23"/>
      <c r="AB279" s="23"/>
      <c r="AC279" s="23"/>
      <c r="AD279" s="23"/>
      <c r="AE279" s="23"/>
      <c r="AF279" s="23"/>
      <c r="AG279" s="23"/>
    </row>
    <row r="280" ht="15.75" customHeight="1">
      <c r="A280" s="23"/>
      <c r="B280" s="23"/>
      <c r="C280" s="23"/>
      <c r="D280" s="23"/>
      <c r="E280" s="23"/>
      <c r="F280" s="23"/>
      <c r="G280" s="23"/>
      <c r="H280" s="23"/>
      <c r="I280" s="23"/>
      <c r="J280" s="23"/>
      <c r="K280" s="23"/>
      <c r="L280" s="23"/>
      <c r="M280" s="23"/>
      <c r="N280" s="23"/>
      <c r="O280" s="23"/>
      <c r="P280" s="23"/>
      <c r="Q280" s="23"/>
      <c r="R280" s="23"/>
      <c r="S280" s="23"/>
      <c r="T280" s="23"/>
      <c r="U280" s="23"/>
      <c r="V280" s="23"/>
      <c r="W280" s="23"/>
      <c r="X280" s="23"/>
      <c r="Y280" s="23"/>
      <c r="Z280" s="23"/>
      <c r="AA280" s="23"/>
      <c r="AB280" s="23"/>
      <c r="AC280" s="23"/>
      <c r="AD280" s="23"/>
      <c r="AE280" s="23"/>
      <c r="AF280" s="23"/>
      <c r="AG280" s="23"/>
    </row>
    <row r="281" ht="15.75" customHeight="1">
      <c r="A281" s="23"/>
      <c r="B281" s="23"/>
      <c r="C281" s="23"/>
      <c r="D281" s="23"/>
      <c r="E281" s="23"/>
      <c r="F281" s="23"/>
      <c r="G281" s="23"/>
      <c r="H281" s="23"/>
      <c r="I281" s="23"/>
      <c r="J281" s="23"/>
      <c r="K281" s="23"/>
      <c r="L281" s="23"/>
      <c r="M281" s="23"/>
      <c r="N281" s="23"/>
      <c r="O281" s="23"/>
      <c r="P281" s="23"/>
      <c r="Q281" s="23"/>
      <c r="R281" s="23"/>
      <c r="S281" s="23"/>
      <c r="T281" s="23"/>
      <c r="U281" s="23"/>
      <c r="V281" s="23"/>
      <c r="W281" s="23"/>
      <c r="X281" s="23"/>
      <c r="Y281" s="23"/>
      <c r="Z281" s="23"/>
      <c r="AA281" s="23"/>
      <c r="AB281" s="23"/>
      <c r="AC281" s="23"/>
      <c r="AD281" s="23"/>
      <c r="AE281" s="23"/>
      <c r="AF281" s="23"/>
      <c r="AG281" s="23"/>
    </row>
    <row r="282" ht="15.75" customHeight="1">
      <c r="A282" s="23"/>
      <c r="B282" s="23"/>
      <c r="C282" s="23"/>
      <c r="D282" s="23"/>
      <c r="E282" s="23"/>
      <c r="F282" s="23"/>
      <c r="G282" s="23"/>
      <c r="H282" s="23"/>
      <c r="I282" s="23"/>
      <c r="J282" s="23"/>
      <c r="K282" s="23"/>
      <c r="L282" s="23"/>
      <c r="M282" s="23"/>
      <c r="N282" s="23"/>
      <c r="O282" s="23"/>
      <c r="P282" s="23"/>
      <c r="Q282" s="23"/>
      <c r="R282" s="23"/>
      <c r="S282" s="23"/>
      <c r="T282" s="23"/>
      <c r="U282" s="23"/>
      <c r="V282" s="23"/>
      <c r="W282" s="23"/>
      <c r="X282" s="23"/>
      <c r="Y282" s="23"/>
      <c r="Z282" s="23"/>
      <c r="AA282" s="23"/>
      <c r="AB282" s="23"/>
      <c r="AC282" s="23"/>
      <c r="AD282" s="23"/>
      <c r="AE282" s="23"/>
      <c r="AF282" s="23"/>
      <c r="AG282" s="23"/>
    </row>
    <row r="283" ht="15.75" customHeight="1">
      <c r="A283" s="23"/>
      <c r="B283" s="23"/>
      <c r="C283" s="23"/>
      <c r="D283" s="23"/>
      <c r="E283" s="23"/>
      <c r="F283" s="23"/>
      <c r="G283" s="23"/>
      <c r="H283" s="23"/>
      <c r="I283" s="23"/>
      <c r="J283" s="23"/>
      <c r="K283" s="23"/>
      <c r="L283" s="23"/>
      <c r="M283" s="23"/>
      <c r="N283" s="23"/>
      <c r="O283" s="23"/>
      <c r="P283" s="23"/>
      <c r="Q283" s="23"/>
      <c r="R283" s="23"/>
      <c r="S283" s="23"/>
      <c r="T283" s="23"/>
      <c r="U283" s="23"/>
      <c r="V283" s="23"/>
      <c r="W283" s="23"/>
      <c r="X283" s="23"/>
      <c r="Y283" s="23"/>
      <c r="Z283" s="23"/>
      <c r="AA283" s="23"/>
      <c r="AB283" s="23"/>
      <c r="AC283" s="23"/>
      <c r="AD283" s="23"/>
      <c r="AE283" s="23"/>
      <c r="AF283" s="23"/>
      <c r="AG283" s="23"/>
    </row>
    <row r="284" ht="15.75" customHeight="1">
      <c r="A284" s="23"/>
      <c r="B284" s="23"/>
      <c r="C284" s="23"/>
      <c r="D284" s="23"/>
      <c r="E284" s="23"/>
      <c r="F284" s="23"/>
      <c r="G284" s="23"/>
      <c r="H284" s="23"/>
      <c r="I284" s="23"/>
      <c r="J284" s="23"/>
      <c r="K284" s="23"/>
      <c r="L284" s="23"/>
      <c r="M284" s="23"/>
      <c r="N284" s="23"/>
      <c r="O284" s="23"/>
      <c r="P284" s="23"/>
      <c r="Q284" s="23"/>
      <c r="R284" s="23"/>
      <c r="S284" s="23"/>
      <c r="T284" s="23"/>
      <c r="U284" s="23"/>
      <c r="V284" s="23"/>
      <c r="W284" s="23"/>
      <c r="X284" s="23"/>
      <c r="Y284" s="23"/>
      <c r="Z284" s="23"/>
      <c r="AA284" s="23"/>
      <c r="AB284" s="23"/>
      <c r="AC284" s="23"/>
      <c r="AD284" s="23"/>
      <c r="AE284" s="23"/>
      <c r="AF284" s="23"/>
      <c r="AG284" s="23"/>
    </row>
    <row r="285" ht="15.75" customHeight="1">
      <c r="A285" s="23"/>
      <c r="B285" s="23"/>
      <c r="C285" s="23"/>
      <c r="D285" s="23"/>
      <c r="E285" s="23"/>
      <c r="F285" s="23"/>
      <c r="G285" s="23"/>
      <c r="H285" s="23"/>
      <c r="I285" s="23"/>
      <c r="J285" s="23"/>
      <c r="K285" s="23"/>
      <c r="L285" s="23"/>
      <c r="M285" s="23"/>
      <c r="N285" s="23"/>
      <c r="O285" s="23"/>
      <c r="P285" s="23"/>
      <c r="Q285" s="23"/>
      <c r="R285" s="23"/>
      <c r="S285" s="23"/>
      <c r="T285" s="23"/>
      <c r="U285" s="23"/>
      <c r="V285" s="23"/>
      <c r="W285" s="23"/>
      <c r="X285" s="23"/>
      <c r="Y285" s="23"/>
      <c r="Z285" s="23"/>
      <c r="AA285" s="23"/>
      <c r="AB285" s="23"/>
      <c r="AC285" s="23"/>
      <c r="AD285" s="23"/>
      <c r="AE285" s="23"/>
      <c r="AF285" s="23"/>
      <c r="AG285" s="23"/>
    </row>
    <row r="286" ht="15.75" customHeight="1">
      <c r="A286" s="23"/>
      <c r="B286" s="23"/>
      <c r="C286" s="23"/>
      <c r="D286" s="23"/>
      <c r="E286" s="23"/>
      <c r="F286" s="23"/>
      <c r="G286" s="23"/>
      <c r="H286" s="23"/>
      <c r="I286" s="23"/>
      <c r="J286" s="23"/>
      <c r="K286" s="23"/>
      <c r="L286" s="23"/>
      <c r="M286" s="23"/>
      <c r="N286" s="23"/>
      <c r="O286" s="23"/>
      <c r="P286" s="23"/>
      <c r="Q286" s="23"/>
      <c r="R286" s="23"/>
      <c r="S286" s="23"/>
      <c r="T286" s="23"/>
      <c r="U286" s="23"/>
      <c r="V286" s="23"/>
      <c r="W286" s="23"/>
      <c r="X286" s="23"/>
      <c r="Y286" s="23"/>
      <c r="Z286" s="23"/>
      <c r="AA286" s="23"/>
      <c r="AB286" s="23"/>
      <c r="AC286" s="23"/>
      <c r="AD286" s="23"/>
      <c r="AE286" s="23"/>
      <c r="AF286" s="23"/>
      <c r="AG286" s="23"/>
    </row>
    <row r="287" ht="15.75" customHeight="1">
      <c r="A287" s="23"/>
      <c r="B287" s="23"/>
      <c r="C287" s="23"/>
      <c r="D287" s="23"/>
      <c r="E287" s="23"/>
      <c r="F287" s="23"/>
      <c r="G287" s="23"/>
      <c r="H287" s="23"/>
      <c r="I287" s="23"/>
      <c r="J287" s="23"/>
      <c r="K287" s="23"/>
      <c r="L287" s="23"/>
      <c r="M287" s="23"/>
      <c r="N287" s="23"/>
      <c r="O287" s="23"/>
      <c r="P287" s="23"/>
      <c r="Q287" s="23"/>
      <c r="R287" s="23"/>
      <c r="S287" s="23"/>
      <c r="T287" s="23"/>
      <c r="U287" s="23"/>
      <c r="V287" s="23"/>
      <c r="W287" s="23"/>
      <c r="X287" s="23"/>
      <c r="Y287" s="23"/>
      <c r="Z287" s="23"/>
      <c r="AA287" s="23"/>
      <c r="AB287" s="23"/>
      <c r="AC287" s="23"/>
      <c r="AD287" s="23"/>
      <c r="AE287" s="23"/>
      <c r="AF287" s="23"/>
      <c r="AG287" s="23"/>
    </row>
    <row r="288" ht="15.75" customHeight="1">
      <c r="E288" s="84"/>
      <c r="K288" s="84"/>
      <c r="M288" s="84"/>
      <c r="N288" s="84"/>
      <c r="P288" s="84"/>
      <c r="S288" s="84"/>
    </row>
    <row r="289" ht="15.75" customHeight="1">
      <c r="E289" s="84"/>
      <c r="K289" s="84"/>
      <c r="M289" s="84"/>
      <c r="N289" s="84"/>
      <c r="P289" s="84"/>
      <c r="S289" s="84"/>
    </row>
    <row r="290" ht="15.75" customHeight="1">
      <c r="E290" s="84"/>
      <c r="K290" s="84"/>
      <c r="M290" s="84"/>
      <c r="N290" s="84"/>
      <c r="P290" s="84"/>
      <c r="S290" s="84"/>
    </row>
    <row r="291" ht="15.75" customHeight="1">
      <c r="E291" s="84"/>
      <c r="K291" s="84"/>
      <c r="M291" s="84"/>
      <c r="N291" s="84"/>
      <c r="P291" s="84"/>
      <c r="S291" s="84"/>
    </row>
    <row r="292" ht="15.75" customHeight="1">
      <c r="E292" s="84"/>
      <c r="K292" s="84"/>
      <c r="M292" s="84"/>
      <c r="N292" s="84"/>
      <c r="P292" s="84"/>
      <c r="S292" s="84"/>
    </row>
    <row r="293" ht="15.75" customHeight="1">
      <c r="E293" s="84"/>
      <c r="K293" s="84"/>
      <c r="M293" s="84"/>
      <c r="N293" s="84"/>
      <c r="P293" s="84"/>
      <c r="S293" s="84"/>
    </row>
    <row r="294" ht="15.75" customHeight="1">
      <c r="E294" s="84"/>
      <c r="K294" s="84"/>
      <c r="M294" s="84"/>
      <c r="N294" s="84"/>
      <c r="P294" s="84"/>
      <c r="S294" s="84"/>
    </row>
    <row r="295" ht="15.75" customHeight="1">
      <c r="E295" s="84"/>
      <c r="K295" s="84"/>
      <c r="M295" s="84"/>
      <c r="N295" s="84"/>
      <c r="P295" s="84"/>
      <c r="S295" s="84"/>
    </row>
    <row r="296" ht="15.75" customHeight="1">
      <c r="E296" s="84"/>
      <c r="K296" s="84"/>
      <c r="M296" s="84"/>
      <c r="N296" s="84"/>
      <c r="P296" s="84"/>
      <c r="S296" s="84"/>
    </row>
    <row r="297" ht="15.75" customHeight="1">
      <c r="E297" s="84"/>
      <c r="K297" s="84"/>
      <c r="M297" s="84"/>
      <c r="N297" s="84"/>
      <c r="P297" s="84"/>
      <c r="S297" s="84"/>
    </row>
    <row r="298" ht="15.75" customHeight="1">
      <c r="E298" s="84"/>
      <c r="K298" s="84"/>
      <c r="M298" s="84"/>
      <c r="N298" s="84"/>
      <c r="P298" s="84"/>
      <c r="S298" s="84"/>
    </row>
    <row r="299" ht="15.75" customHeight="1">
      <c r="E299" s="84"/>
      <c r="K299" s="84"/>
      <c r="M299" s="84"/>
      <c r="N299" s="84"/>
      <c r="P299" s="84"/>
      <c r="S299" s="84"/>
    </row>
    <row r="300" ht="15.75" customHeight="1">
      <c r="E300" s="84"/>
      <c r="K300" s="84"/>
      <c r="M300" s="84"/>
      <c r="N300" s="84"/>
      <c r="P300" s="84"/>
      <c r="S300" s="84"/>
    </row>
    <row r="301" ht="15.75" customHeight="1">
      <c r="E301" s="84"/>
      <c r="K301" s="84"/>
      <c r="M301" s="84"/>
      <c r="N301" s="84"/>
      <c r="P301" s="84"/>
      <c r="S301" s="84"/>
    </row>
    <row r="302" ht="15.75" customHeight="1">
      <c r="E302" s="84"/>
      <c r="K302" s="84"/>
      <c r="M302" s="84"/>
      <c r="N302" s="84"/>
      <c r="P302" s="84"/>
      <c r="S302" s="84"/>
    </row>
    <row r="303" ht="15.75" customHeight="1">
      <c r="E303" s="84"/>
      <c r="K303" s="84"/>
      <c r="M303" s="84"/>
      <c r="N303" s="84"/>
      <c r="P303" s="84"/>
      <c r="S303" s="84"/>
    </row>
    <row r="304" ht="15.75" customHeight="1">
      <c r="E304" s="84"/>
      <c r="K304" s="84"/>
      <c r="M304" s="84"/>
      <c r="N304" s="84"/>
      <c r="P304" s="84"/>
      <c r="S304" s="84"/>
    </row>
    <row r="305" ht="15.75" customHeight="1">
      <c r="E305" s="84"/>
      <c r="K305" s="84"/>
      <c r="M305" s="84"/>
      <c r="N305" s="84"/>
      <c r="P305" s="84"/>
      <c r="S305" s="84"/>
    </row>
    <row r="306" ht="15.75" customHeight="1">
      <c r="E306" s="84"/>
      <c r="K306" s="84"/>
      <c r="M306" s="84"/>
      <c r="N306" s="84"/>
      <c r="P306" s="84"/>
      <c r="S306" s="84"/>
    </row>
    <row r="307" ht="15.75" customHeight="1">
      <c r="E307" s="84"/>
      <c r="K307" s="84"/>
      <c r="M307" s="84"/>
      <c r="N307" s="84"/>
      <c r="P307" s="84"/>
      <c r="S307" s="84"/>
    </row>
    <row r="308" ht="15.75" customHeight="1">
      <c r="E308" s="84"/>
      <c r="K308" s="84"/>
      <c r="M308" s="84"/>
      <c r="N308" s="84"/>
      <c r="P308" s="84"/>
      <c r="S308" s="84"/>
    </row>
    <row r="309" ht="15.75" customHeight="1">
      <c r="E309" s="84"/>
      <c r="K309" s="84"/>
      <c r="M309" s="84"/>
      <c r="N309" s="84"/>
      <c r="P309" s="84"/>
      <c r="S309" s="84"/>
    </row>
    <row r="310" ht="15.75" customHeight="1">
      <c r="E310" s="84"/>
      <c r="K310" s="84"/>
      <c r="M310" s="84"/>
      <c r="N310" s="84"/>
      <c r="P310" s="84"/>
      <c r="S310" s="84"/>
    </row>
    <row r="311" ht="15.75" customHeight="1">
      <c r="E311" s="84"/>
      <c r="K311" s="84"/>
      <c r="M311" s="84"/>
      <c r="N311" s="84"/>
      <c r="P311" s="84"/>
      <c r="S311" s="84"/>
    </row>
    <row r="312" ht="15.75" customHeight="1">
      <c r="E312" s="84"/>
      <c r="K312" s="84"/>
      <c r="M312" s="84"/>
      <c r="N312" s="84"/>
      <c r="P312" s="84"/>
      <c r="S312" s="84"/>
    </row>
    <row r="313" ht="15.75" customHeight="1">
      <c r="E313" s="84"/>
      <c r="K313" s="84"/>
      <c r="M313" s="84"/>
      <c r="N313" s="84"/>
      <c r="P313" s="84"/>
      <c r="S313" s="84"/>
    </row>
    <row r="314" ht="15.75" customHeight="1">
      <c r="E314" s="84"/>
      <c r="K314" s="84"/>
      <c r="M314" s="84"/>
      <c r="N314" s="84"/>
      <c r="P314" s="84"/>
      <c r="S314" s="84"/>
    </row>
    <row r="315" ht="15.75" customHeight="1">
      <c r="E315" s="84"/>
      <c r="K315" s="84"/>
      <c r="M315" s="84"/>
      <c r="N315" s="84"/>
      <c r="P315" s="84"/>
      <c r="S315" s="84"/>
    </row>
    <row r="316" ht="15.75" customHeight="1">
      <c r="E316" s="84"/>
      <c r="K316" s="84"/>
      <c r="M316" s="84"/>
      <c r="N316" s="84"/>
      <c r="P316" s="84"/>
      <c r="S316" s="84"/>
    </row>
    <row r="317" ht="15.75" customHeight="1">
      <c r="E317" s="84"/>
      <c r="K317" s="84"/>
      <c r="M317" s="84"/>
      <c r="N317" s="84"/>
      <c r="P317" s="84"/>
      <c r="S317" s="84"/>
    </row>
    <row r="318" ht="15.75" customHeight="1">
      <c r="E318" s="84"/>
      <c r="K318" s="84"/>
      <c r="M318" s="84"/>
      <c r="N318" s="84"/>
      <c r="P318" s="84"/>
      <c r="S318" s="84"/>
    </row>
    <row r="319" ht="15.75" customHeight="1">
      <c r="E319" s="84"/>
      <c r="K319" s="84"/>
      <c r="M319" s="84"/>
      <c r="N319" s="84"/>
      <c r="P319" s="84"/>
      <c r="S319" s="84"/>
    </row>
    <row r="320" ht="15.75" customHeight="1">
      <c r="E320" s="84"/>
      <c r="K320" s="84"/>
      <c r="M320" s="84"/>
      <c r="N320" s="84"/>
      <c r="P320" s="84"/>
      <c r="S320" s="84"/>
    </row>
    <row r="321" ht="15.75" customHeight="1">
      <c r="E321" s="84"/>
      <c r="K321" s="84"/>
      <c r="M321" s="84"/>
      <c r="N321" s="84"/>
      <c r="P321" s="84"/>
      <c r="S321" s="84"/>
    </row>
    <row r="322" ht="15.75" customHeight="1">
      <c r="E322" s="84"/>
      <c r="K322" s="84"/>
      <c r="M322" s="84"/>
      <c r="N322" s="84"/>
      <c r="P322" s="84"/>
      <c r="S322" s="84"/>
    </row>
    <row r="323" ht="15.75" customHeight="1">
      <c r="E323" s="84"/>
      <c r="K323" s="84"/>
      <c r="M323" s="84"/>
      <c r="N323" s="84"/>
      <c r="P323" s="84"/>
      <c r="S323" s="84"/>
    </row>
    <row r="324" ht="15.75" customHeight="1">
      <c r="E324" s="84"/>
      <c r="K324" s="84"/>
      <c r="M324" s="84"/>
      <c r="N324" s="84"/>
      <c r="P324" s="84"/>
      <c r="S324" s="84"/>
    </row>
    <row r="325" ht="15.75" customHeight="1">
      <c r="E325" s="84"/>
      <c r="K325" s="84"/>
      <c r="M325" s="84"/>
      <c r="N325" s="84"/>
      <c r="P325" s="84"/>
      <c r="S325" s="84"/>
    </row>
    <row r="326" ht="15.75" customHeight="1">
      <c r="E326" s="84"/>
      <c r="K326" s="84"/>
      <c r="M326" s="84"/>
      <c r="N326" s="84"/>
      <c r="P326" s="84"/>
      <c r="S326" s="84"/>
    </row>
    <row r="327" ht="15.75" customHeight="1">
      <c r="E327" s="84"/>
      <c r="K327" s="84"/>
      <c r="M327" s="84"/>
      <c r="N327" s="84"/>
      <c r="P327" s="84"/>
      <c r="S327" s="84"/>
    </row>
    <row r="328" ht="15.75" customHeight="1">
      <c r="E328" s="84"/>
      <c r="K328" s="84"/>
      <c r="M328" s="84"/>
      <c r="N328" s="84"/>
      <c r="P328" s="84"/>
      <c r="S328" s="84"/>
    </row>
    <row r="329" ht="15.75" customHeight="1">
      <c r="E329" s="84"/>
      <c r="K329" s="84"/>
      <c r="M329" s="84"/>
      <c r="N329" s="84"/>
      <c r="P329" s="84"/>
      <c r="S329" s="84"/>
    </row>
    <row r="330" ht="15.75" customHeight="1">
      <c r="E330" s="84"/>
      <c r="K330" s="84"/>
      <c r="M330" s="84"/>
      <c r="N330" s="84"/>
      <c r="P330" s="84"/>
      <c r="S330" s="84"/>
    </row>
    <row r="331" ht="15.75" customHeight="1">
      <c r="E331" s="84"/>
      <c r="K331" s="84"/>
      <c r="M331" s="84"/>
      <c r="N331" s="84"/>
      <c r="P331" s="84"/>
      <c r="S331" s="84"/>
    </row>
    <row r="332" ht="15.75" customHeight="1">
      <c r="E332" s="84"/>
      <c r="K332" s="84"/>
      <c r="M332" s="84"/>
      <c r="N332" s="84"/>
      <c r="P332" s="84"/>
      <c r="S332" s="84"/>
    </row>
    <row r="333" ht="15.75" customHeight="1">
      <c r="E333" s="84"/>
      <c r="K333" s="84"/>
      <c r="M333" s="84"/>
      <c r="N333" s="84"/>
      <c r="P333" s="84"/>
      <c r="S333" s="84"/>
    </row>
    <row r="334" ht="15.75" customHeight="1">
      <c r="E334" s="84"/>
      <c r="K334" s="84"/>
      <c r="M334" s="84"/>
      <c r="N334" s="84"/>
      <c r="P334" s="84"/>
      <c r="S334" s="84"/>
    </row>
    <row r="335" ht="15.75" customHeight="1">
      <c r="E335" s="84"/>
      <c r="K335" s="84"/>
      <c r="M335" s="84"/>
      <c r="N335" s="84"/>
      <c r="P335" s="84"/>
      <c r="S335" s="84"/>
    </row>
    <row r="336" ht="15.75" customHeight="1">
      <c r="E336" s="84"/>
      <c r="K336" s="84"/>
      <c r="M336" s="84"/>
      <c r="N336" s="84"/>
      <c r="P336" s="84"/>
      <c r="S336" s="84"/>
    </row>
    <row r="337" ht="15.75" customHeight="1">
      <c r="E337" s="84"/>
      <c r="K337" s="84"/>
      <c r="M337" s="84"/>
      <c r="N337" s="84"/>
      <c r="P337" s="84"/>
      <c r="S337" s="84"/>
    </row>
    <row r="338" ht="15.75" customHeight="1">
      <c r="E338" s="84"/>
      <c r="K338" s="84"/>
      <c r="M338" s="84"/>
      <c r="N338" s="84"/>
      <c r="P338" s="84"/>
      <c r="S338" s="84"/>
    </row>
    <row r="339" ht="15.75" customHeight="1">
      <c r="E339" s="84"/>
      <c r="K339" s="84"/>
      <c r="M339" s="84"/>
      <c r="N339" s="84"/>
      <c r="P339" s="84"/>
      <c r="S339" s="84"/>
    </row>
    <row r="340" ht="15.75" customHeight="1">
      <c r="E340" s="84"/>
      <c r="K340" s="84"/>
      <c r="M340" s="84"/>
      <c r="N340" s="84"/>
      <c r="P340" s="84"/>
      <c r="S340" s="84"/>
    </row>
    <row r="341" ht="15.75" customHeight="1">
      <c r="E341" s="84"/>
      <c r="K341" s="84"/>
      <c r="M341" s="84"/>
      <c r="N341" s="84"/>
      <c r="P341" s="84"/>
      <c r="S341" s="84"/>
    </row>
    <row r="342" ht="15.75" customHeight="1">
      <c r="E342" s="84"/>
      <c r="K342" s="84"/>
      <c r="M342" s="84"/>
      <c r="N342" s="84"/>
      <c r="P342" s="84"/>
      <c r="S342" s="84"/>
    </row>
    <row r="343" ht="15.75" customHeight="1">
      <c r="E343" s="84"/>
      <c r="K343" s="84"/>
      <c r="M343" s="84"/>
      <c r="N343" s="84"/>
      <c r="P343" s="84"/>
      <c r="S343" s="84"/>
    </row>
    <row r="344" ht="15.75" customHeight="1">
      <c r="E344" s="84"/>
      <c r="K344" s="84"/>
      <c r="M344" s="84"/>
      <c r="N344" s="84"/>
      <c r="P344" s="84"/>
      <c r="S344" s="84"/>
    </row>
    <row r="345" ht="15.75" customHeight="1">
      <c r="E345" s="84"/>
      <c r="K345" s="84"/>
      <c r="M345" s="84"/>
      <c r="N345" s="84"/>
      <c r="P345" s="84"/>
      <c r="S345" s="84"/>
    </row>
    <row r="346" ht="15.75" customHeight="1">
      <c r="E346" s="84"/>
      <c r="K346" s="84"/>
      <c r="M346" s="84"/>
      <c r="N346" s="84"/>
      <c r="P346" s="84"/>
      <c r="S346" s="84"/>
    </row>
    <row r="347" ht="15.75" customHeight="1">
      <c r="E347" s="84"/>
      <c r="K347" s="84"/>
      <c r="M347" s="84"/>
      <c r="N347" s="84"/>
      <c r="P347" s="84"/>
      <c r="S347" s="84"/>
    </row>
    <row r="348" ht="15.75" customHeight="1">
      <c r="E348" s="84"/>
      <c r="K348" s="84"/>
      <c r="M348" s="84"/>
      <c r="N348" s="84"/>
      <c r="P348" s="84"/>
      <c r="S348" s="84"/>
    </row>
    <row r="349" ht="15.75" customHeight="1">
      <c r="E349" s="84"/>
      <c r="K349" s="84"/>
      <c r="M349" s="84"/>
      <c r="N349" s="84"/>
      <c r="P349" s="84"/>
      <c r="S349" s="84"/>
    </row>
    <row r="350" ht="15.75" customHeight="1">
      <c r="E350" s="84"/>
      <c r="K350" s="84"/>
      <c r="M350" s="84"/>
      <c r="N350" s="84"/>
      <c r="P350" s="84"/>
      <c r="S350" s="84"/>
    </row>
    <row r="351" ht="15.75" customHeight="1">
      <c r="E351" s="84"/>
      <c r="K351" s="84"/>
      <c r="M351" s="84"/>
      <c r="N351" s="84"/>
      <c r="P351" s="84"/>
      <c r="S351" s="84"/>
    </row>
    <row r="352" ht="15.75" customHeight="1">
      <c r="E352" s="84"/>
      <c r="K352" s="84"/>
      <c r="M352" s="84"/>
      <c r="N352" s="84"/>
      <c r="P352" s="84"/>
      <c r="S352" s="84"/>
    </row>
    <row r="353" ht="15.75" customHeight="1">
      <c r="E353" s="84"/>
      <c r="K353" s="84"/>
      <c r="M353" s="84"/>
      <c r="N353" s="84"/>
      <c r="P353" s="84"/>
      <c r="S353" s="84"/>
    </row>
    <row r="354" ht="15.75" customHeight="1">
      <c r="E354" s="84"/>
      <c r="K354" s="84"/>
      <c r="M354" s="84"/>
      <c r="N354" s="84"/>
      <c r="P354" s="84"/>
      <c r="S354" s="84"/>
    </row>
    <row r="355" ht="15.75" customHeight="1">
      <c r="E355" s="84"/>
      <c r="K355" s="84"/>
      <c r="M355" s="84"/>
      <c r="N355" s="84"/>
      <c r="P355" s="84"/>
      <c r="S355" s="84"/>
    </row>
    <row r="356" ht="15.75" customHeight="1">
      <c r="E356" s="84"/>
      <c r="K356" s="84"/>
      <c r="M356" s="84"/>
      <c r="N356" s="84"/>
      <c r="P356" s="84"/>
      <c r="S356" s="84"/>
    </row>
    <row r="357" ht="15.75" customHeight="1">
      <c r="E357" s="84"/>
      <c r="K357" s="84"/>
      <c r="M357" s="84"/>
      <c r="N357" s="84"/>
      <c r="P357" s="84"/>
      <c r="S357" s="84"/>
    </row>
    <row r="358" ht="15.75" customHeight="1">
      <c r="E358" s="84"/>
      <c r="K358" s="84"/>
      <c r="M358" s="84"/>
      <c r="N358" s="84"/>
      <c r="P358" s="84"/>
      <c r="S358" s="84"/>
    </row>
    <row r="359" ht="15.75" customHeight="1">
      <c r="E359" s="84"/>
      <c r="K359" s="84"/>
      <c r="M359" s="84"/>
      <c r="N359" s="84"/>
      <c r="P359" s="84"/>
      <c r="S359" s="84"/>
    </row>
    <row r="360" ht="15.75" customHeight="1">
      <c r="E360" s="84"/>
      <c r="K360" s="84"/>
      <c r="M360" s="84"/>
      <c r="N360" s="84"/>
      <c r="P360" s="84"/>
      <c r="S360" s="84"/>
    </row>
    <row r="361" ht="15.75" customHeight="1">
      <c r="E361" s="84"/>
      <c r="K361" s="84"/>
      <c r="M361" s="84"/>
      <c r="N361" s="84"/>
      <c r="P361" s="84"/>
      <c r="S361" s="84"/>
    </row>
    <row r="362" ht="15.75" customHeight="1">
      <c r="E362" s="84"/>
      <c r="K362" s="84"/>
      <c r="M362" s="84"/>
      <c r="N362" s="84"/>
      <c r="P362" s="84"/>
      <c r="S362" s="84"/>
    </row>
    <row r="363" ht="15.75" customHeight="1">
      <c r="E363" s="84"/>
      <c r="K363" s="84"/>
      <c r="M363" s="84"/>
      <c r="N363" s="84"/>
      <c r="P363" s="84"/>
      <c r="S363" s="84"/>
    </row>
    <row r="364" ht="15.75" customHeight="1">
      <c r="E364" s="84"/>
      <c r="K364" s="84"/>
      <c r="M364" s="84"/>
      <c r="N364" s="84"/>
      <c r="P364" s="84"/>
      <c r="S364" s="84"/>
    </row>
    <row r="365" ht="15.75" customHeight="1">
      <c r="E365" s="84"/>
      <c r="K365" s="84"/>
      <c r="M365" s="84"/>
      <c r="N365" s="84"/>
      <c r="P365" s="84"/>
      <c r="S365" s="84"/>
    </row>
    <row r="366" ht="15.75" customHeight="1">
      <c r="E366" s="84"/>
      <c r="K366" s="84"/>
      <c r="M366" s="84"/>
      <c r="N366" s="84"/>
      <c r="P366" s="84"/>
      <c r="S366" s="84"/>
    </row>
    <row r="367" ht="15.75" customHeight="1">
      <c r="E367" s="84"/>
      <c r="K367" s="84"/>
      <c r="M367" s="84"/>
      <c r="N367" s="84"/>
      <c r="P367" s="84"/>
      <c r="S367" s="84"/>
    </row>
    <row r="368" ht="15.75" customHeight="1">
      <c r="E368" s="84"/>
      <c r="K368" s="84"/>
      <c r="M368" s="84"/>
      <c r="N368" s="84"/>
      <c r="P368" s="84"/>
      <c r="S368" s="84"/>
    </row>
    <row r="369" ht="15.75" customHeight="1">
      <c r="E369" s="84"/>
      <c r="K369" s="84"/>
      <c r="M369" s="84"/>
      <c r="N369" s="84"/>
      <c r="P369" s="84"/>
      <c r="S369" s="84"/>
    </row>
    <row r="370" ht="15.75" customHeight="1">
      <c r="E370" s="84"/>
      <c r="K370" s="84"/>
      <c r="M370" s="84"/>
      <c r="N370" s="84"/>
      <c r="P370" s="84"/>
      <c r="S370" s="84"/>
    </row>
    <row r="371" ht="15.75" customHeight="1">
      <c r="E371" s="84"/>
      <c r="K371" s="84"/>
      <c r="M371" s="84"/>
      <c r="N371" s="84"/>
      <c r="P371" s="84"/>
      <c r="S371" s="84"/>
    </row>
    <row r="372" ht="15.75" customHeight="1">
      <c r="E372" s="84"/>
      <c r="K372" s="84"/>
      <c r="M372" s="84"/>
      <c r="N372" s="84"/>
      <c r="P372" s="84"/>
      <c r="S372" s="84"/>
    </row>
    <row r="373" ht="15.75" customHeight="1">
      <c r="E373" s="84"/>
      <c r="K373" s="84"/>
      <c r="M373" s="84"/>
      <c r="N373" s="84"/>
      <c r="P373" s="84"/>
      <c r="S373" s="84"/>
    </row>
    <row r="374" ht="15.75" customHeight="1">
      <c r="E374" s="84"/>
      <c r="K374" s="84"/>
      <c r="M374" s="84"/>
      <c r="N374" s="84"/>
      <c r="P374" s="84"/>
      <c r="S374" s="84"/>
    </row>
    <row r="375" ht="15.75" customHeight="1">
      <c r="E375" s="84"/>
      <c r="K375" s="84"/>
      <c r="M375" s="84"/>
      <c r="N375" s="84"/>
      <c r="P375" s="84"/>
      <c r="S375" s="84"/>
    </row>
    <row r="376" ht="15.75" customHeight="1">
      <c r="E376" s="84"/>
      <c r="K376" s="84"/>
      <c r="M376" s="84"/>
      <c r="N376" s="84"/>
      <c r="P376" s="84"/>
      <c r="S376" s="84"/>
    </row>
    <row r="377" ht="15.75" customHeight="1">
      <c r="E377" s="84"/>
      <c r="K377" s="84"/>
      <c r="M377" s="84"/>
      <c r="N377" s="84"/>
      <c r="P377" s="84"/>
      <c r="S377" s="84"/>
    </row>
    <row r="378" ht="15.75" customHeight="1">
      <c r="E378" s="84"/>
      <c r="K378" s="84"/>
      <c r="M378" s="84"/>
      <c r="N378" s="84"/>
      <c r="P378" s="84"/>
      <c r="S378" s="84"/>
    </row>
    <row r="379" ht="15.75" customHeight="1">
      <c r="E379" s="84"/>
      <c r="K379" s="84"/>
      <c r="M379" s="84"/>
      <c r="N379" s="84"/>
      <c r="P379" s="84"/>
      <c r="S379" s="84"/>
    </row>
    <row r="380" ht="15.75" customHeight="1">
      <c r="E380" s="84"/>
      <c r="K380" s="84"/>
      <c r="M380" s="84"/>
      <c r="N380" s="84"/>
      <c r="P380" s="84"/>
      <c r="S380" s="84"/>
    </row>
    <row r="381" ht="15.75" customHeight="1">
      <c r="E381" s="84"/>
      <c r="K381" s="84"/>
      <c r="M381" s="84"/>
      <c r="N381" s="84"/>
      <c r="P381" s="84"/>
      <c r="S381" s="84"/>
    </row>
    <row r="382" ht="15.75" customHeight="1">
      <c r="E382" s="84"/>
      <c r="K382" s="84"/>
      <c r="M382" s="84"/>
      <c r="N382" s="84"/>
      <c r="P382" s="84"/>
      <c r="S382" s="84"/>
    </row>
    <row r="383" ht="15.75" customHeight="1">
      <c r="E383" s="84"/>
      <c r="K383" s="84"/>
      <c r="M383" s="84"/>
      <c r="N383" s="84"/>
      <c r="P383" s="84"/>
      <c r="S383" s="84"/>
    </row>
    <row r="384" ht="15.75" customHeight="1">
      <c r="E384" s="84"/>
      <c r="K384" s="84"/>
      <c r="M384" s="84"/>
      <c r="N384" s="84"/>
      <c r="P384" s="84"/>
      <c r="S384" s="84"/>
    </row>
    <row r="385" ht="15.75" customHeight="1">
      <c r="E385" s="84"/>
      <c r="K385" s="84"/>
      <c r="M385" s="84"/>
      <c r="N385" s="84"/>
      <c r="P385" s="84"/>
      <c r="S385" s="84"/>
    </row>
    <row r="386" ht="15.75" customHeight="1">
      <c r="E386" s="84"/>
      <c r="K386" s="84"/>
      <c r="M386" s="84"/>
      <c r="N386" s="84"/>
      <c r="P386" s="84"/>
      <c r="S386" s="84"/>
    </row>
    <row r="387" ht="15.75" customHeight="1">
      <c r="E387" s="84"/>
      <c r="K387" s="84"/>
      <c r="M387" s="84"/>
      <c r="N387" s="84"/>
      <c r="P387" s="84"/>
      <c r="S387" s="84"/>
    </row>
    <row r="388" ht="15.75" customHeight="1">
      <c r="E388" s="84"/>
      <c r="K388" s="84"/>
      <c r="M388" s="84"/>
      <c r="N388" s="84"/>
      <c r="P388" s="84"/>
      <c r="S388" s="84"/>
    </row>
    <row r="389" ht="15.75" customHeight="1">
      <c r="E389" s="84"/>
      <c r="K389" s="84"/>
      <c r="M389" s="84"/>
      <c r="N389" s="84"/>
      <c r="P389" s="84"/>
      <c r="S389" s="84"/>
    </row>
    <row r="390" ht="15.75" customHeight="1">
      <c r="E390" s="84"/>
      <c r="K390" s="84"/>
      <c r="M390" s="84"/>
      <c r="N390" s="84"/>
      <c r="P390" s="84"/>
      <c r="S390" s="84"/>
    </row>
    <row r="391" ht="15.75" customHeight="1">
      <c r="E391" s="84"/>
      <c r="K391" s="84"/>
      <c r="M391" s="84"/>
      <c r="N391" s="84"/>
      <c r="P391" s="84"/>
      <c r="S391" s="84"/>
    </row>
    <row r="392" ht="15.75" customHeight="1">
      <c r="E392" s="84"/>
      <c r="K392" s="84"/>
      <c r="M392" s="84"/>
      <c r="N392" s="84"/>
      <c r="P392" s="84"/>
      <c r="S392" s="84"/>
    </row>
    <row r="393" ht="15.75" customHeight="1">
      <c r="E393" s="84"/>
      <c r="K393" s="84"/>
      <c r="M393" s="84"/>
      <c r="N393" s="84"/>
      <c r="P393" s="84"/>
      <c r="S393" s="84"/>
    </row>
    <row r="394" ht="15.75" customHeight="1">
      <c r="E394" s="84"/>
      <c r="K394" s="84"/>
      <c r="M394" s="84"/>
      <c r="N394" s="84"/>
      <c r="P394" s="84"/>
      <c r="S394" s="84"/>
    </row>
    <row r="395" ht="15.75" customHeight="1">
      <c r="E395" s="84"/>
      <c r="K395" s="84"/>
      <c r="M395" s="84"/>
      <c r="N395" s="84"/>
      <c r="P395" s="84"/>
      <c r="S395" s="84"/>
    </row>
    <row r="396" ht="15.75" customHeight="1">
      <c r="E396" s="84"/>
      <c r="K396" s="84"/>
      <c r="M396" s="84"/>
      <c r="N396" s="84"/>
      <c r="P396" s="84"/>
      <c r="S396" s="84"/>
    </row>
    <row r="397" ht="15.75" customHeight="1">
      <c r="E397" s="84"/>
      <c r="K397" s="84"/>
      <c r="M397" s="84"/>
      <c r="N397" s="84"/>
      <c r="P397" s="84"/>
      <c r="S397" s="84"/>
    </row>
    <row r="398" ht="15.75" customHeight="1">
      <c r="E398" s="84"/>
      <c r="K398" s="84"/>
      <c r="M398" s="84"/>
      <c r="N398" s="84"/>
      <c r="P398" s="84"/>
      <c r="S398" s="84"/>
    </row>
    <row r="399" ht="15.75" customHeight="1">
      <c r="E399" s="84"/>
      <c r="K399" s="84"/>
      <c r="M399" s="84"/>
      <c r="N399" s="84"/>
      <c r="P399" s="84"/>
      <c r="S399" s="84"/>
    </row>
    <row r="400" ht="15.75" customHeight="1">
      <c r="E400" s="84"/>
      <c r="K400" s="84"/>
      <c r="M400" s="84"/>
      <c r="N400" s="84"/>
      <c r="P400" s="84"/>
      <c r="S400" s="84"/>
    </row>
    <row r="401" ht="15.75" customHeight="1">
      <c r="E401" s="84"/>
      <c r="K401" s="84"/>
      <c r="M401" s="84"/>
      <c r="N401" s="84"/>
      <c r="P401" s="84"/>
      <c r="S401" s="84"/>
    </row>
    <row r="402" ht="15.75" customHeight="1">
      <c r="E402" s="84"/>
      <c r="K402" s="84"/>
      <c r="M402" s="84"/>
      <c r="N402" s="84"/>
      <c r="P402" s="84"/>
      <c r="S402" s="84"/>
    </row>
    <row r="403" ht="15.75" customHeight="1">
      <c r="E403" s="84"/>
      <c r="K403" s="84"/>
      <c r="M403" s="84"/>
      <c r="N403" s="84"/>
      <c r="P403" s="84"/>
      <c r="S403" s="84"/>
    </row>
    <row r="404" ht="15.75" customHeight="1">
      <c r="E404" s="84"/>
      <c r="K404" s="84"/>
      <c r="M404" s="84"/>
      <c r="N404" s="84"/>
      <c r="P404" s="84"/>
      <c r="S404" s="84"/>
    </row>
    <row r="405" ht="15.75" customHeight="1">
      <c r="E405" s="84"/>
      <c r="K405" s="84"/>
      <c r="M405" s="84"/>
      <c r="N405" s="84"/>
      <c r="P405" s="84"/>
      <c r="S405" s="84"/>
    </row>
    <row r="406" ht="15.75" customHeight="1">
      <c r="E406" s="84"/>
      <c r="K406" s="84"/>
      <c r="M406" s="84"/>
      <c r="N406" s="84"/>
      <c r="P406" s="84"/>
      <c r="S406" s="84"/>
    </row>
    <row r="407" ht="15.75" customHeight="1">
      <c r="E407" s="84"/>
      <c r="K407" s="84"/>
      <c r="M407" s="84"/>
      <c r="N407" s="84"/>
      <c r="P407" s="84"/>
      <c r="S407" s="84"/>
    </row>
    <row r="408" ht="15.75" customHeight="1">
      <c r="E408" s="84"/>
      <c r="K408" s="84"/>
      <c r="M408" s="84"/>
      <c r="N408" s="84"/>
      <c r="P408" s="84"/>
      <c r="S408" s="84"/>
    </row>
    <row r="409" ht="15.75" customHeight="1">
      <c r="E409" s="84"/>
      <c r="K409" s="84"/>
      <c r="M409" s="84"/>
      <c r="N409" s="84"/>
      <c r="P409" s="84"/>
      <c r="S409" s="84"/>
    </row>
    <row r="410" ht="15.75" customHeight="1">
      <c r="E410" s="84"/>
      <c r="K410" s="84"/>
      <c r="M410" s="84"/>
      <c r="N410" s="84"/>
      <c r="P410" s="84"/>
      <c r="S410" s="84"/>
    </row>
    <row r="411" ht="15.75" customHeight="1">
      <c r="E411" s="84"/>
      <c r="K411" s="84"/>
      <c r="M411" s="84"/>
      <c r="N411" s="84"/>
      <c r="P411" s="84"/>
      <c r="S411" s="84"/>
    </row>
    <row r="412" ht="15.75" customHeight="1">
      <c r="E412" s="84"/>
      <c r="K412" s="84"/>
      <c r="M412" s="84"/>
      <c r="N412" s="84"/>
      <c r="P412" s="84"/>
      <c r="S412" s="84"/>
    </row>
    <row r="413" ht="15.75" customHeight="1">
      <c r="E413" s="84"/>
      <c r="K413" s="84"/>
      <c r="M413" s="84"/>
      <c r="N413" s="84"/>
      <c r="P413" s="84"/>
      <c r="S413" s="84"/>
    </row>
    <row r="414" ht="15.75" customHeight="1">
      <c r="E414" s="84"/>
      <c r="K414" s="84"/>
      <c r="M414" s="84"/>
      <c r="N414" s="84"/>
      <c r="P414" s="84"/>
      <c r="S414" s="84"/>
    </row>
    <row r="415" ht="15.75" customHeight="1">
      <c r="E415" s="84"/>
      <c r="K415" s="84"/>
      <c r="M415" s="84"/>
      <c r="N415" s="84"/>
      <c r="P415" s="84"/>
      <c r="S415" s="84"/>
    </row>
    <row r="416" ht="15.75" customHeight="1">
      <c r="E416" s="84"/>
      <c r="K416" s="84"/>
      <c r="M416" s="84"/>
      <c r="N416" s="84"/>
      <c r="P416" s="84"/>
      <c r="S416" s="84"/>
    </row>
    <row r="417" ht="15.75" customHeight="1">
      <c r="E417" s="84"/>
      <c r="K417" s="84"/>
      <c r="M417" s="84"/>
      <c r="N417" s="84"/>
      <c r="P417" s="84"/>
      <c r="S417" s="84"/>
    </row>
    <row r="418" ht="15.75" customHeight="1">
      <c r="E418" s="84"/>
      <c r="K418" s="84"/>
      <c r="M418" s="84"/>
      <c r="N418" s="84"/>
      <c r="P418" s="84"/>
      <c r="S418" s="84"/>
    </row>
    <row r="419" ht="15.75" customHeight="1">
      <c r="E419" s="84"/>
      <c r="K419" s="84"/>
      <c r="M419" s="84"/>
      <c r="N419" s="84"/>
      <c r="P419" s="84"/>
      <c r="S419" s="84"/>
    </row>
    <row r="420" ht="15.75" customHeight="1">
      <c r="E420" s="84"/>
      <c r="K420" s="84"/>
      <c r="M420" s="84"/>
      <c r="N420" s="84"/>
      <c r="P420" s="84"/>
      <c r="S420" s="84"/>
    </row>
    <row r="421" ht="15.75" customHeight="1">
      <c r="E421" s="84"/>
      <c r="K421" s="84"/>
      <c r="M421" s="84"/>
      <c r="N421" s="84"/>
      <c r="P421" s="84"/>
      <c r="S421" s="84"/>
    </row>
    <row r="422" ht="15.75" customHeight="1">
      <c r="E422" s="84"/>
      <c r="K422" s="84"/>
      <c r="M422" s="84"/>
      <c r="N422" s="84"/>
      <c r="P422" s="84"/>
      <c r="S422" s="84"/>
    </row>
    <row r="423" ht="15.75" customHeight="1">
      <c r="E423" s="84"/>
      <c r="K423" s="84"/>
      <c r="M423" s="84"/>
      <c r="N423" s="84"/>
      <c r="P423" s="84"/>
      <c r="S423" s="84"/>
    </row>
    <row r="424" ht="15.75" customHeight="1">
      <c r="E424" s="84"/>
      <c r="K424" s="84"/>
      <c r="M424" s="84"/>
      <c r="N424" s="84"/>
      <c r="P424" s="84"/>
      <c r="S424" s="84"/>
    </row>
    <row r="425" ht="15.75" customHeight="1">
      <c r="E425" s="84"/>
      <c r="K425" s="84"/>
      <c r="M425" s="84"/>
      <c r="N425" s="84"/>
      <c r="P425" s="84"/>
      <c r="S425" s="84"/>
    </row>
    <row r="426" ht="15.75" customHeight="1">
      <c r="E426" s="84"/>
      <c r="K426" s="84"/>
      <c r="M426" s="84"/>
      <c r="N426" s="84"/>
      <c r="P426" s="84"/>
      <c r="S426" s="84"/>
    </row>
    <row r="427" ht="15.75" customHeight="1">
      <c r="E427" s="84"/>
      <c r="K427" s="84"/>
      <c r="M427" s="84"/>
      <c r="N427" s="84"/>
      <c r="P427" s="84"/>
      <c r="S427" s="84"/>
    </row>
    <row r="428" ht="15.75" customHeight="1">
      <c r="E428" s="84"/>
      <c r="K428" s="84"/>
      <c r="M428" s="84"/>
      <c r="N428" s="84"/>
      <c r="P428" s="84"/>
      <c r="S428" s="84"/>
    </row>
    <row r="429" ht="15.75" customHeight="1">
      <c r="E429" s="84"/>
      <c r="K429" s="84"/>
      <c r="M429" s="84"/>
      <c r="N429" s="84"/>
      <c r="P429" s="84"/>
      <c r="S429" s="84"/>
    </row>
    <row r="430" ht="15.75" customHeight="1">
      <c r="E430" s="84"/>
      <c r="K430" s="84"/>
      <c r="M430" s="84"/>
      <c r="N430" s="84"/>
      <c r="P430" s="84"/>
      <c r="S430" s="84"/>
    </row>
    <row r="431" ht="15.75" customHeight="1">
      <c r="E431" s="84"/>
      <c r="K431" s="84"/>
      <c r="M431" s="84"/>
      <c r="N431" s="84"/>
      <c r="P431" s="84"/>
      <c r="S431" s="84"/>
    </row>
    <row r="432" ht="15.75" customHeight="1">
      <c r="E432" s="84"/>
      <c r="K432" s="84"/>
      <c r="M432" s="84"/>
      <c r="N432" s="84"/>
      <c r="P432" s="84"/>
      <c r="S432" s="84"/>
    </row>
    <row r="433" ht="15.75" customHeight="1">
      <c r="E433" s="84"/>
      <c r="K433" s="84"/>
      <c r="M433" s="84"/>
      <c r="N433" s="84"/>
      <c r="P433" s="84"/>
      <c r="S433" s="84"/>
    </row>
    <row r="434" ht="15.75" customHeight="1">
      <c r="E434" s="84"/>
      <c r="K434" s="84"/>
      <c r="M434" s="84"/>
      <c r="N434" s="84"/>
      <c r="P434" s="84"/>
      <c r="S434" s="84"/>
    </row>
    <row r="435" ht="15.75" customHeight="1">
      <c r="E435" s="84"/>
      <c r="K435" s="84"/>
      <c r="M435" s="84"/>
      <c r="N435" s="84"/>
      <c r="P435" s="84"/>
      <c r="S435" s="84"/>
    </row>
    <row r="436" ht="15.75" customHeight="1">
      <c r="E436" s="84"/>
      <c r="K436" s="84"/>
      <c r="M436" s="84"/>
      <c r="N436" s="84"/>
      <c r="P436" s="84"/>
      <c r="S436" s="84"/>
    </row>
    <row r="437" ht="15.75" customHeight="1">
      <c r="E437" s="84"/>
      <c r="K437" s="84"/>
      <c r="M437" s="84"/>
      <c r="N437" s="84"/>
      <c r="P437" s="84"/>
      <c r="S437" s="84"/>
    </row>
    <row r="438" ht="15.75" customHeight="1">
      <c r="E438" s="84"/>
      <c r="K438" s="84"/>
      <c r="M438" s="84"/>
      <c r="N438" s="84"/>
      <c r="P438" s="84"/>
      <c r="S438" s="84"/>
    </row>
    <row r="439" ht="15.75" customHeight="1">
      <c r="E439" s="84"/>
      <c r="K439" s="84"/>
      <c r="M439" s="84"/>
      <c r="N439" s="84"/>
      <c r="P439" s="84"/>
      <c r="S439" s="84"/>
    </row>
    <row r="440" ht="15.75" customHeight="1">
      <c r="E440" s="84"/>
      <c r="K440" s="84"/>
      <c r="M440" s="84"/>
      <c r="N440" s="84"/>
      <c r="P440" s="84"/>
      <c r="S440" s="84"/>
    </row>
    <row r="441" ht="15.75" customHeight="1">
      <c r="E441" s="84"/>
      <c r="K441" s="84"/>
      <c r="M441" s="84"/>
      <c r="N441" s="84"/>
      <c r="P441" s="84"/>
      <c r="S441" s="84"/>
    </row>
    <row r="442" ht="15.75" customHeight="1">
      <c r="E442" s="84"/>
      <c r="K442" s="84"/>
      <c r="M442" s="84"/>
      <c r="N442" s="84"/>
      <c r="P442" s="84"/>
      <c r="S442" s="84"/>
    </row>
    <row r="443" ht="15.75" customHeight="1">
      <c r="E443" s="84"/>
      <c r="K443" s="84"/>
      <c r="M443" s="84"/>
      <c r="N443" s="84"/>
      <c r="P443" s="84"/>
      <c r="S443" s="84"/>
    </row>
    <row r="444" ht="15.75" customHeight="1">
      <c r="E444" s="84"/>
      <c r="K444" s="84"/>
      <c r="M444" s="84"/>
      <c r="N444" s="84"/>
      <c r="P444" s="84"/>
      <c r="S444" s="84"/>
    </row>
    <row r="445" ht="15.75" customHeight="1">
      <c r="E445" s="84"/>
      <c r="K445" s="84"/>
      <c r="M445" s="84"/>
      <c r="N445" s="84"/>
      <c r="P445" s="84"/>
      <c r="S445" s="84"/>
    </row>
    <row r="446" ht="15.75" customHeight="1">
      <c r="E446" s="84"/>
      <c r="K446" s="84"/>
      <c r="M446" s="84"/>
      <c r="N446" s="84"/>
      <c r="P446" s="84"/>
      <c r="S446" s="84"/>
    </row>
    <row r="447" ht="15.75" customHeight="1">
      <c r="E447" s="84"/>
      <c r="K447" s="84"/>
      <c r="M447" s="84"/>
      <c r="N447" s="84"/>
      <c r="P447" s="84"/>
      <c r="S447" s="84"/>
    </row>
    <row r="448" ht="15.75" customHeight="1">
      <c r="E448" s="84"/>
      <c r="K448" s="84"/>
      <c r="M448" s="84"/>
      <c r="N448" s="84"/>
      <c r="P448" s="84"/>
      <c r="S448" s="84"/>
    </row>
    <row r="449" ht="15.75" customHeight="1">
      <c r="E449" s="84"/>
      <c r="K449" s="84"/>
      <c r="M449" s="84"/>
      <c r="N449" s="84"/>
      <c r="P449" s="84"/>
      <c r="S449" s="84"/>
    </row>
    <row r="450" ht="15.75" customHeight="1">
      <c r="E450" s="84"/>
      <c r="K450" s="84"/>
      <c r="M450" s="84"/>
      <c r="N450" s="84"/>
      <c r="P450" s="84"/>
      <c r="S450" s="84"/>
    </row>
    <row r="451" ht="15.75" customHeight="1">
      <c r="E451" s="84"/>
      <c r="K451" s="84"/>
      <c r="M451" s="84"/>
      <c r="N451" s="84"/>
      <c r="P451" s="84"/>
      <c r="S451" s="84"/>
    </row>
    <row r="452" ht="15.75" customHeight="1">
      <c r="E452" s="84"/>
      <c r="K452" s="84"/>
      <c r="M452" s="84"/>
      <c r="N452" s="84"/>
      <c r="P452" s="84"/>
      <c r="S452" s="84"/>
    </row>
    <row r="453" ht="15.75" customHeight="1">
      <c r="E453" s="84"/>
      <c r="K453" s="84"/>
      <c r="M453" s="84"/>
      <c r="N453" s="84"/>
      <c r="P453" s="84"/>
      <c r="S453" s="84"/>
    </row>
    <row r="454" ht="15.75" customHeight="1">
      <c r="E454" s="84"/>
      <c r="K454" s="84"/>
      <c r="M454" s="84"/>
      <c r="N454" s="84"/>
      <c r="P454" s="84"/>
      <c r="S454" s="84"/>
    </row>
    <row r="455" ht="15.75" customHeight="1">
      <c r="E455" s="84"/>
      <c r="K455" s="84"/>
      <c r="M455" s="84"/>
      <c r="N455" s="84"/>
      <c r="P455" s="84"/>
      <c r="S455" s="84"/>
    </row>
    <row r="456" ht="15.75" customHeight="1">
      <c r="E456" s="84"/>
      <c r="K456" s="84"/>
      <c r="M456" s="84"/>
      <c r="N456" s="84"/>
      <c r="P456" s="84"/>
      <c r="S456" s="84"/>
    </row>
    <row r="457" ht="15.75" customHeight="1">
      <c r="E457" s="84"/>
      <c r="K457" s="84"/>
      <c r="M457" s="84"/>
      <c r="N457" s="84"/>
      <c r="P457" s="84"/>
      <c r="S457" s="84"/>
    </row>
    <row r="458" ht="15.75" customHeight="1">
      <c r="E458" s="84"/>
      <c r="K458" s="84"/>
      <c r="M458" s="84"/>
      <c r="N458" s="84"/>
      <c r="P458" s="84"/>
      <c r="S458" s="84"/>
    </row>
    <row r="459" ht="15.75" customHeight="1">
      <c r="E459" s="84"/>
      <c r="K459" s="84"/>
      <c r="M459" s="84"/>
      <c r="N459" s="84"/>
      <c r="P459" s="84"/>
      <c r="S459" s="84"/>
    </row>
    <row r="460" ht="15.75" customHeight="1">
      <c r="E460" s="84"/>
      <c r="K460" s="84"/>
      <c r="M460" s="84"/>
      <c r="N460" s="84"/>
      <c r="P460" s="84"/>
      <c r="S460" s="84"/>
    </row>
    <row r="461" ht="15.75" customHeight="1">
      <c r="E461" s="84"/>
      <c r="K461" s="84"/>
      <c r="M461" s="84"/>
      <c r="N461" s="84"/>
      <c r="P461" s="84"/>
      <c r="S461" s="84"/>
    </row>
    <row r="462" ht="15.75" customHeight="1">
      <c r="E462" s="84"/>
      <c r="K462" s="84"/>
      <c r="M462" s="84"/>
      <c r="N462" s="84"/>
      <c r="P462" s="84"/>
      <c r="S462" s="84"/>
    </row>
    <row r="463" ht="15.75" customHeight="1">
      <c r="E463" s="84"/>
      <c r="K463" s="84"/>
      <c r="M463" s="84"/>
      <c r="N463" s="84"/>
      <c r="P463" s="84"/>
      <c r="S463" s="84"/>
    </row>
    <row r="464" ht="15.75" customHeight="1">
      <c r="E464" s="84"/>
      <c r="K464" s="84"/>
      <c r="M464" s="84"/>
      <c r="N464" s="84"/>
      <c r="P464" s="84"/>
      <c r="S464" s="84"/>
    </row>
    <row r="465" ht="15.75" customHeight="1">
      <c r="E465" s="84"/>
      <c r="K465" s="84"/>
      <c r="M465" s="84"/>
      <c r="N465" s="84"/>
      <c r="P465" s="84"/>
      <c r="S465" s="84"/>
    </row>
    <row r="466" ht="15.75" customHeight="1">
      <c r="E466" s="84"/>
      <c r="K466" s="84"/>
      <c r="M466" s="84"/>
      <c r="N466" s="84"/>
      <c r="P466" s="84"/>
      <c r="S466" s="84"/>
    </row>
    <row r="467" ht="15.75" customHeight="1">
      <c r="E467" s="84"/>
      <c r="K467" s="84"/>
      <c r="M467" s="84"/>
      <c r="N467" s="84"/>
      <c r="P467" s="84"/>
      <c r="S467" s="84"/>
    </row>
    <row r="468" ht="15.75" customHeight="1">
      <c r="E468" s="84"/>
      <c r="K468" s="84"/>
      <c r="M468" s="84"/>
      <c r="N468" s="84"/>
      <c r="P468" s="84"/>
      <c r="S468" s="84"/>
    </row>
    <row r="469" ht="15.75" customHeight="1">
      <c r="E469" s="84"/>
      <c r="K469" s="84"/>
      <c r="M469" s="84"/>
      <c r="N469" s="84"/>
      <c r="P469" s="84"/>
      <c r="S469" s="84"/>
    </row>
    <row r="470" ht="15.75" customHeight="1">
      <c r="E470" s="84"/>
      <c r="K470" s="84"/>
      <c r="M470" s="84"/>
      <c r="N470" s="84"/>
      <c r="P470" s="84"/>
      <c r="S470" s="84"/>
    </row>
    <row r="471" ht="15.75" customHeight="1">
      <c r="E471" s="84"/>
      <c r="K471" s="84"/>
      <c r="M471" s="84"/>
      <c r="N471" s="84"/>
      <c r="P471" s="84"/>
      <c r="S471" s="84"/>
    </row>
    <row r="472" ht="15.75" customHeight="1">
      <c r="E472" s="84"/>
      <c r="K472" s="84"/>
      <c r="M472" s="84"/>
      <c r="N472" s="84"/>
      <c r="P472" s="84"/>
      <c r="S472" s="84"/>
    </row>
    <row r="473" ht="15.75" customHeight="1">
      <c r="E473" s="84"/>
      <c r="K473" s="84"/>
      <c r="M473" s="84"/>
      <c r="N473" s="84"/>
      <c r="P473" s="84"/>
      <c r="S473" s="84"/>
    </row>
    <row r="474" ht="15.75" customHeight="1">
      <c r="E474" s="84"/>
      <c r="K474" s="84"/>
      <c r="M474" s="84"/>
      <c r="N474" s="84"/>
      <c r="P474" s="84"/>
      <c r="S474" s="84"/>
    </row>
    <row r="475" ht="15.75" customHeight="1">
      <c r="E475" s="84"/>
      <c r="K475" s="84"/>
      <c r="M475" s="84"/>
      <c r="N475" s="84"/>
      <c r="P475" s="84"/>
      <c r="S475" s="84"/>
    </row>
    <row r="476" ht="15.75" customHeight="1">
      <c r="E476" s="84"/>
      <c r="K476" s="84"/>
      <c r="M476" s="84"/>
      <c r="N476" s="84"/>
      <c r="P476" s="84"/>
      <c r="S476" s="84"/>
    </row>
    <row r="477" ht="15.75" customHeight="1">
      <c r="E477" s="84"/>
      <c r="K477" s="84"/>
      <c r="M477" s="84"/>
      <c r="N477" s="84"/>
      <c r="P477" s="84"/>
      <c r="S477" s="84"/>
    </row>
    <row r="478" ht="15.75" customHeight="1">
      <c r="E478" s="84"/>
      <c r="K478" s="84"/>
      <c r="M478" s="84"/>
      <c r="N478" s="84"/>
      <c r="P478" s="84"/>
      <c r="S478" s="84"/>
    </row>
    <row r="479" ht="15.75" customHeight="1">
      <c r="E479" s="84"/>
      <c r="K479" s="84"/>
      <c r="M479" s="84"/>
      <c r="N479" s="84"/>
      <c r="P479" s="84"/>
      <c r="S479" s="84"/>
    </row>
    <row r="480" ht="15.75" customHeight="1">
      <c r="E480" s="84"/>
      <c r="K480" s="84"/>
      <c r="M480" s="84"/>
      <c r="N480" s="84"/>
      <c r="P480" s="84"/>
      <c r="S480" s="84"/>
    </row>
    <row r="481" ht="15.75" customHeight="1">
      <c r="E481" s="84"/>
      <c r="K481" s="84"/>
      <c r="M481" s="84"/>
      <c r="N481" s="84"/>
      <c r="P481" s="84"/>
      <c r="S481" s="84"/>
    </row>
    <row r="482" ht="15.75" customHeight="1">
      <c r="E482" s="84"/>
      <c r="K482" s="84"/>
      <c r="M482" s="84"/>
      <c r="N482" s="84"/>
      <c r="P482" s="84"/>
      <c r="S482" s="84"/>
    </row>
    <row r="483" ht="15.75" customHeight="1">
      <c r="E483" s="84"/>
      <c r="K483" s="84"/>
      <c r="M483" s="84"/>
      <c r="N483" s="84"/>
      <c r="P483" s="84"/>
      <c r="S483" s="84"/>
    </row>
    <row r="484" ht="15.75" customHeight="1">
      <c r="E484" s="84"/>
      <c r="K484" s="84"/>
      <c r="M484" s="84"/>
      <c r="N484" s="84"/>
      <c r="P484" s="84"/>
      <c r="S484" s="84"/>
    </row>
    <row r="485" ht="15.75" customHeight="1">
      <c r="E485" s="84"/>
      <c r="K485" s="84"/>
      <c r="M485" s="84"/>
      <c r="N485" s="84"/>
      <c r="P485" s="84"/>
      <c r="S485" s="84"/>
    </row>
    <row r="486" ht="15.75" customHeight="1">
      <c r="E486" s="84"/>
      <c r="K486" s="84"/>
      <c r="M486" s="84"/>
      <c r="N486" s="84"/>
      <c r="P486" s="84"/>
      <c r="S486" s="84"/>
    </row>
    <row r="487" ht="15.75" customHeight="1">
      <c r="E487" s="84"/>
      <c r="K487" s="84"/>
      <c r="M487" s="84"/>
      <c r="N487" s="84"/>
      <c r="P487" s="84"/>
      <c r="S487" s="84"/>
    </row>
    <row r="488" ht="15.75" customHeight="1">
      <c r="E488" s="84"/>
      <c r="K488" s="84"/>
      <c r="M488" s="84"/>
      <c r="N488" s="84"/>
      <c r="P488" s="84"/>
      <c r="S488" s="84"/>
    </row>
    <row r="489" ht="15.75" customHeight="1">
      <c r="E489" s="84"/>
      <c r="K489" s="84"/>
      <c r="M489" s="84"/>
      <c r="N489" s="84"/>
      <c r="P489" s="84"/>
      <c r="S489" s="84"/>
    </row>
    <row r="490" ht="15.75" customHeight="1">
      <c r="E490" s="84"/>
      <c r="K490" s="84"/>
      <c r="M490" s="84"/>
      <c r="N490" s="84"/>
      <c r="P490" s="84"/>
      <c r="S490" s="84"/>
    </row>
    <row r="491" ht="15.75" customHeight="1">
      <c r="E491" s="84"/>
      <c r="K491" s="84"/>
      <c r="M491" s="84"/>
      <c r="N491" s="84"/>
      <c r="P491" s="84"/>
      <c r="S491" s="84"/>
    </row>
    <row r="492" ht="15.75" customHeight="1">
      <c r="E492" s="84"/>
      <c r="K492" s="84"/>
      <c r="M492" s="84"/>
      <c r="N492" s="84"/>
      <c r="P492" s="84"/>
      <c r="S492" s="84"/>
    </row>
    <row r="493" ht="15.75" customHeight="1">
      <c r="E493" s="84"/>
      <c r="K493" s="84"/>
      <c r="M493" s="84"/>
      <c r="N493" s="84"/>
      <c r="P493" s="84"/>
      <c r="S493" s="84"/>
    </row>
    <row r="494" ht="15.75" customHeight="1">
      <c r="E494" s="84"/>
      <c r="K494" s="84"/>
      <c r="M494" s="84"/>
      <c r="N494" s="84"/>
      <c r="P494" s="84"/>
      <c r="S494" s="84"/>
    </row>
    <row r="495" ht="15.75" customHeight="1">
      <c r="E495" s="84"/>
      <c r="K495" s="84"/>
      <c r="M495" s="84"/>
      <c r="N495" s="84"/>
      <c r="P495" s="84"/>
      <c r="S495" s="84"/>
    </row>
    <row r="496" ht="15.75" customHeight="1">
      <c r="E496" s="84"/>
      <c r="K496" s="84"/>
      <c r="M496" s="84"/>
      <c r="N496" s="84"/>
      <c r="P496" s="84"/>
      <c r="S496" s="84"/>
    </row>
    <row r="497" ht="15.75" customHeight="1">
      <c r="E497" s="84"/>
      <c r="K497" s="84"/>
      <c r="M497" s="84"/>
      <c r="N497" s="84"/>
      <c r="P497" s="84"/>
      <c r="S497" s="84"/>
    </row>
    <row r="498" ht="15.75" customHeight="1">
      <c r="E498" s="84"/>
      <c r="K498" s="84"/>
      <c r="M498" s="84"/>
      <c r="N498" s="84"/>
      <c r="P498" s="84"/>
      <c r="S498" s="84"/>
    </row>
    <row r="499" ht="15.75" customHeight="1">
      <c r="E499" s="84"/>
      <c r="K499" s="84"/>
      <c r="M499" s="84"/>
      <c r="N499" s="84"/>
      <c r="P499" s="84"/>
      <c r="S499" s="84"/>
    </row>
    <row r="500" ht="15.75" customHeight="1">
      <c r="E500" s="84"/>
      <c r="K500" s="84"/>
      <c r="M500" s="84"/>
      <c r="N500" s="84"/>
      <c r="P500" s="84"/>
      <c r="S500" s="84"/>
    </row>
    <row r="501" ht="15.75" customHeight="1">
      <c r="E501" s="84"/>
      <c r="K501" s="84"/>
      <c r="M501" s="84"/>
      <c r="N501" s="84"/>
      <c r="P501" s="84"/>
      <c r="S501" s="84"/>
    </row>
    <row r="502" ht="15.75" customHeight="1">
      <c r="E502" s="84"/>
      <c r="K502" s="84"/>
      <c r="M502" s="84"/>
      <c r="N502" s="84"/>
      <c r="P502" s="84"/>
      <c r="S502" s="84"/>
    </row>
    <row r="503" ht="15.75" customHeight="1">
      <c r="E503" s="84"/>
      <c r="K503" s="84"/>
      <c r="M503" s="84"/>
      <c r="N503" s="84"/>
      <c r="P503" s="84"/>
      <c r="S503" s="84"/>
    </row>
    <row r="504" ht="15.75" customHeight="1">
      <c r="E504" s="84"/>
      <c r="K504" s="84"/>
      <c r="M504" s="84"/>
      <c r="N504" s="84"/>
      <c r="P504" s="84"/>
      <c r="S504" s="84"/>
    </row>
    <row r="505" ht="15.75" customHeight="1">
      <c r="E505" s="84"/>
      <c r="K505" s="84"/>
      <c r="M505" s="84"/>
      <c r="N505" s="84"/>
      <c r="P505" s="84"/>
      <c r="S505" s="84"/>
    </row>
    <row r="506" ht="15.75" customHeight="1">
      <c r="E506" s="84"/>
      <c r="K506" s="84"/>
      <c r="M506" s="84"/>
      <c r="N506" s="84"/>
      <c r="P506" s="84"/>
      <c r="S506" s="84"/>
    </row>
    <row r="507" ht="15.75" customHeight="1">
      <c r="E507" s="84"/>
      <c r="K507" s="84"/>
      <c r="M507" s="84"/>
      <c r="N507" s="84"/>
      <c r="P507" s="84"/>
      <c r="S507" s="84"/>
    </row>
    <row r="508" ht="15.75" customHeight="1">
      <c r="E508" s="84"/>
      <c r="K508" s="84"/>
      <c r="M508" s="84"/>
      <c r="N508" s="84"/>
      <c r="P508" s="84"/>
      <c r="S508" s="84"/>
    </row>
    <row r="509" ht="15.75" customHeight="1">
      <c r="E509" s="84"/>
      <c r="K509" s="84"/>
      <c r="M509" s="84"/>
      <c r="N509" s="84"/>
      <c r="P509" s="84"/>
      <c r="S509" s="84"/>
    </row>
    <row r="510" ht="15.75" customHeight="1">
      <c r="E510" s="84"/>
      <c r="K510" s="84"/>
      <c r="M510" s="84"/>
      <c r="N510" s="84"/>
      <c r="P510" s="84"/>
      <c r="S510" s="84"/>
    </row>
    <row r="511" ht="15.75" customHeight="1">
      <c r="E511" s="84"/>
      <c r="K511" s="84"/>
      <c r="M511" s="84"/>
      <c r="N511" s="84"/>
      <c r="P511" s="84"/>
      <c r="S511" s="84"/>
    </row>
    <row r="512" ht="15.75" customHeight="1">
      <c r="E512" s="84"/>
      <c r="K512" s="84"/>
      <c r="M512" s="84"/>
      <c r="N512" s="84"/>
      <c r="P512" s="84"/>
      <c r="S512" s="84"/>
    </row>
    <row r="513" ht="15.75" customHeight="1">
      <c r="E513" s="84"/>
      <c r="K513" s="84"/>
      <c r="M513" s="84"/>
      <c r="N513" s="84"/>
      <c r="P513" s="84"/>
      <c r="S513" s="84"/>
    </row>
    <row r="514" ht="15.75" customHeight="1">
      <c r="E514" s="84"/>
      <c r="K514" s="84"/>
      <c r="M514" s="84"/>
      <c r="N514" s="84"/>
      <c r="P514" s="84"/>
      <c r="S514" s="84"/>
    </row>
    <row r="515" ht="15.75" customHeight="1">
      <c r="E515" s="84"/>
      <c r="K515" s="84"/>
      <c r="M515" s="84"/>
      <c r="N515" s="84"/>
      <c r="P515" s="84"/>
      <c r="S515" s="84"/>
    </row>
    <row r="516" ht="15.75" customHeight="1">
      <c r="E516" s="84"/>
      <c r="K516" s="84"/>
      <c r="M516" s="84"/>
      <c r="N516" s="84"/>
      <c r="P516" s="84"/>
      <c r="S516" s="84"/>
    </row>
    <row r="517" ht="15.75" customHeight="1">
      <c r="E517" s="84"/>
      <c r="K517" s="84"/>
      <c r="M517" s="84"/>
      <c r="N517" s="84"/>
      <c r="P517" s="84"/>
      <c r="S517" s="84"/>
    </row>
    <row r="518" ht="15.75" customHeight="1">
      <c r="E518" s="84"/>
      <c r="K518" s="84"/>
      <c r="M518" s="84"/>
      <c r="N518" s="84"/>
      <c r="P518" s="84"/>
      <c r="S518" s="84"/>
    </row>
    <row r="519" ht="15.75" customHeight="1">
      <c r="E519" s="84"/>
      <c r="K519" s="84"/>
      <c r="M519" s="84"/>
      <c r="N519" s="84"/>
      <c r="P519" s="84"/>
      <c r="S519" s="84"/>
    </row>
    <row r="520" ht="15.75" customHeight="1">
      <c r="E520" s="84"/>
      <c r="K520" s="84"/>
      <c r="M520" s="84"/>
      <c r="N520" s="84"/>
      <c r="P520" s="84"/>
      <c r="S520" s="84"/>
    </row>
    <row r="521" ht="15.75" customHeight="1">
      <c r="E521" s="84"/>
      <c r="K521" s="84"/>
      <c r="M521" s="84"/>
      <c r="N521" s="84"/>
      <c r="P521" s="84"/>
      <c r="S521" s="84"/>
    </row>
    <row r="522" ht="15.75" customHeight="1">
      <c r="E522" s="84"/>
      <c r="K522" s="84"/>
      <c r="M522" s="84"/>
      <c r="N522" s="84"/>
      <c r="P522" s="84"/>
      <c r="S522" s="84"/>
    </row>
    <row r="523" ht="15.75" customHeight="1">
      <c r="E523" s="84"/>
      <c r="K523" s="84"/>
      <c r="M523" s="84"/>
      <c r="N523" s="84"/>
      <c r="P523" s="84"/>
      <c r="S523" s="84"/>
    </row>
    <row r="524" ht="15.75" customHeight="1">
      <c r="E524" s="84"/>
      <c r="K524" s="84"/>
      <c r="M524" s="84"/>
      <c r="N524" s="84"/>
      <c r="P524" s="84"/>
      <c r="S524" s="84"/>
    </row>
    <row r="525" ht="15.75" customHeight="1">
      <c r="E525" s="84"/>
      <c r="K525" s="84"/>
      <c r="M525" s="84"/>
      <c r="N525" s="84"/>
      <c r="P525" s="84"/>
      <c r="S525" s="84"/>
    </row>
    <row r="526" ht="15.75" customHeight="1">
      <c r="E526" s="84"/>
      <c r="K526" s="84"/>
      <c r="M526" s="84"/>
      <c r="N526" s="84"/>
      <c r="P526" s="84"/>
      <c r="S526" s="84"/>
    </row>
    <row r="527" ht="15.75" customHeight="1">
      <c r="E527" s="84"/>
      <c r="K527" s="84"/>
      <c r="M527" s="84"/>
      <c r="N527" s="84"/>
      <c r="P527" s="84"/>
      <c r="S527" s="84"/>
    </row>
    <row r="528" ht="15.75" customHeight="1">
      <c r="E528" s="84"/>
      <c r="K528" s="84"/>
      <c r="M528" s="84"/>
      <c r="N528" s="84"/>
      <c r="P528" s="84"/>
      <c r="S528" s="84"/>
    </row>
    <row r="529" ht="15.75" customHeight="1">
      <c r="E529" s="84"/>
      <c r="K529" s="84"/>
      <c r="M529" s="84"/>
      <c r="N529" s="84"/>
      <c r="P529" s="84"/>
      <c r="S529" s="84"/>
    </row>
    <row r="530" ht="15.75" customHeight="1">
      <c r="E530" s="84"/>
      <c r="K530" s="84"/>
      <c r="M530" s="84"/>
      <c r="N530" s="84"/>
      <c r="P530" s="84"/>
      <c r="S530" s="84"/>
    </row>
    <row r="531" ht="15.75" customHeight="1">
      <c r="E531" s="84"/>
      <c r="K531" s="84"/>
      <c r="M531" s="84"/>
      <c r="N531" s="84"/>
      <c r="P531" s="84"/>
      <c r="S531" s="84"/>
    </row>
    <row r="532" ht="15.75" customHeight="1">
      <c r="E532" s="84"/>
      <c r="K532" s="84"/>
      <c r="M532" s="84"/>
      <c r="N532" s="84"/>
      <c r="P532" s="84"/>
      <c r="S532" s="84"/>
    </row>
    <row r="533" ht="15.75" customHeight="1">
      <c r="E533" s="84"/>
      <c r="K533" s="84"/>
      <c r="M533" s="84"/>
      <c r="N533" s="84"/>
      <c r="P533" s="84"/>
      <c r="S533" s="84"/>
    </row>
    <row r="534" ht="15.75" customHeight="1">
      <c r="E534" s="84"/>
      <c r="K534" s="84"/>
      <c r="M534" s="84"/>
      <c r="N534" s="84"/>
      <c r="P534" s="84"/>
      <c r="S534" s="84"/>
    </row>
    <row r="535" ht="15.75" customHeight="1">
      <c r="E535" s="84"/>
      <c r="K535" s="84"/>
      <c r="M535" s="84"/>
      <c r="N535" s="84"/>
      <c r="P535" s="84"/>
      <c r="S535" s="84"/>
    </row>
    <row r="536" ht="15.75" customHeight="1">
      <c r="E536" s="84"/>
      <c r="K536" s="84"/>
      <c r="M536" s="84"/>
      <c r="N536" s="84"/>
      <c r="P536" s="84"/>
      <c r="S536" s="84"/>
    </row>
    <row r="537" ht="15.75" customHeight="1">
      <c r="E537" s="84"/>
      <c r="K537" s="84"/>
      <c r="M537" s="84"/>
      <c r="N537" s="84"/>
      <c r="P537" s="84"/>
      <c r="S537" s="84"/>
    </row>
    <row r="538" ht="15.75" customHeight="1">
      <c r="E538" s="84"/>
      <c r="K538" s="84"/>
      <c r="M538" s="84"/>
      <c r="N538" s="84"/>
      <c r="P538" s="84"/>
      <c r="S538" s="84"/>
    </row>
    <row r="539" ht="15.75" customHeight="1">
      <c r="E539" s="84"/>
      <c r="K539" s="84"/>
      <c r="M539" s="84"/>
      <c r="N539" s="84"/>
      <c r="P539" s="84"/>
      <c r="S539" s="84"/>
    </row>
    <row r="540" ht="15.75" customHeight="1">
      <c r="E540" s="84"/>
      <c r="K540" s="84"/>
      <c r="M540" s="84"/>
      <c r="N540" s="84"/>
      <c r="P540" s="84"/>
      <c r="S540" s="84"/>
    </row>
    <row r="541" ht="15.75" customHeight="1">
      <c r="E541" s="84"/>
      <c r="K541" s="84"/>
      <c r="M541" s="84"/>
      <c r="N541" s="84"/>
      <c r="P541" s="84"/>
      <c r="S541" s="84"/>
    </row>
    <row r="542" ht="15.75" customHeight="1">
      <c r="E542" s="84"/>
      <c r="K542" s="84"/>
      <c r="M542" s="84"/>
      <c r="N542" s="84"/>
      <c r="P542" s="84"/>
      <c r="S542" s="84"/>
    </row>
    <row r="543" ht="15.75" customHeight="1">
      <c r="E543" s="84"/>
      <c r="K543" s="84"/>
      <c r="M543" s="84"/>
      <c r="N543" s="84"/>
      <c r="P543" s="84"/>
      <c r="S543" s="84"/>
    </row>
    <row r="544" ht="15.75" customHeight="1">
      <c r="E544" s="84"/>
      <c r="K544" s="84"/>
      <c r="M544" s="84"/>
      <c r="N544" s="84"/>
      <c r="P544" s="84"/>
      <c r="S544" s="84"/>
    </row>
    <row r="545" ht="15.75" customHeight="1">
      <c r="E545" s="84"/>
      <c r="K545" s="84"/>
      <c r="M545" s="84"/>
      <c r="N545" s="84"/>
      <c r="P545" s="84"/>
      <c r="S545" s="84"/>
    </row>
    <row r="546" ht="15.75" customHeight="1">
      <c r="E546" s="84"/>
      <c r="K546" s="84"/>
      <c r="M546" s="84"/>
      <c r="N546" s="84"/>
      <c r="P546" s="84"/>
      <c r="S546" s="84"/>
    </row>
    <row r="547" ht="15.75" customHeight="1">
      <c r="E547" s="84"/>
      <c r="K547" s="84"/>
      <c r="M547" s="84"/>
      <c r="N547" s="84"/>
      <c r="P547" s="84"/>
      <c r="S547" s="84"/>
    </row>
    <row r="548" ht="15.75" customHeight="1">
      <c r="E548" s="84"/>
      <c r="K548" s="84"/>
      <c r="M548" s="84"/>
      <c r="N548" s="84"/>
      <c r="P548" s="84"/>
      <c r="S548" s="84"/>
    </row>
    <row r="549" ht="15.75" customHeight="1">
      <c r="E549" s="84"/>
      <c r="K549" s="84"/>
      <c r="M549" s="84"/>
      <c r="N549" s="84"/>
      <c r="P549" s="84"/>
      <c r="S549" s="84"/>
    </row>
    <row r="550" ht="15.75" customHeight="1">
      <c r="E550" s="84"/>
      <c r="K550" s="84"/>
      <c r="M550" s="84"/>
      <c r="N550" s="84"/>
      <c r="P550" s="84"/>
      <c r="S550" s="84"/>
    </row>
    <row r="551" ht="15.75" customHeight="1">
      <c r="E551" s="84"/>
      <c r="K551" s="84"/>
      <c r="M551" s="84"/>
      <c r="N551" s="84"/>
      <c r="P551" s="84"/>
      <c r="S551" s="84"/>
    </row>
    <row r="552" ht="15.75" customHeight="1">
      <c r="E552" s="84"/>
      <c r="K552" s="84"/>
      <c r="M552" s="84"/>
      <c r="N552" s="84"/>
      <c r="P552" s="84"/>
      <c r="S552" s="84"/>
    </row>
    <row r="553" ht="15.75" customHeight="1">
      <c r="E553" s="84"/>
      <c r="K553" s="84"/>
      <c r="M553" s="84"/>
      <c r="N553" s="84"/>
      <c r="P553" s="84"/>
      <c r="S553" s="84"/>
    </row>
    <row r="554" ht="15.75" customHeight="1">
      <c r="E554" s="84"/>
      <c r="K554" s="84"/>
      <c r="M554" s="84"/>
      <c r="N554" s="84"/>
      <c r="P554" s="84"/>
      <c r="S554" s="84"/>
    </row>
    <row r="555" ht="15.75" customHeight="1">
      <c r="E555" s="84"/>
      <c r="K555" s="84"/>
      <c r="M555" s="84"/>
      <c r="N555" s="84"/>
      <c r="P555" s="84"/>
      <c r="S555" s="84"/>
    </row>
    <row r="556" ht="15.75" customHeight="1">
      <c r="E556" s="84"/>
      <c r="K556" s="84"/>
      <c r="M556" s="84"/>
      <c r="N556" s="84"/>
      <c r="P556" s="84"/>
      <c r="S556" s="84"/>
    </row>
    <row r="557" ht="15.75" customHeight="1">
      <c r="E557" s="84"/>
      <c r="K557" s="84"/>
      <c r="M557" s="84"/>
      <c r="N557" s="84"/>
      <c r="P557" s="84"/>
      <c r="S557" s="84"/>
    </row>
    <row r="558" ht="15.75" customHeight="1">
      <c r="E558" s="84"/>
      <c r="K558" s="84"/>
      <c r="M558" s="84"/>
      <c r="N558" s="84"/>
      <c r="P558" s="84"/>
      <c r="S558" s="84"/>
    </row>
    <row r="559" ht="15.75" customHeight="1">
      <c r="E559" s="84"/>
      <c r="K559" s="84"/>
      <c r="M559" s="84"/>
      <c r="N559" s="84"/>
      <c r="P559" s="84"/>
      <c r="S559" s="84"/>
    </row>
    <row r="560" ht="15.75" customHeight="1">
      <c r="E560" s="84"/>
      <c r="K560" s="84"/>
      <c r="M560" s="84"/>
      <c r="N560" s="84"/>
      <c r="P560" s="84"/>
      <c r="S560" s="84"/>
    </row>
    <row r="561" ht="15.75" customHeight="1">
      <c r="E561" s="84"/>
      <c r="K561" s="84"/>
      <c r="M561" s="84"/>
      <c r="N561" s="84"/>
      <c r="P561" s="84"/>
      <c r="S561" s="84"/>
    </row>
    <row r="562" ht="15.75" customHeight="1">
      <c r="E562" s="84"/>
      <c r="K562" s="84"/>
      <c r="M562" s="84"/>
      <c r="N562" s="84"/>
      <c r="P562" s="84"/>
      <c r="S562" s="84"/>
    </row>
    <row r="563" ht="15.75" customHeight="1">
      <c r="E563" s="84"/>
      <c r="K563" s="84"/>
      <c r="M563" s="84"/>
      <c r="N563" s="84"/>
      <c r="P563" s="84"/>
      <c r="S563" s="84"/>
    </row>
    <row r="564" ht="15.75" customHeight="1">
      <c r="E564" s="84"/>
      <c r="K564" s="84"/>
      <c r="M564" s="84"/>
      <c r="N564" s="84"/>
      <c r="P564" s="84"/>
      <c r="S564" s="84"/>
    </row>
    <row r="565" ht="15.75" customHeight="1">
      <c r="E565" s="84"/>
      <c r="K565" s="84"/>
      <c r="M565" s="84"/>
      <c r="N565" s="84"/>
      <c r="P565" s="84"/>
      <c r="S565" s="84"/>
    </row>
    <row r="566" ht="15.75" customHeight="1">
      <c r="E566" s="84"/>
      <c r="K566" s="84"/>
      <c r="M566" s="84"/>
      <c r="N566" s="84"/>
      <c r="P566" s="84"/>
      <c r="S566" s="84"/>
    </row>
    <row r="567" ht="15.75" customHeight="1">
      <c r="E567" s="84"/>
      <c r="K567" s="84"/>
      <c r="M567" s="84"/>
      <c r="N567" s="84"/>
      <c r="P567" s="84"/>
      <c r="S567" s="84"/>
    </row>
    <row r="568" ht="15.75" customHeight="1">
      <c r="E568" s="84"/>
      <c r="K568" s="84"/>
      <c r="M568" s="84"/>
      <c r="N568" s="84"/>
      <c r="P568" s="84"/>
      <c r="S568" s="84"/>
    </row>
    <row r="569" ht="15.75" customHeight="1">
      <c r="E569" s="84"/>
      <c r="K569" s="84"/>
      <c r="M569" s="84"/>
      <c r="N569" s="84"/>
      <c r="P569" s="84"/>
      <c r="S569" s="84"/>
    </row>
    <row r="570" ht="15.75" customHeight="1">
      <c r="E570" s="84"/>
      <c r="K570" s="84"/>
      <c r="M570" s="84"/>
      <c r="N570" s="84"/>
      <c r="P570" s="84"/>
      <c r="S570" s="84"/>
    </row>
    <row r="571" ht="15.75" customHeight="1">
      <c r="E571" s="84"/>
      <c r="K571" s="84"/>
      <c r="M571" s="84"/>
      <c r="N571" s="84"/>
      <c r="P571" s="84"/>
      <c r="S571" s="84"/>
    </row>
    <row r="572" ht="15.75" customHeight="1">
      <c r="E572" s="84"/>
      <c r="K572" s="84"/>
      <c r="M572" s="84"/>
      <c r="N572" s="84"/>
      <c r="P572" s="84"/>
      <c r="S572" s="84"/>
    </row>
    <row r="573" ht="15.75" customHeight="1">
      <c r="E573" s="84"/>
      <c r="K573" s="84"/>
      <c r="M573" s="84"/>
      <c r="N573" s="84"/>
      <c r="P573" s="84"/>
      <c r="S573" s="84"/>
    </row>
    <row r="574" ht="15.75" customHeight="1">
      <c r="E574" s="84"/>
      <c r="K574" s="84"/>
      <c r="M574" s="84"/>
      <c r="N574" s="84"/>
      <c r="P574" s="84"/>
      <c r="S574" s="84"/>
    </row>
    <row r="575" ht="15.75" customHeight="1">
      <c r="E575" s="84"/>
      <c r="K575" s="84"/>
      <c r="M575" s="84"/>
      <c r="N575" s="84"/>
      <c r="P575" s="84"/>
      <c r="S575" s="84"/>
    </row>
    <row r="576" ht="15.75" customHeight="1">
      <c r="E576" s="84"/>
      <c r="K576" s="84"/>
      <c r="M576" s="84"/>
      <c r="N576" s="84"/>
      <c r="P576" s="84"/>
      <c r="S576" s="84"/>
    </row>
    <row r="577" ht="15.75" customHeight="1">
      <c r="E577" s="84"/>
      <c r="K577" s="84"/>
      <c r="M577" s="84"/>
      <c r="N577" s="84"/>
      <c r="P577" s="84"/>
      <c r="S577" s="84"/>
    </row>
    <row r="578" ht="15.75" customHeight="1">
      <c r="E578" s="84"/>
      <c r="K578" s="84"/>
      <c r="M578" s="84"/>
      <c r="N578" s="84"/>
      <c r="P578" s="84"/>
      <c r="S578" s="84"/>
    </row>
    <row r="579" ht="15.75" customHeight="1">
      <c r="E579" s="84"/>
      <c r="K579" s="84"/>
      <c r="M579" s="84"/>
      <c r="N579" s="84"/>
      <c r="P579" s="84"/>
      <c r="S579" s="84"/>
    </row>
    <row r="580" ht="15.75" customHeight="1">
      <c r="E580" s="84"/>
      <c r="K580" s="84"/>
      <c r="M580" s="84"/>
      <c r="N580" s="84"/>
      <c r="P580" s="84"/>
      <c r="S580" s="84"/>
    </row>
    <row r="581" ht="15.75" customHeight="1">
      <c r="E581" s="84"/>
      <c r="K581" s="84"/>
      <c r="M581" s="84"/>
      <c r="N581" s="84"/>
      <c r="P581" s="84"/>
      <c r="S581" s="84"/>
    </row>
    <row r="582" ht="15.75" customHeight="1">
      <c r="E582" s="84"/>
      <c r="K582" s="84"/>
      <c r="M582" s="84"/>
      <c r="N582" s="84"/>
      <c r="P582" s="84"/>
      <c r="S582" s="84"/>
    </row>
    <row r="583" ht="15.75" customHeight="1">
      <c r="E583" s="84"/>
      <c r="K583" s="84"/>
      <c r="M583" s="84"/>
      <c r="N583" s="84"/>
      <c r="P583" s="84"/>
      <c r="S583" s="84"/>
    </row>
    <row r="584" ht="15.75" customHeight="1">
      <c r="E584" s="84"/>
      <c r="K584" s="84"/>
      <c r="M584" s="84"/>
      <c r="N584" s="84"/>
      <c r="P584" s="84"/>
      <c r="S584" s="84"/>
    </row>
    <row r="585" ht="15.75" customHeight="1">
      <c r="E585" s="84"/>
      <c r="K585" s="84"/>
      <c r="M585" s="84"/>
      <c r="N585" s="84"/>
      <c r="P585" s="84"/>
      <c r="S585" s="84"/>
    </row>
    <row r="586" ht="15.75" customHeight="1">
      <c r="E586" s="84"/>
      <c r="K586" s="84"/>
      <c r="M586" s="84"/>
      <c r="N586" s="84"/>
      <c r="P586" s="84"/>
      <c r="S586" s="84"/>
    </row>
    <row r="587" ht="15.75" customHeight="1">
      <c r="E587" s="84"/>
      <c r="K587" s="84"/>
      <c r="M587" s="84"/>
      <c r="N587" s="84"/>
      <c r="P587" s="84"/>
      <c r="S587" s="84"/>
    </row>
    <row r="588" ht="15.75" customHeight="1">
      <c r="E588" s="84"/>
      <c r="K588" s="84"/>
      <c r="M588" s="84"/>
      <c r="N588" s="84"/>
      <c r="P588" s="84"/>
      <c r="S588" s="84"/>
    </row>
    <row r="589" ht="15.75" customHeight="1">
      <c r="E589" s="84"/>
      <c r="K589" s="84"/>
      <c r="M589" s="84"/>
      <c r="N589" s="84"/>
      <c r="P589" s="84"/>
      <c r="S589" s="84"/>
    </row>
    <row r="590" ht="15.75" customHeight="1">
      <c r="E590" s="84"/>
      <c r="K590" s="84"/>
      <c r="M590" s="84"/>
      <c r="N590" s="84"/>
      <c r="P590" s="84"/>
      <c r="S590" s="84"/>
    </row>
    <row r="591" ht="15.75" customHeight="1">
      <c r="E591" s="84"/>
      <c r="K591" s="84"/>
      <c r="M591" s="84"/>
      <c r="N591" s="84"/>
      <c r="P591" s="84"/>
      <c r="S591" s="84"/>
    </row>
    <row r="592" ht="15.75" customHeight="1">
      <c r="E592" s="84"/>
      <c r="K592" s="84"/>
      <c r="M592" s="84"/>
      <c r="N592" s="84"/>
      <c r="P592" s="84"/>
      <c r="S592" s="84"/>
    </row>
    <row r="593" ht="15.75" customHeight="1">
      <c r="E593" s="84"/>
      <c r="K593" s="84"/>
      <c r="M593" s="84"/>
      <c r="N593" s="84"/>
      <c r="P593" s="84"/>
      <c r="S593" s="84"/>
    </row>
    <row r="594" ht="15.75" customHeight="1">
      <c r="E594" s="84"/>
      <c r="K594" s="84"/>
      <c r="M594" s="84"/>
      <c r="N594" s="84"/>
      <c r="P594" s="84"/>
      <c r="S594" s="84"/>
    </row>
    <row r="595" ht="15.75" customHeight="1">
      <c r="E595" s="84"/>
      <c r="K595" s="84"/>
      <c r="M595" s="84"/>
      <c r="N595" s="84"/>
      <c r="P595" s="84"/>
      <c r="S595" s="84"/>
    </row>
    <row r="596" ht="15.75" customHeight="1">
      <c r="E596" s="84"/>
      <c r="K596" s="84"/>
      <c r="M596" s="84"/>
      <c r="N596" s="84"/>
      <c r="P596" s="84"/>
      <c r="S596" s="84"/>
    </row>
    <row r="597" ht="15.75" customHeight="1">
      <c r="E597" s="84"/>
      <c r="K597" s="84"/>
      <c r="M597" s="84"/>
      <c r="N597" s="84"/>
      <c r="P597" s="84"/>
      <c r="S597" s="84"/>
    </row>
    <row r="598" ht="15.75" customHeight="1">
      <c r="E598" s="84"/>
      <c r="K598" s="84"/>
      <c r="M598" s="84"/>
      <c r="N598" s="84"/>
      <c r="P598" s="84"/>
      <c r="S598" s="84"/>
    </row>
    <row r="599" ht="15.75" customHeight="1">
      <c r="E599" s="84"/>
      <c r="K599" s="84"/>
      <c r="M599" s="84"/>
      <c r="N599" s="84"/>
      <c r="P599" s="84"/>
      <c r="S599" s="84"/>
    </row>
    <row r="600" ht="15.75" customHeight="1">
      <c r="E600" s="84"/>
      <c r="K600" s="84"/>
      <c r="M600" s="84"/>
      <c r="N600" s="84"/>
      <c r="P600" s="84"/>
      <c r="S600" s="84"/>
    </row>
    <row r="601" ht="15.75" customHeight="1">
      <c r="E601" s="84"/>
      <c r="K601" s="84"/>
      <c r="M601" s="84"/>
      <c r="N601" s="84"/>
      <c r="P601" s="84"/>
      <c r="S601" s="84"/>
    </row>
    <row r="602" ht="15.75" customHeight="1">
      <c r="E602" s="84"/>
      <c r="K602" s="84"/>
      <c r="M602" s="84"/>
      <c r="N602" s="84"/>
      <c r="P602" s="84"/>
      <c r="S602" s="84"/>
    </row>
    <row r="603" ht="15.75" customHeight="1">
      <c r="E603" s="84"/>
      <c r="K603" s="84"/>
      <c r="M603" s="84"/>
      <c r="N603" s="84"/>
      <c r="P603" s="84"/>
      <c r="S603" s="84"/>
    </row>
    <row r="604" ht="15.75" customHeight="1">
      <c r="E604" s="84"/>
      <c r="K604" s="84"/>
      <c r="M604" s="84"/>
      <c r="N604" s="84"/>
      <c r="P604" s="84"/>
      <c r="S604" s="84"/>
    </row>
    <row r="605" ht="15.75" customHeight="1">
      <c r="E605" s="84"/>
      <c r="K605" s="84"/>
      <c r="M605" s="84"/>
      <c r="N605" s="84"/>
      <c r="P605" s="84"/>
      <c r="S605" s="84"/>
    </row>
    <row r="606" ht="15.75" customHeight="1">
      <c r="E606" s="84"/>
      <c r="K606" s="84"/>
      <c r="M606" s="84"/>
      <c r="N606" s="84"/>
      <c r="P606" s="84"/>
      <c r="S606" s="84"/>
    </row>
    <row r="607" ht="15.75" customHeight="1">
      <c r="E607" s="84"/>
      <c r="K607" s="84"/>
      <c r="M607" s="84"/>
      <c r="N607" s="84"/>
      <c r="P607" s="84"/>
      <c r="S607" s="84"/>
    </row>
    <row r="608" ht="15.75" customHeight="1">
      <c r="E608" s="84"/>
      <c r="K608" s="84"/>
      <c r="M608" s="84"/>
      <c r="N608" s="84"/>
      <c r="P608" s="84"/>
      <c r="S608" s="84"/>
    </row>
    <row r="609" ht="15.75" customHeight="1">
      <c r="E609" s="84"/>
      <c r="K609" s="84"/>
      <c r="M609" s="84"/>
      <c r="N609" s="84"/>
      <c r="P609" s="84"/>
      <c r="S609" s="84"/>
    </row>
    <row r="610" ht="15.75" customHeight="1">
      <c r="E610" s="84"/>
      <c r="K610" s="84"/>
      <c r="M610" s="84"/>
      <c r="N610" s="84"/>
      <c r="P610" s="84"/>
      <c r="S610" s="84"/>
    </row>
    <row r="611" ht="15.75" customHeight="1">
      <c r="E611" s="84"/>
      <c r="K611" s="84"/>
      <c r="M611" s="84"/>
      <c r="N611" s="84"/>
      <c r="P611" s="84"/>
      <c r="S611" s="84"/>
    </row>
    <row r="612" ht="15.75" customHeight="1">
      <c r="E612" s="84"/>
      <c r="K612" s="84"/>
      <c r="M612" s="84"/>
      <c r="N612" s="84"/>
      <c r="P612" s="84"/>
      <c r="S612" s="84"/>
    </row>
    <row r="613" ht="15.75" customHeight="1">
      <c r="E613" s="84"/>
      <c r="K613" s="84"/>
      <c r="M613" s="84"/>
      <c r="N613" s="84"/>
      <c r="P613" s="84"/>
      <c r="S613" s="84"/>
    </row>
    <row r="614" ht="15.75" customHeight="1">
      <c r="E614" s="84"/>
      <c r="K614" s="84"/>
      <c r="M614" s="84"/>
      <c r="N614" s="84"/>
      <c r="P614" s="84"/>
      <c r="S614" s="84"/>
    </row>
    <row r="615" ht="15.75" customHeight="1">
      <c r="E615" s="84"/>
      <c r="K615" s="84"/>
      <c r="M615" s="84"/>
      <c r="N615" s="84"/>
      <c r="P615" s="84"/>
      <c r="S615" s="84"/>
    </row>
    <row r="616" ht="15.75" customHeight="1">
      <c r="E616" s="84"/>
      <c r="K616" s="84"/>
      <c r="M616" s="84"/>
      <c r="N616" s="84"/>
      <c r="P616" s="84"/>
      <c r="S616" s="84"/>
    </row>
    <row r="617" ht="15.75" customHeight="1">
      <c r="E617" s="84"/>
      <c r="K617" s="84"/>
      <c r="M617" s="84"/>
      <c r="N617" s="84"/>
      <c r="P617" s="84"/>
      <c r="S617" s="84"/>
    </row>
    <row r="618" ht="15.75" customHeight="1">
      <c r="E618" s="84"/>
      <c r="K618" s="84"/>
      <c r="M618" s="84"/>
      <c r="N618" s="84"/>
      <c r="P618" s="84"/>
      <c r="S618" s="84"/>
    </row>
    <row r="619" ht="15.75" customHeight="1">
      <c r="E619" s="84"/>
      <c r="K619" s="84"/>
      <c r="M619" s="84"/>
      <c r="N619" s="84"/>
      <c r="P619" s="84"/>
      <c r="S619" s="84"/>
    </row>
    <row r="620" ht="15.75" customHeight="1">
      <c r="E620" s="84"/>
      <c r="K620" s="84"/>
      <c r="M620" s="84"/>
      <c r="N620" s="84"/>
      <c r="P620" s="84"/>
      <c r="S620" s="84"/>
    </row>
    <row r="621" ht="15.75" customHeight="1">
      <c r="E621" s="84"/>
      <c r="K621" s="84"/>
      <c r="M621" s="84"/>
      <c r="N621" s="84"/>
      <c r="P621" s="84"/>
      <c r="S621" s="84"/>
    </row>
    <row r="622" ht="15.75" customHeight="1">
      <c r="E622" s="84"/>
      <c r="K622" s="84"/>
      <c r="M622" s="84"/>
      <c r="N622" s="84"/>
      <c r="P622" s="84"/>
      <c r="S622" s="84"/>
    </row>
    <row r="623" ht="15.75" customHeight="1">
      <c r="E623" s="84"/>
      <c r="K623" s="84"/>
      <c r="M623" s="84"/>
      <c r="N623" s="84"/>
      <c r="P623" s="84"/>
      <c r="S623" s="84"/>
    </row>
    <row r="624" ht="15.75" customHeight="1">
      <c r="E624" s="84"/>
      <c r="K624" s="84"/>
      <c r="M624" s="84"/>
      <c r="N624" s="84"/>
      <c r="P624" s="84"/>
      <c r="S624" s="84"/>
    </row>
    <row r="625" ht="15.75" customHeight="1">
      <c r="E625" s="84"/>
      <c r="K625" s="84"/>
      <c r="M625" s="84"/>
      <c r="N625" s="84"/>
      <c r="P625" s="84"/>
      <c r="S625" s="84"/>
    </row>
    <row r="626" ht="15.75" customHeight="1">
      <c r="E626" s="84"/>
      <c r="K626" s="84"/>
      <c r="M626" s="84"/>
      <c r="N626" s="84"/>
      <c r="P626" s="84"/>
      <c r="S626" s="84"/>
    </row>
    <row r="627" ht="15.75" customHeight="1">
      <c r="E627" s="84"/>
      <c r="K627" s="84"/>
      <c r="M627" s="84"/>
      <c r="N627" s="84"/>
      <c r="P627" s="84"/>
      <c r="S627" s="84"/>
    </row>
    <row r="628" ht="15.75" customHeight="1">
      <c r="E628" s="84"/>
      <c r="K628" s="84"/>
      <c r="M628" s="84"/>
      <c r="N628" s="84"/>
      <c r="P628" s="84"/>
      <c r="S628" s="84"/>
    </row>
    <row r="629" ht="15.75" customHeight="1">
      <c r="E629" s="84"/>
      <c r="K629" s="84"/>
      <c r="M629" s="84"/>
      <c r="N629" s="84"/>
      <c r="P629" s="84"/>
      <c r="S629" s="84"/>
    </row>
    <row r="630" ht="15.75" customHeight="1">
      <c r="E630" s="84"/>
      <c r="K630" s="84"/>
      <c r="M630" s="84"/>
      <c r="N630" s="84"/>
      <c r="P630" s="84"/>
      <c r="S630" s="84"/>
    </row>
    <row r="631" ht="15.75" customHeight="1">
      <c r="E631" s="84"/>
      <c r="K631" s="84"/>
      <c r="M631" s="84"/>
      <c r="N631" s="84"/>
      <c r="P631" s="84"/>
      <c r="S631" s="84"/>
    </row>
    <row r="632" ht="15.75" customHeight="1">
      <c r="E632" s="84"/>
      <c r="K632" s="84"/>
      <c r="M632" s="84"/>
      <c r="N632" s="84"/>
      <c r="P632" s="84"/>
      <c r="S632" s="84"/>
    </row>
    <row r="633" ht="15.75" customHeight="1">
      <c r="E633" s="84"/>
      <c r="K633" s="84"/>
      <c r="M633" s="84"/>
      <c r="N633" s="84"/>
      <c r="P633" s="84"/>
      <c r="S633" s="84"/>
    </row>
    <row r="634" ht="15.75" customHeight="1">
      <c r="E634" s="84"/>
      <c r="K634" s="84"/>
      <c r="M634" s="84"/>
      <c r="N634" s="84"/>
      <c r="P634" s="84"/>
      <c r="S634" s="84"/>
    </row>
    <row r="635" ht="15.75" customHeight="1">
      <c r="E635" s="84"/>
      <c r="K635" s="84"/>
      <c r="M635" s="84"/>
      <c r="N635" s="84"/>
      <c r="P635" s="84"/>
      <c r="S635" s="84"/>
    </row>
    <row r="636" ht="15.75" customHeight="1">
      <c r="E636" s="84"/>
      <c r="K636" s="84"/>
      <c r="M636" s="84"/>
      <c r="N636" s="84"/>
      <c r="P636" s="84"/>
      <c r="S636" s="84"/>
    </row>
    <row r="637" ht="15.75" customHeight="1">
      <c r="E637" s="84"/>
      <c r="K637" s="84"/>
      <c r="M637" s="84"/>
      <c r="N637" s="84"/>
      <c r="P637" s="84"/>
      <c r="S637" s="84"/>
    </row>
    <row r="638" ht="15.75" customHeight="1">
      <c r="E638" s="84"/>
      <c r="K638" s="84"/>
      <c r="M638" s="84"/>
      <c r="N638" s="84"/>
      <c r="P638" s="84"/>
      <c r="S638" s="84"/>
    </row>
    <row r="639" ht="15.75" customHeight="1">
      <c r="E639" s="84"/>
      <c r="K639" s="84"/>
      <c r="M639" s="84"/>
      <c r="N639" s="84"/>
      <c r="P639" s="84"/>
      <c r="S639" s="84"/>
    </row>
    <row r="640" ht="15.75" customHeight="1">
      <c r="E640" s="84"/>
      <c r="K640" s="84"/>
      <c r="M640" s="84"/>
      <c r="N640" s="84"/>
      <c r="P640" s="84"/>
      <c r="S640" s="84"/>
    </row>
    <row r="641" ht="15.75" customHeight="1">
      <c r="E641" s="84"/>
      <c r="K641" s="84"/>
      <c r="M641" s="84"/>
      <c r="N641" s="84"/>
      <c r="P641" s="84"/>
      <c r="S641" s="84"/>
    </row>
    <row r="642" ht="15.75" customHeight="1">
      <c r="E642" s="84"/>
      <c r="K642" s="84"/>
      <c r="M642" s="84"/>
      <c r="N642" s="84"/>
      <c r="P642" s="84"/>
      <c r="S642" s="84"/>
    </row>
    <row r="643" ht="15.75" customHeight="1">
      <c r="E643" s="84"/>
      <c r="K643" s="84"/>
      <c r="M643" s="84"/>
      <c r="N643" s="84"/>
      <c r="P643" s="84"/>
      <c r="S643" s="84"/>
    </row>
    <row r="644" ht="15.75" customHeight="1">
      <c r="E644" s="84"/>
      <c r="K644" s="84"/>
      <c r="M644" s="84"/>
      <c r="N644" s="84"/>
      <c r="P644" s="84"/>
      <c r="S644" s="84"/>
    </row>
    <row r="645" ht="15.75" customHeight="1">
      <c r="E645" s="84"/>
      <c r="K645" s="84"/>
      <c r="M645" s="84"/>
      <c r="N645" s="84"/>
      <c r="P645" s="84"/>
      <c r="S645" s="84"/>
    </row>
    <row r="646" ht="15.75" customHeight="1">
      <c r="E646" s="84"/>
      <c r="K646" s="84"/>
      <c r="M646" s="84"/>
      <c r="N646" s="84"/>
      <c r="P646" s="84"/>
      <c r="S646" s="84"/>
    </row>
    <row r="647" ht="15.75" customHeight="1">
      <c r="E647" s="84"/>
      <c r="K647" s="84"/>
      <c r="M647" s="84"/>
      <c r="N647" s="84"/>
      <c r="P647" s="84"/>
      <c r="S647" s="84"/>
    </row>
    <row r="648" ht="15.75" customHeight="1">
      <c r="E648" s="84"/>
      <c r="K648" s="84"/>
      <c r="M648" s="84"/>
      <c r="N648" s="84"/>
      <c r="P648" s="84"/>
      <c r="S648" s="84"/>
    </row>
    <row r="649" ht="15.75" customHeight="1">
      <c r="E649" s="84"/>
      <c r="K649" s="84"/>
      <c r="M649" s="84"/>
      <c r="N649" s="84"/>
      <c r="P649" s="84"/>
      <c r="S649" s="84"/>
    </row>
    <row r="650" ht="15.75" customHeight="1">
      <c r="E650" s="84"/>
      <c r="K650" s="84"/>
      <c r="M650" s="84"/>
      <c r="N650" s="84"/>
      <c r="P650" s="84"/>
      <c r="S650" s="84"/>
    </row>
    <row r="651" ht="15.75" customHeight="1">
      <c r="E651" s="84"/>
      <c r="K651" s="84"/>
      <c r="M651" s="84"/>
      <c r="N651" s="84"/>
      <c r="P651" s="84"/>
      <c r="S651" s="84"/>
    </row>
    <row r="652" ht="15.75" customHeight="1">
      <c r="E652" s="84"/>
      <c r="K652" s="84"/>
      <c r="M652" s="84"/>
      <c r="N652" s="84"/>
      <c r="P652" s="84"/>
      <c r="S652" s="84"/>
    </row>
    <row r="653" ht="15.75" customHeight="1">
      <c r="E653" s="84"/>
      <c r="K653" s="84"/>
      <c r="M653" s="84"/>
      <c r="N653" s="84"/>
      <c r="P653" s="84"/>
      <c r="S653" s="84"/>
    </row>
    <row r="654" ht="15.75" customHeight="1">
      <c r="E654" s="84"/>
      <c r="K654" s="84"/>
      <c r="M654" s="84"/>
      <c r="N654" s="84"/>
      <c r="P654" s="84"/>
      <c r="S654" s="84"/>
    </row>
    <row r="655" ht="15.75" customHeight="1">
      <c r="E655" s="84"/>
      <c r="K655" s="84"/>
      <c r="M655" s="84"/>
      <c r="N655" s="84"/>
      <c r="P655" s="84"/>
      <c r="S655" s="84"/>
    </row>
    <row r="656" ht="15.75" customHeight="1">
      <c r="E656" s="84"/>
      <c r="K656" s="84"/>
      <c r="M656" s="84"/>
      <c r="N656" s="84"/>
      <c r="P656" s="84"/>
      <c r="S656" s="84"/>
    </row>
    <row r="657" ht="15.75" customHeight="1">
      <c r="E657" s="84"/>
      <c r="K657" s="84"/>
      <c r="M657" s="84"/>
      <c r="N657" s="84"/>
      <c r="P657" s="84"/>
      <c r="S657" s="84"/>
    </row>
    <row r="658" ht="15.75" customHeight="1">
      <c r="E658" s="84"/>
      <c r="K658" s="84"/>
      <c r="M658" s="84"/>
      <c r="N658" s="84"/>
      <c r="P658" s="84"/>
      <c r="S658" s="84"/>
    </row>
    <row r="659" ht="15.75" customHeight="1">
      <c r="E659" s="84"/>
      <c r="K659" s="84"/>
      <c r="M659" s="84"/>
      <c r="N659" s="84"/>
      <c r="P659" s="84"/>
      <c r="S659" s="84"/>
    </row>
    <row r="660" ht="15.75" customHeight="1">
      <c r="E660" s="84"/>
      <c r="K660" s="84"/>
      <c r="M660" s="84"/>
      <c r="N660" s="84"/>
      <c r="P660" s="84"/>
      <c r="S660" s="84"/>
    </row>
    <row r="661" ht="15.75" customHeight="1">
      <c r="E661" s="84"/>
      <c r="K661" s="84"/>
      <c r="M661" s="84"/>
      <c r="N661" s="84"/>
      <c r="P661" s="84"/>
      <c r="S661" s="84"/>
    </row>
    <row r="662" ht="15.75" customHeight="1">
      <c r="E662" s="84"/>
      <c r="K662" s="84"/>
      <c r="M662" s="84"/>
      <c r="N662" s="84"/>
      <c r="P662" s="84"/>
      <c r="S662" s="84"/>
    </row>
    <row r="663" ht="15.75" customHeight="1">
      <c r="E663" s="84"/>
      <c r="K663" s="84"/>
      <c r="M663" s="84"/>
      <c r="N663" s="84"/>
      <c r="P663" s="84"/>
      <c r="S663" s="84"/>
    </row>
    <row r="664" ht="15.75" customHeight="1">
      <c r="E664" s="84"/>
      <c r="K664" s="84"/>
      <c r="M664" s="84"/>
      <c r="N664" s="84"/>
      <c r="P664" s="84"/>
      <c r="S664" s="84"/>
    </row>
    <row r="665" ht="15.75" customHeight="1">
      <c r="E665" s="84"/>
      <c r="K665" s="84"/>
      <c r="M665" s="84"/>
      <c r="N665" s="84"/>
      <c r="P665" s="84"/>
      <c r="S665" s="84"/>
    </row>
    <row r="666" ht="15.75" customHeight="1">
      <c r="E666" s="84"/>
      <c r="K666" s="84"/>
      <c r="M666" s="84"/>
      <c r="N666" s="84"/>
      <c r="P666" s="84"/>
      <c r="S666" s="84"/>
    </row>
    <row r="667" ht="15.75" customHeight="1">
      <c r="E667" s="84"/>
      <c r="K667" s="84"/>
      <c r="M667" s="84"/>
      <c r="N667" s="84"/>
      <c r="P667" s="84"/>
      <c r="S667" s="84"/>
    </row>
    <row r="668" ht="15.75" customHeight="1">
      <c r="E668" s="84"/>
      <c r="K668" s="84"/>
      <c r="M668" s="84"/>
      <c r="N668" s="84"/>
      <c r="P668" s="84"/>
      <c r="S668" s="84"/>
    </row>
    <row r="669" ht="15.75" customHeight="1">
      <c r="E669" s="84"/>
      <c r="K669" s="84"/>
      <c r="M669" s="84"/>
      <c r="N669" s="84"/>
      <c r="P669" s="84"/>
      <c r="S669" s="84"/>
    </row>
    <row r="670" ht="15.75" customHeight="1">
      <c r="E670" s="84"/>
      <c r="K670" s="84"/>
      <c r="M670" s="84"/>
      <c r="N670" s="84"/>
      <c r="P670" s="84"/>
      <c r="S670" s="84"/>
    </row>
    <row r="671" ht="15.75" customHeight="1">
      <c r="E671" s="84"/>
      <c r="K671" s="84"/>
      <c r="M671" s="84"/>
      <c r="N671" s="84"/>
      <c r="P671" s="84"/>
      <c r="S671" s="84"/>
    </row>
    <row r="672" ht="15.75" customHeight="1">
      <c r="E672" s="84"/>
      <c r="K672" s="84"/>
      <c r="M672" s="84"/>
      <c r="N672" s="84"/>
      <c r="P672" s="84"/>
      <c r="S672" s="84"/>
    </row>
    <row r="673" ht="15.75" customHeight="1">
      <c r="E673" s="84"/>
      <c r="K673" s="84"/>
      <c r="M673" s="84"/>
      <c r="N673" s="84"/>
      <c r="P673" s="84"/>
      <c r="S673" s="84"/>
    </row>
    <row r="674" ht="15.75" customHeight="1">
      <c r="E674" s="84"/>
      <c r="K674" s="84"/>
      <c r="M674" s="84"/>
      <c r="N674" s="84"/>
      <c r="P674" s="84"/>
      <c r="S674" s="84"/>
    </row>
    <row r="675" ht="15.75" customHeight="1">
      <c r="E675" s="84"/>
      <c r="K675" s="84"/>
      <c r="M675" s="84"/>
      <c r="N675" s="84"/>
      <c r="P675" s="84"/>
      <c r="S675" s="84"/>
    </row>
    <row r="676" ht="15.75" customHeight="1">
      <c r="E676" s="84"/>
      <c r="K676" s="84"/>
      <c r="M676" s="84"/>
      <c r="N676" s="84"/>
      <c r="P676" s="84"/>
      <c r="S676" s="84"/>
    </row>
    <row r="677" ht="15.75" customHeight="1">
      <c r="E677" s="84"/>
      <c r="K677" s="84"/>
      <c r="M677" s="84"/>
      <c r="N677" s="84"/>
      <c r="P677" s="84"/>
      <c r="S677" s="84"/>
    </row>
    <row r="678" ht="15.75" customHeight="1">
      <c r="E678" s="84"/>
      <c r="K678" s="84"/>
      <c r="M678" s="84"/>
      <c r="N678" s="84"/>
      <c r="P678" s="84"/>
      <c r="S678" s="84"/>
    </row>
    <row r="679" ht="15.75" customHeight="1">
      <c r="E679" s="84"/>
      <c r="K679" s="84"/>
      <c r="M679" s="84"/>
      <c r="N679" s="84"/>
      <c r="P679" s="84"/>
      <c r="S679" s="84"/>
    </row>
    <row r="680" ht="15.75" customHeight="1">
      <c r="E680" s="84"/>
      <c r="K680" s="84"/>
      <c r="M680" s="84"/>
      <c r="N680" s="84"/>
      <c r="P680" s="84"/>
      <c r="S680" s="84"/>
    </row>
    <row r="681" ht="15.75" customHeight="1">
      <c r="E681" s="84"/>
      <c r="K681" s="84"/>
      <c r="M681" s="84"/>
      <c r="N681" s="84"/>
      <c r="P681" s="84"/>
      <c r="S681" s="84"/>
    </row>
    <row r="682" ht="15.75" customHeight="1">
      <c r="E682" s="84"/>
      <c r="K682" s="84"/>
      <c r="M682" s="84"/>
      <c r="N682" s="84"/>
      <c r="P682" s="84"/>
      <c r="S682" s="84"/>
    </row>
    <row r="683" ht="15.75" customHeight="1">
      <c r="E683" s="84"/>
      <c r="K683" s="84"/>
      <c r="M683" s="84"/>
      <c r="N683" s="84"/>
      <c r="P683" s="84"/>
      <c r="S683" s="84"/>
    </row>
    <row r="684" ht="15.75" customHeight="1">
      <c r="E684" s="84"/>
      <c r="K684" s="84"/>
      <c r="M684" s="84"/>
      <c r="N684" s="84"/>
      <c r="P684" s="84"/>
      <c r="S684" s="84"/>
    </row>
    <row r="685" ht="15.75" customHeight="1">
      <c r="E685" s="84"/>
      <c r="K685" s="84"/>
      <c r="M685" s="84"/>
      <c r="N685" s="84"/>
      <c r="P685" s="84"/>
      <c r="S685" s="84"/>
    </row>
    <row r="686" ht="15.75" customHeight="1">
      <c r="E686" s="84"/>
      <c r="K686" s="84"/>
      <c r="M686" s="84"/>
      <c r="N686" s="84"/>
      <c r="P686" s="84"/>
      <c r="S686" s="84"/>
    </row>
    <row r="687" ht="15.75" customHeight="1">
      <c r="E687" s="84"/>
      <c r="K687" s="84"/>
      <c r="M687" s="84"/>
      <c r="N687" s="84"/>
      <c r="P687" s="84"/>
      <c r="S687" s="84"/>
    </row>
    <row r="688" ht="15.75" customHeight="1">
      <c r="E688" s="84"/>
      <c r="K688" s="84"/>
      <c r="M688" s="84"/>
      <c r="N688" s="84"/>
      <c r="P688" s="84"/>
      <c r="S688" s="84"/>
    </row>
    <row r="689" ht="15.75" customHeight="1">
      <c r="E689" s="84"/>
      <c r="K689" s="84"/>
      <c r="M689" s="84"/>
      <c r="N689" s="84"/>
      <c r="P689" s="84"/>
      <c r="S689" s="84"/>
    </row>
    <row r="690" ht="15.75" customHeight="1">
      <c r="E690" s="84"/>
      <c r="K690" s="84"/>
      <c r="M690" s="84"/>
      <c r="N690" s="84"/>
      <c r="P690" s="84"/>
      <c r="S690" s="84"/>
    </row>
    <row r="691" ht="15.75" customHeight="1">
      <c r="E691" s="84"/>
      <c r="K691" s="84"/>
      <c r="M691" s="84"/>
      <c r="N691" s="84"/>
      <c r="P691" s="84"/>
      <c r="S691" s="84"/>
    </row>
    <row r="692" ht="15.75" customHeight="1">
      <c r="E692" s="84"/>
      <c r="K692" s="84"/>
      <c r="M692" s="84"/>
      <c r="N692" s="84"/>
      <c r="P692" s="84"/>
      <c r="S692" s="84"/>
    </row>
    <row r="693" ht="15.75" customHeight="1">
      <c r="E693" s="84"/>
      <c r="K693" s="84"/>
      <c r="M693" s="84"/>
      <c r="N693" s="84"/>
      <c r="P693" s="84"/>
      <c r="S693" s="84"/>
    </row>
    <row r="694" ht="15.75" customHeight="1">
      <c r="E694" s="84"/>
      <c r="K694" s="84"/>
      <c r="M694" s="84"/>
      <c r="N694" s="84"/>
      <c r="P694" s="84"/>
      <c r="S694" s="84"/>
    </row>
    <row r="695" ht="15.75" customHeight="1">
      <c r="E695" s="84"/>
      <c r="K695" s="84"/>
      <c r="M695" s="84"/>
      <c r="N695" s="84"/>
      <c r="P695" s="84"/>
      <c r="S695" s="84"/>
    </row>
    <row r="696" ht="15.75" customHeight="1">
      <c r="E696" s="84"/>
      <c r="K696" s="84"/>
      <c r="M696" s="84"/>
      <c r="N696" s="84"/>
      <c r="P696" s="84"/>
      <c r="S696" s="84"/>
    </row>
    <row r="697" ht="15.75" customHeight="1">
      <c r="E697" s="84"/>
      <c r="K697" s="84"/>
      <c r="M697" s="84"/>
      <c r="N697" s="84"/>
      <c r="P697" s="84"/>
      <c r="S697" s="84"/>
    </row>
    <row r="698" ht="15.75" customHeight="1">
      <c r="E698" s="84"/>
      <c r="K698" s="84"/>
      <c r="M698" s="84"/>
      <c r="N698" s="84"/>
      <c r="P698" s="84"/>
      <c r="S698" s="84"/>
    </row>
    <row r="699" ht="15.75" customHeight="1">
      <c r="E699" s="84"/>
      <c r="K699" s="84"/>
      <c r="M699" s="84"/>
      <c r="N699" s="84"/>
      <c r="P699" s="84"/>
      <c r="S699" s="84"/>
    </row>
    <row r="700" ht="15.75" customHeight="1">
      <c r="E700" s="84"/>
      <c r="K700" s="84"/>
      <c r="M700" s="84"/>
      <c r="N700" s="84"/>
      <c r="P700" s="84"/>
      <c r="S700" s="84"/>
    </row>
    <row r="701" ht="15.75" customHeight="1">
      <c r="E701" s="84"/>
      <c r="K701" s="84"/>
      <c r="M701" s="84"/>
      <c r="N701" s="84"/>
      <c r="P701" s="84"/>
      <c r="S701" s="84"/>
    </row>
    <row r="702" ht="15.75" customHeight="1">
      <c r="E702" s="84"/>
      <c r="K702" s="84"/>
      <c r="M702" s="84"/>
      <c r="N702" s="84"/>
      <c r="P702" s="84"/>
      <c r="S702" s="84"/>
    </row>
    <row r="703" ht="15.75" customHeight="1">
      <c r="E703" s="84"/>
      <c r="K703" s="84"/>
      <c r="M703" s="84"/>
      <c r="N703" s="84"/>
      <c r="P703" s="84"/>
      <c r="S703" s="84"/>
    </row>
    <row r="704" ht="15.75" customHeight="1">
      <c r="E704" s="84"/>
      <c r="K704" s="84"/>
      <c r="M704" s="84"/>
      <c r="N704" s="84"/>
      <c r="P704" s="84"/>
      <c r="S704" s="84"/>
    </row>
    <row r="705" ht="15.75" customHeight="1">
      <c r="E705" s="84"/>
      <c r="K705" s="84"/>
      <c r="M705" s="84"/>
      <c r="N705" s="84"/>
      <c r="P705" s="84"/>
      <c r="S705" s="84"/>
    </row>
    <row r="706" ht="15.75" customHeight="1">
      <c r="E706" s="84"/>
      <c r="K706" s="84"/>
      <c r="M706" s="84"/>
      <c r="N706" s="84"/>
      <c r="P706" s="84"/>
      <c r="S706" s="84"/>
    </row>
    <row r="707" ht="15.75" customHeight="1">
      <c r="E707" s="84"/>
      <c r="K707" s="84"/>
      <c r="M707" s="84"/>
      <c r="N707" s="84"/>
      <c r="P707" s="84"/>
      <c r="S707" s="84"/>
    </row>
    <row r="708" ht="15.75" customHeight="1">
      <c r="E708" s="84"/>
      <c r="K708" s="84"/>
      <c r="M708" s="84"/>
      <c r="N708" s="84"/>
      <c r="P708" s="84"/>
      <c r="S708" s="84"/>
    </row>
    <row r="709" ht="15.75" customHeight="1">
      <c r="E709" s="84"/>
      <c r="K709" s="84"/>
      <c r="M709" s="84"/>
      <c r="N709" s="84"/>
      <c r="P709" s="84"/>
      <c r="S709" s="84"/>
    </row>
    <row r="710" ht="15.75" customHeight="1">
      <c r="E710" s="84"/>
      <c r="K710" s="84"/>
      <c r="M710" s="84"/>
      <c r="N710" s="84"/>
      <c r="P710" s="84"/>
      <c r="S710" s="84"/>
    </row>
    <row r="711" ht="15.75" customHeight="1">
      <c r="E711" s="84"/>
      <c r="K711" s="84"/>
      <c r="M711" s="84"/>
      <c r="N711" s="84"/>
      <c r="P711" s="84"/>
      <c r="S711" s="84"/>
    </row>
    <row r="712" ht="15.75" customHeight="1">
      <c r="E712" s="84"/>
      <c r="K712" s="84"/>
      <c r="M712" s="84"/>
      <c r="N712" s="84"/>
      <c r="P712" s="84"/>
      <c r="S712" s="84"/>
    </row>
    <row r="713" ht="15.75" customHeight="1">
      <c r="E713" s="84"/>
      <c r="K713" s="84"/>
      <c r="M713" s="84"/>
      <c r="N713" s="84"/>
      <c r="P713" s="84"/>
      <c r="S713" s="84"/>
    </row>
    <row r="714" ht="15.75" customHeight="1">
      <c r="E714" s="84"/>
      <c r="K714" s="84"/>
      <c r="M714" s="84"/>
      <c r="N714" s="84"/>
      <c r="P714" s="84"/>
      <c r="S714" s="84"/>
    </row>
    <row r="715" ht="15.75" customHeight="1">
      <c r="E715" s="84"/>
      <c r="K715" s="84"/>
      <c r="M715" s="84"/>
      <c r="N715" s="84"/>
      <c r="P715" s="84"/>
      <c r="S715" s="84"/>
    </row>
    <row r="716" ht="15.75" customHeight="1">
      <c r="E716" s="84"/>
      <c r="K716" s="84"/>
      <c r="M716" s="84"/>
      <c r="N716" s="84"/>
      <c r="P716" s="84"/>
      <c r="S716" s="84"/>
    </row>
    <row r="717" ht="15.75" customHeight="1">
      <c r="E717" s="84"/>
      <c r="K717" s="84"/>
      <c r="M717" s="84"/>
      <c r="N717" s="84"/>
      <c r="P717" s="84"/>
      <c r="S717" s="84"/>
    </row>
    <row r="718" ht="15.75" customHeight="1">
      <c r="E718" s="84"/>
      <c r="K718" s="84"/>
      <c r="M718" s="84"/>
      <c r="N718" s="84"/>
      <c r="P718" s="84"/>
      <c r="S718" s="84"/>
    </row>
    <row r="719" ht="15.75" customHeight="1">
      <c r="E719" s="84"/>
      <c r="K719" s="84"/>
      <c r="M719" s="84"/>
      <c r="N719" s="84"/>
      <c r="P719" s="84"/>
      <c r="S719" s="84"/>
    </row>
    <row r="720" ht="15.75" customHeight="1">
      <c r="E720" s="84"/>
      <c r="K720" s="84"/>
      <c r="M720" s="84"/>
      <c r="N720" s="84"/>
      <c r="P720" s="84"/>
      <c r="S720" s="84"/>
    </row>
    <row r="721" ht="15.75" customHeight="1">
      <c r="E721" s="84"/>
      <c r="K721" s="84"/>
      <c r="M721" s="84"/>
      <c r="N721" s="84"/>
      <c r="P721" s="84"/>
      <c r="S721" s="84"/>
    </row>
    <row r="722" ht="15.75" customHeight="1">
      <c r="E722" s="84"/>
      <c r="K722" s="84"/>
      <c r="M722" s="84"/>
      <c r="N722" s="84"/>
      <c r="P722" s="84"/>
      <c r="S722" s="84"/>
    </row>
    <row r="723" ht="15.75" customHeight="1">
      <c r="E723" s="84"/>
      <c r="K723" s="84"/>
      <c r="M723" s="84"/>
      <c r="N723" s="84"/>
      <c r="P723" s="84"/>
      <c r="S723" s="84"/>
    </row>
    <row r="724" ht="15.75" customHeight="1">
      <c r="E724" s="84"/>
      <c r="K724" s="84"/>
      <c r="M724" s="84"/>
      <c r="N724" s="84"/>
      <c r="P724" s="84"/>
      <c r="S724" s="84"/>
    </row>
    <row r="725" ht="15.75" customHeight="1">
      <c r="E725" s="84"/>
      <c r="K725" s="84"/>
      <c r="M725" s="84"/>
      <c r="N725" s="84"/>
      <c r="P725" s="84"/>
      <c r="S725" s="84"/>
    </row>
    <row r="726" ht="15.75" customHeight="1">
      <c r="E726" s="84"/>
      <c r="K726" s="84"/>
      <c r="M726" s="84"/>
      <c r="N726" s="84"/>
      <c r="P726" s="84"/>
      <c r="S726" s="84"/>
    </row>
    <row r="727" ht="15.75" customHeight="1">
      <c r="E727" s="84"/>
      <c r="K727" s="84"/>
      <c r="M727" s="84"/>
      <c r="N727" s="84"/>
      <c r="P727" s="84"/>
      <c r="S727" s="84"/>
    </row>
    <row r="728" ht="15.75" customHeight="1">
      <c r="E728" s="84"/>
      <c r="K728" s="84"/>
      <c r="M728" s="84"/>
      <c r="N728" s="84"/>
      <c r="P728" s="84"/>
      <c r="S728" s="84"/>
    </row>
    <row r="729" ht="15.75" customHeight="1">
      <c r="E729" s="84"/>
      <c r="K729" s="84"/>
      <c r="M729" s="84"/>
      <c r="N729" s="84"/>
      <c r="P729" s="84"/>
      <c r="S729" s="84"/>
    </row>
    <row r="730" ht="15.75" customHeight="1">
      <c r="E730" s="84"/>
      <c r="K730" s="84"/>
      <c r="M730" s="84"/>
      <c r="N730" s="84"/>
      <c r="P730" s="84"/>
      <c r="S730" s="84"/>
    </row>
    <row r="731" ht="15.75" customHeight="1">
      <c r="E731" s="84"/>
      <c r="K731" s="84"/>
      <c r="M731" s="84"/>
      <c r="N731" s="84"/>
      <c r="P731" s="84"/>
      <c r="S731" s="84"/>
    </row>
    <row r="732" ht="15.75" customHeight="1">
      <c r="E732" s="84"/>
      <c r="K732" s="84"/>
      <c r="M732" s="84"/>
      <c r="N732" s="84"/>
      <c r="P732" s="84"/>
      <c r="S732" s="84"/>
    </row>
    <row r="733" ht="15.75" customHeight="1">
      <c r="E733" s="84"/>
      <c r="K733" s="84"/>
      <c r="M733" s="84"/>
      <c r="N733" s="84"/>
      <c r="P733" s="84"/>
      <c r="S733" s="84"/>
    </row>
    <row r="734" ht="15.75" customHeight="1">
      <c r="E734" s="84"/>
      <c r="K734" s="84"/>
      <c r="M734" s="84"/>
      <c r="N734" s="84"/>
      <c r="P734" s="84"/>
      <c r="S734" s="84"/>
    </row>
    <row r="735" ht="15.75" customHeight="1">
      <c r="E735" s="84"/>
      <c r="K735" s="84"/>
      <c r="M735" s="84"/>
      <c r="N735" s="84"/>
      <c r="P735" s="84"/>
      <c r="S735" s="84"/>
    </row>
    <row r="736" ht="15.75" customHeight="1">
      <c r="E736" s="84"/>
      <c r="K736" s="84"/>
      <c r="M736" s="84"/>
      <c r="N736" s="84"/>
      <c r="P736" s="84"/>
      <c r="S736" s="84"/>
    </row>
    <row r="737" ht="15.75" customHeight="1">
      <c r="E737" s="84"/>
      <c r="K737" s="84"/>
      <c r="M737" s="84"/>
      <c r="N737" s="84"/>
      <c r="P737" s="84"/>
      <c r="S737" s="84"/>
    </row>
    <row r="738" ht="15.75" customHeight="1">
      <c r="E738" s="84"/>
      <c r="K738" s="84"/>
      <c r="M738" s="84"/>
      <c r="N738" s="84"/>
      <c r="P738" s="84"/>
      <c r="S738" s="84"/>
    </row>
    <row r="739" ht="15.75" customHeight="1">
      <c r="E739" s="84"/>
      <c r="K739" s="84"/>
      <c r="M739" s="84"/>
      <c r="N739" s="84"/>
      <c r="P739" s="84"/>
      <c r="S739" s="84"/>
    </row>
    <row r="740" ht="15.75" customHeight="1">
      <c r="E740" s="84"/>
      <c r="K740" s="84"/>
      <c r="M740" s="84"/>
      <c r="N740" s="84"/>
      <c r="P740" s="84"/>
      <c r="S740" s="84"/>
    </row>
    <row r="741" ht="15.75" customHeight="1">
      <c r="E741" s="84"/>
      <c r="K741" s="84"/>
      <c r="M741" s="84"/>
      <c r="N741" s="84"/>
      <c r="P741" s="84"/>
      <c r="S741" s="84"/>
    </row>
    <row r="742" ht="15.75" customHeight="1">
      <c r="E742" s="84"/>
      <c r="K742" s="84"/>
      <c r="M742" s="84"/>
      <c r="N742" s="84"/>
      <c r="P742" s="84"/>
      <c r="S742" s="84"/>
    </row>
    <row r="743" ht="15.75" customHeight="1">
      <c r="E743" s="84"/>
      <c r="K743" s="84"/>
      <c r="M743" s="84"/>
      <c r="N743" s="84"/>
      <c r="P743" s="84"/>
      <c r="S743" s="84"/>
    </row>
    <row r="744" ht="15.75" customHeight="1">
      <c r="E744" s="84"/>
      <c r="K744" s="84"/>
      <c r="M744" s="84"/>
      <c r="N744" s="84"/>
      <c r="P744" s="84"/>
      <c r="S744" s="84"/>
    </row>
    <row r="745" ht="15.75" customHeight="1">
      <c r="E745" s="84"/>
      <c r="K745" s="84"/>
      <c r="M745" s="84"/>
      <c r="N745" s="84"/>
      <c r="P745" s="84"/>
      <c r="S745" s="84"/>
    </row>
    <row r="746" ht="15.75" customHeight="1">
      <c r="E746" s="84"/>
      <c r="K746" s="84"/>
      <c r="M746" s="84"/>
      <c r="N746" s="84"/>
      <c r="P746" s="84"/>
      <c r="S746" s="84"/>
    </row>
    <row r="747" ht="15.75" customHeight="1">
      <c r="E747" s="84"/>
      <c r="K747" s="84"/>
      <c r="M747" s="84"/>
      <c r="N747" s="84"/>
      <c r="P747" s="84"/>
      <c r="S747" s="84"/>
    </row>
    <row r="748" ht="15.75" customHeight="1">
      <c r="E748" s="84"/>
      <c r="K748" s="84"/>
      <c r="M748" s="84"/>
      <c r="N748" s="84"/>
      <c r="P748" s="84"/>
      <c r="S748" s="84"/>
    </row>
    <row r="749" ht="15.75" customHeight="1">
      <c r="E749" s="84"/>
      <c r="K749" s="84"/>
      <c r="M749" s="84"/>
      <c r="N749" s="84"/>
      <c r="P749" s="84"/>
      <c r="S749" s="84"/>
    </row>
    <row r="750" ht="15.75" customHeight="1">
      <c r="E750" s="84"/>
      <c r="K750" s="84"/>
      <c r="M750" s="84"/>
      <c r="N750" s="84"/>
      <c r="P750" s="84"/>
      <c r="S750" s="84"/>
    </row>
    <row r="751" ht="15.75" customHeight="1">
      <c r="E751" s="84"/>
      <c r="K751" s="84"/>
      <c r="M751" s="84"/>
      <c r="N751" s="84"/>
      <c r="P751" s="84"/>
      <c r="S751" s="84"/>
    </row>
    <row r="752" ht="15.75" customHeight="1">
      <c r="E752" s="84"/>
      <c r="K752" s="84"/>
      <c r="M752" s="84"/>
      <c r="N752" s="84"/>
      <c r="P752" s="84"/>
      <c r="S752" s="84"/>
    </row>
    <row r="753" ht="15.75" customHeight="1">
      <c r="E753" s="84"/>
      <c r="K753" s="84"/>
      <c r="M753" s="84"/>
      <c r="N753" s="84"/>
      <c r="P753" s="84"/>
      <c r="S753" s="84"/>
    </row>
    <row r="754" ht="15.75" customHeight="1">
      <c r="E754" s="84"/>
      <c r="K754" s="84"/>
      <c r="M754" s="84"/>
      <c r="N754" s="84"/>
      <c r="P754" s="84"/>
      <c r="S754" s="84"/>
    </row>
    <row r="755" ht="15.75" customHeight="1">
      <c r="E755" s="84"/>
      <c r="K755" s="84"/>
      <c r="M755" s="84"/>
      <c r="N755" s="84"/>
      <c r="P755" s="84"/>
      <c r="S755" s="84"/>
    </row>
    <row r="756" ht="15.75" customHeight="1">
      <c r="E756" s="84"/>
      <c r="K756" s="84"/>
      <c r="M756" s="84"/>
      <c r="N756" s="84"/>
      <c r="P756" s="84"/>
      <c r="S756" s="84"/>
    </row>
    <row r="757" ht="15.75" customHeight="1">
      <c r="E757" s="84"/>
      <c r="K757" s="84"/>
      <c r="M757" s="84"/>
      <c r="N757" s="84"/>
      <c r="P757" s="84"/>
      <c r="S757" s="84"/>
    </row>
    <row r="758" ht="15.75" customHeight="1">
      <c r="E758" s="84"/>
      <c r="K758" s="84"/>
      <c r="M758" s="84"/>
      <c r="N758" s="84"/>
      <c r="P758" s="84"/>
      <c r="S758" s="84"/>
    </row>
    <row r="759" ht="15.75" customHeight="1">
      <c r="E759" s="84"/>
      <c r="K759" s="84"/>
      <c r="M759" s="84"/>
      <c r="N759" s="84"/>
      <c r="P759" s="84"/>
      <c r="S759" s="84"/>
    </row>
    <row r="760" ht="15.75" customHeight="1">
      <c r="E760" s="84"/>
      <c r="K760" s="84"/>
      <c r="M760" s="84"/>
      <c r="N760" s="84"/>
      <c r="P760" s="84"/>
      <c r="S760" s="84"/>
    </row>
    <row r="761" ht="15.75" customHeight="1">
      <c r="E761" s="84"/>
      <c r="K761" s="84"/>
      <c r="M761" s="84"/>
      <c r="N761" s="84"/>
      <c r="P761" s="84"/>
      <c r="S761" s="84"/>
    </row>
    <row r="762" ht="15.75" customHeight="1">
      <c r="E762" s="84"/>
      <c r="K762" s="84"/>
      <c r="M762" s="84"/>
      <c r="N762" s="84"/>
      <c r="P762" s="84"/>
      <c r="S762" s="84"/>
    </row>
    <row r="763" ht="15.75" customHeight="1">
      <c r="E763" s="84"/>
      <c r="K763" s="84"/>
      <c r="M763" s="84"/>
      <c r="N763" s="84"/>
      <c r="P763" s="84"/>
      <c r="S763" s="84"/>
    </row>
    <row r="764" ht="15.75" customHeight="1">
      <c r="E764" s="84"/>
      <c r="K764" s="84"/>
      <c r="M764" s="84"/>
      <c r="N764" s="84"/>
      <c r="P764" s="84"/>
      <c r="S764" s="84"/>
    </row>
    <row r="765" ht="15.75" customHeight="1">
      <c r="E765" s="84"/>
      <c r="K765" s="84"/>
      <c r="M765" s="84"/>
      <c r="N765" s="84"/>
      <c r="P765" s="84"/>
      <c r="S765" s="84"/>
    </row>
    <row r="766" ht="15.75" customHeight="1">
      <c r="E766" s="84"/>
      <c r="K766" s="84"/>
      <c r="M766" s="84"/>
      <c r="N766" s="84"/>
      <c r="P766" s="84"/>
      <c r="S766" s="84"/>
    </row>
    <row r="767" ht="15.75" customHeight="1">
      <c r="E767" s="84"/>
      <c r="K767" s="84"/>
      <c r="M767" s="84"/>
      <c r="N767" s="84"/>
      <c r="P767" s="84"/>
      <c r="S767" s="84"/>
    </row>
    <row r="768" ht="15.75" customHeight="1">
      <c r="E768" s="84"/>
      <c r="K768" s="84"/>
      <c r="M768" s="84"/>
      <c r="N768" s="84"/>
      <c r="P768" s="84"/>
      <c r="S768" s="84"/>
    </row>
    <row r="769" ht="15.75" customHeight="1">
      <c r="E769" s="84"/>
      <c r="K769" s="84"/>
      <c r="M769" s="84"/>
      <c r="N769" s="84"/>
      <c r="P769" s="84"/>
      <c r="S769" s="84"/>
    </row>
    <row r="770" ht="15.75" customHeight="1">
      <c r="E770" s="84"/>
      <c r="K770" s="84"/>
      <c r="M770" s="84"/>
      <c r="N770" s="84"/>
      <c r="P770" s="84"/>
      <c r="S770" s="84"/>
    </row>
    <row r="771" ht="15.75" customHeight="1">
      <c r="E771" s="84"/>
      <c r="K771" s="84"/>
      <c r="M771" s="84"/>
      <c r="N771" s="84"/>
      <c r="P771" s="84"/>
      <c r="S771" s="84"/>
    </row>
    <row r="772" ht="15.75" customHeight="1">
      <c r="E772" s="84"/>
      <c r="K772" s="84"/>
      <c r="M772" s="84"/>
      <c r="N772" s="84"/>
      <c r="P772" s="84"/>
      <c r="S772" s="84"/>
    </row>
    <row r="773" ht="15.75" customHeight="1">
      <c r="E773" s="84"/>
      <c r="K773" s="84"/>
      <c r="M773" s="84"/>
      <c r="N773" s="84"/>
      <c r="P773" s="84"/>
      <c r="S773" s="84"/>
    </row>
    <row r="774" ht="15.75" customHeight="1">
      <c r="E774" s="84"/>
      <c r="K774" s="84"/>
      <c r="M774" s="84"/>
      <c r="N774" s="84"/>
      <c r="P774" s="84"/>
      <c r="S774" s="84"/>
    </row>
    <row r="775" ht="15.75" customHeight="1">
      <c r="E775" s="84"/>
      <c r="K775" s="84"/>
      <c r="M775" s="84"/>
      <c r="N775" s="84"/>
      <c r="P775" s="84"/>
      <c r="S775" s="84"/>
    </row>
    <row r="776" ht="15.75" customHeight="1">
      <c r="E776" s="84"/>
      <c r="K776" s="84"/>
      <c r="M776" s="84"/>
      <c r="N776" s="84"/>
      <c r="P776" s="84"/>
      <c r="S776" s="84"/>
    </row>
    <row r="777" ht="15.75" customHeight="1">
      <c r="E777" s="84"/>
      <c r="K777" s="84"/>
      <c r="M777" s="84"/>
      <c r="N777" s="84"/>
      <c r="P777" s="84"/>
      <c r="S777" s="84"/>
    </row>
    <row r="778" ht="15.75" customHeight="1">
      <c r="E778" s="84"/>
      <c r="K778" s="84"/>
      <c r="M778" s="84"/>
      <c r="N778" s="84"/>
      <c r="P778" s="84"/>
      <c r="S778" s="84"/>
    </row>
    <row r="779" ht="15.75" customHeight="1">
      <c r="E779" s="84"/>
      <c r="K779" s="84"/>
      <c r="M779" s="84"/>
      <c r="N779" s="84"/>
      <c r="P779" s="84"/>
      <c r="S779" s="84"/>
    </row>
    <row r="780" ht="15.75" customHeight="1">
      <c r="E780" s="84"/>
      <c r="K780" s="84"/>
      <c r="M780" s="84"/>
      <c r="N780" s="84"/>
      <c r="P780" s="84"/>
      <c r="S780" s="84"/>
    </row>
    <row r="781" ht="15.75" customHeight="1">
      <c r="E781" s="84"/>
      <c r="K781" s="84"/>
      <c r="M781" s="84"/>
      <c r="N781" s="84"/>
      <c r="P781" s="84"/>
      <c r="S781" s="84"/>
    </row>
    <row r="782" ht="15.75" customHeight="1">
      <c r="E782" s="84"/>
      <c r="K782" s="84"/>
      <c r="M782" s="84"/>
      <c r="N782" s="84"/>
      <c r="P782" s="84"/>
      <c r="S782" s="84"/>
    </row>
    <row r="783" ht="15.75" customHeight="1">
      <c r="E783" s="84"/>
      <c r="K783" s="84"/>
      <c r="M783" s="84"/>
      <c r="N783" s="84"/>
      <c r="P783" s="84"/>
      <c r="S783" s="84"/>
    </row>
    <row r="784" ht="15.75" customHeight="1">
      <c r="E784" s="84"/>
      <c r="K784" s="84"/>
      <c r="M784" s="84"/>
      <c r="N784" s="84"/>
      <c r="P784" s="84"/>
      <c r="S784" s="84"/>
    </row>
    <row r="785" ht="15.75" customHeight="1">
      <c r="E785" s="84"/>
      <c r="K785" s="84"/>
      <c r="M785" s="84"/>
      <c r="N785" s="84"/>
      <c r="P785" s="84"/>
      <c r="S785" s="84"/>
    </row>
    <row r="786" ht="15.75" customHeight="1">
      <c r="E786" s="84"/>
      <c r="K786" s="84"/>
      <c r="M786" s="84"/>
      <c r="N786" s="84"/>
      <c r="P786" s="84"/>
      <c r="S786" s="84"/>
    </row>
    <row r="787" ht="15.75" customHeight="1">
      <c r="E787" s="84"/>
      <c r="K787" s="84"/>
      <c r="M787" s="84"/>
      <c r="N787" s="84"/>
      <c r="P787" s="84"/>
      <c r="S787" s="84"/>
    </row>
    <row r="788" ht="15.75" customHeight="1">
      <c r="E788" s="84"/>
      <c r="K788" s="84"/>
      <c r="M788" s="84"/>
      <c r="N788" s="84"/>
      <c r="P788" s="84"/>
      <c r="S788" s="84"/>
    </row>
    <row r="789" ht="15.75" customHeight="1">
      <c r="E789" s="84"/>
      <c r="K789" s="84"/>
      <c r="M789" s="84"/>
      <c r="N789" s="84"/>
      <c r="P789" s="84"/>
      <c r="S789" s="84"/>
    </row>
    <row r="790" ht="15.75" customHeight="1">
      <c r="E790" s="84"/>
      <c r="K790" s="84"/>
      <c r="M790" s="84"/>
      <c r="N790" s="84"/>
      <c r="P790" s="84"/>
      <c r="S790" s="84"/>
    </row>
    <row r="791" ht="15.75" customHeight="1">
      <c r="E791" s="84"/>
      <c r="K791" s="84"/>
      <c r="M791" s="84"/>
      <c r="N791" s="84"/>
      <c r="P791" s="84"/>
      <c r="S791" s="84"/>
    </row>
    <row r="792" ht="15.75" customHeight="1">
      <c r="E792" s="84"/>
      <c r="K792" s="84"/>
      <c r="M792" s="84"/>
      <c r="N792" s="84"/>
      <c r="P792" s="84"/>
      <c r="S792" s="84"/>
    </row>
    <row r="793" ht="15.75" customHeight="1">
      <c r="E793" s="84"/>
      <c r="K793" s="84"/>
      <c r="M793" s="84"/>
      <c r="N793" s="84"/>
      <c r="P793" s="84"/>
      <c r="S793" s="84"/>
    </row>
    <row r="794" ht="15.75" customHeight="1">
      <c r="E794" s="84"/>
      <c r="K794" s="84"/>
      <c r="M794" s="84"/>
      <c r="N794" s="84"/>
      <c r="P794" s="84"/>
      <c r="S794" s="84"/>
    </row>
    <row r="795" ht="15.75" customHeight="1">
      <c r="E795" s="84"/>
      <c r="K795" s="84"/>
      <c r="M795" s="84"/>
      <c r="N795" s="84"/>
      <c r="P795" s="84"/>
      <c r="S795" s="84"/>
    </row>
    <row r="796" ht="15.75" customHeight="1">
      <c r="E796" s="84"/>
      <c r="K796" s="84"/>
      <c r="M796" s="84"/>
      <c r="N796" s="84"/>
      <c r="P796" s="84"/>
      <c r="S796" s="84"/>
    </row>
    <row r="797" ht="15.75" customHeight="1">
      <c r="E797" s="84"/>
      <c r="K797" s="84"/>
      <c r="M797" s="84"/>
      <c r="N797" s="84"/>
      <c r="P797" s="84"/>
      <c r="S797" s="84"/>
    </row>
    <row r="798" ht="15.75" customHeight="1">
      <c r="E798" s="84"/>
      <c r="K798" s="84"/>
      <c r="M798" s="84"/>
      <c r="N798" s="84"/>
      <c r="P798" s="84"/>
      <c r="S798" s="84"/>
    </row>
    <row r="799" ht="15.75" customHeight="1">
      <c r="E799" s="84"/>
      <c r="K799" s="84"/>
      <c r="M799" s="84"/>
      <c r="N799" s="84"/>
      <c r="P799" s="84"/>
      <c r="S799" s="84"/>
    </row>
    <row r="800" ht="15.75" customHeight="1">
      <c r="E800" s="84"/>
      <c r="K800" s="84"/>
      <c r="M800" s="84"/>
      <c r="N800" s="84"/>
      <c r="P800" s="84"/>
      <c r="S800" s="84"/>
    </row>
    <row r="801" ht="15.75" customHeight="1">
      <c r="E801" s="84"/>
      <c r="K801" s="84"/>
      <c r="M801" s="84"/>
      <c r="N801" s="84"/>
      <c r="P801" s="84"/>
      <c r="S801" s="84"/>
    </row>
    <row r="802" ht="15.75" customHeight="1">
      <c r="E802" s="84"/>
      <c r="K802" s="84"/>
      <c r="M802" s="84"/>
      <c r="N802" s="84"/>
      <c r="P802" s="84"/>
      <c r="S802" s="84"/>
    </row>
    <row r="803" ht="15.75" customHeight="1">
      <c r="E803" s="84"/>
      <c r="K803" s="84"/>
      <c r="M803" s="84"/>
      <c r="N803" s="84"/>
      <c r="P803" s="84"/>
      <c r="S803" s="84"/>
    </row>
    <row r="804" ht="15.75" customHeight="1">
      <c r="E804" s="84"/>
      <c r="K804" s="84"/>
      <c r="M804" s="84"/>
      <c r="N804" s="84"/>
      <c r="P804" s="84"/>
      <c r="S804" s="84"/>
    </row>
    <row r="805" ht="15.75" customHeight="1">
      <c r="E805" s="84"/>
      <c r="K805" s="84"/>
      <c r="M805" s="84"/>
      <c r="N805" s="84"/>
      <c r="P805" s="84"/>
      <c r="S805" s="84"/>
    </row>
    <row r="806" ht="15.75" customHeight="1">
      <c r="E806" s="84"/>
      <c r="K806" s="84"/>
      <c r="M806" s="84"/>
      <c r="N806" s="84"/>
      <c r="P806" s="84"/>
      <c r="S806" s="84"/>
    </row>
    <row r="807" ht="15.75" customHeight="1">
      <c r="E807" s="84"/>
      <c r="K807" s="84"/>
      <c r="M807" s="84"/>
      <c r="N807" s="84"/>
      <c r="P807" s="84"/>
      <c r="S807" s="84"/>
    </row>
    <row r="808" ht="15.75" customHeight="1">
      <c r="E808" s="84"/>
      <c r="K808" s="84"/>
      <c r="M808" s="84"/>
      <c r="N808" s="84"/>
      <c r="P808" s="84"/>
      <c r="S808" s="84"/>
    </row>
    <row r="809" ht="15.75" customHeight="1">
      <c r="E809" s="84"/>
      <c r="K809" s="84"/>
      <c r="M809" s="84"/>
      <c r="N809" s="84"/>
      <c r="P809" s="84"/>
      <c r="S809" s="84"/>
    </row>
    <row r="810" ht="15.75" customHeight="1">
      <c r="E810" s="84"/>
      <c r="K810" s="84"/>
      <c r="M810" s="84"/>
      <c r="N810" s="84"/>
      <c r="P810" s="84"/>
      <c r="S810" s="84"/>
    </row>
    <row r="811" ht="15.75" customHeight="1">
      <c r="E811" s="84"/>
      <c r="K811" s="84"/>
      <c r="M811" s="84"/>
      <c r="N811" s="84"/>
      <c r="P811" s="84"/>
      <c r="S811" s="84"/>
    </row>
    <row r="812" ht="15.75" customHeight="1">
      <c r="E812" s="84"/>
      <c r="K812" s="84"/>
      <c r="M812" s="84"/>
      <c r="N812" s="84"/>
      <c r="P812" s="84"/>
      <c r="S812" s="84"/>
    </row>
    <row r="813" ht="15.75" customHeight="1">
      <c r="E813" s="84"/>
      <c r="K813" s="84"/>
      <c r="M813" s="84"/>
      <c r="N813" s="84"/>
      <c r="P813" s="84"/>
      <c r="S813" s="84"/>
    </row>
    <row r="814" ht="15.75" customHeight="1">
      <c r="E814" s="84"/>
      <c r="K814" s="84"/>
      <c r="M814" s="84"/>
      <c r="N814" s="84"/>
      <c r="P814" s="84"/>
      <c r="S814" s="84"/>
    </row>
    <row r="815" ht="15.75" customHeight="1">
      <c r="E815" s="84"/>
      <c r="K815" s="84"/>
      <c r="M815" s="84"/>
      <c r="N815" s="84"/>
      <c r="P815" s="84"/>
      <c r="S815" s="84"/>
    </row>
    <row r="816" ht="15.75" customHeight="1">
      <c r="E816" s="84"/>
      <c r="K816" s="84"/>
      <c r="M816" s="84"/>
      <c r="N816" s="84"/>
      <c r="P816" s="84"/>
      <c r="S816" s="84"/>
    </row>
    <row r="817" ht="15.75" customHeight="1">
      <c r="E817" s="84"/>
      <c r="K817" s="84"/>
      <c r="M817" s="84"/>
      <c r="N817" s="84"/>
      <c r="P817" s="84"/>
      <c r="S817" s="84"/>
    </row>
    <row r="818" ht="15.75" customHeight="1">
      <c r="E818" s="84"/>
      <c r="K818" s="84"/>
      <c r="M818" s="84"/>
      <c r="N818" s="84"/>
      <c r="P818" s="84"/>
      <c r="S818" s="84"/>
    </row>
    <row r="819" ht="15.75" customHeight="1">
      <c r="E819" s="84"/>
      <c r="K819" s="84"/>
      <c r="M819" s="84"/>
      <c r="N819" s="84"/>
      <c r="P819" s="84"/>
      <c r="S819" s="84"/>
    </row>
    <row r="820" ht="15.75" customHeight="1">
      <c r="E820" s="84"/>
      <c r="K820" s="84"/>
      <c r="M820" s="84"/>
      <c r="N820" s="84"/>
      <c r="P820" s="84"/>
      <c r="S820" s="84"/>
    </row>
    <row r="821" ht="15.75" customHeight="1">
      <c r="E821" s="84"/>
      <c r="K821" s="84"/>
      <c r="M821" s="84"/>
      <c r="N821" s="84"/>
      <c r="P821" s="84"/>
      <c r="S821" s="84"/>
    </row>
    <row r="822" ht="15.75" customHeight="1">
      <c r="E822" s="84"/>
      <c r="K822" s="84"/>
      <c r="M822" s="84"/>
      <c r="N822" s="84"/>
      <c r="P822" s="84"/>
      <c r="S822" s="84"/>
    </row>
    <row r="823" ht="15.75" customHeight="1">
      <c r="E823" s="84"/>
      <c r="K823" s="84"/>
      <c r="M823" s="84"/>
      <c r="N823" s="84"/>
      <c r="P823" s="84"/>
      <c r="S823" s="84"/>
    </row>
    <row r="824" ht="15.75" customHeight="1">
      <c r="E824" s="84"/>
      <c r="K824" s="84"/>
      <c r="M824" s="84"/>
      <c r="N824" s="84"/>
      <c r="P824" s="84"/>
      <c r="S824" s="84"/>
    </row>
    <row r="825" ht="15.75" customHeight="1">
      <c r="E825" s="84"/>
      <c r="K825" s="84"/>
      <c r="M825" s="84"/>
      <c r="N825" s="84"/>
      <c r="P825" s="84"/>
      <c r="S825" s="84"/>
    </row>
    <row r="826" ht="15.75" customHeight="1">
      <c r="E826" s="84"/>
      <c r="K826" s="84"/>
      <c r="M826" s="84"/>
      <c r="N826" s="84"/>
      <c r="P826" s="84"/>
      <c r="S826" s="84"/>
    </row>
    <row r="827" ht="15.75" customHeight="1">
      <c r="E827" s="84"/>
      <c r="K827" s="84"/>
      <c r="M827" s="84"/>
      <c r="N827" s="84"/>
      <c r="P827" s="84"/>
      <c r="S827" s="84"/>
    </row>
    <row r="828" ht="15.75" customHeight="1">
      <c r="E828" s="84"/>
      <c r="K828" s="84"/>
      <c r="M828" s="84"/>
      <c r="N828" s="84"/>
      <c r="P828" s="84"/>
      <c r="S828" s="84"/>
    </row>
    <row r="829" ht="15.75" customHeight="1">
      <c r="E829" s="84"/>
      <c r="K829" s="84"/>
      <c r="M829" s="84"/>
      <c r="N829" s="84"/>
      <c r="P829" s="84"/>
      <c r="S829" s="84"/>
    </row>
    <row r="830" ht="15.75" customHeight="1">
      <c r="E830" s="84"/>
      <c r="K830" s="84"/>
      <c r="M830" s="84"/>
      <c r="N830" s="84"/>
      <c r="P830" s="84"/>
      <c r="S830" s="84"/>
    </row>
    <row r="831" ht="15.75" customHeight="1">
      <c r="E831" s="84"/>
      <c r="K831" s="84"/>
      <c r="M831" s="84"/>
      <c r="N831" s="84"/>
      <c r="P831" s="84"/>
      <c r="S831" s="84"/>
    </row>
    <row r="832" ht="15.75" customHeight="1">
      <c r="E832" s="84"/>
      <c r="K832" s="84"/>
      <c r="M832" s="84"/>
      <c r="N832" s="84"/>
      <c r="P832" s="84"/>
      <c r="S832" s="84"/>
    </row>
    <row r="833" ht="15.75" customHeight="1">
      <c r="E833" s="84"/>
      <c r="K833" s="84"/>
      <c r="M833" s="84"/>
      <c r="N833" s="84"/>
      <c r="P833" s="84"/>
      <c r="S833" s="84"/>
    </row>
    <row r="834" ht="15.75" customHeight="1">
      <c r="E834" s="84"/>
      <c r="K834" s="84"/>
      <c r="M834" s="84"/>
      <c r="N834" s="84"/>
      <c r="P834" s="84"/>
      <c r="S834" s="84"/>
    </row>
    <row r="835" ht="15.75" customHeight="1">
      <c r="E835" s="84"/>
      <c r="K835" s="84"/>
      <c r="M835" s="84"/>
      <c r="N835" s="84"/>
      <c r="P835" s="84"/>
      <c r="S835" s="84"/>
    </row>
    <row r="836" ht="15.75" customHeight="1">
      <c r="E836" s="84"/>
      <c r="K836" s="84"/>
      <c r="M836" s="84"/>
      <c r="N836" s="84"/>
      <c r="P836" s="84"/>
      <c r="S836" s="84"/>
    </row>
    <row r="837" ht="15.75" customHeight="1">
      <c r="E837" s="84"/>
      <c r="K837" s="84"/>
      <c r="M837" s="84"/>
      <c r="N837" s="84"/>
      <c r="P837" s="84"/>
      <c r="S837" s="84"/>
    </row>
    <row r="838" ht="15.75" customHeight="1">
      <c r="E838" s="84"/>
      <c r="K838" s="84"/>
      <c r="M838" s="84"/>
      <c r="N838" s="84"/>
      <c r="P838" s="84"/>
      <c r="S838" s="84"/>
    </row>
    <row r="839" ht="15.75" customHeight="1">
      <c r="E839" s="84"/>
      <c r="K839" s="84"/>
      <c r="M839" s="84"/>
      <c r="N839" s="84"/>
      <c r="P839" s="84"/>
      <c r="S839" s="84"/>
    </row>
    <row r="840" ht="15.75" customHeight="1">
      <c r="E840" s="84"/>
      <c r="K840" s="84"/>
      <c r="M840" s="84"/>
      <c r="N840" s="84"/>
      <c r="P840" s="84"/>
      <c r="S840" s="84"/>
    </row>
    <row r="841" ht="15.75" customHeight="1">
      <c r="E841" s="84"/>
      <c r="K841" s="84"/>
      <c r="M841" s="84"/>
      <c r="N841" s="84"/>
      <c r="P841" s="84"/>
      <c r="S841" s="84"/>
    </row>
    <row r="842" ht="15.75" customHeight="1">
      <c r="E842" s="84"/>
      <c r="K842" s="84"/>
      <c r="M842" s="84"/>
      <c r="N842" s="84"/>
      <c r="P842" s="84"/>
      <c r="S842" s="84"/>
    </row>
    <row r="843" ht="15.75" customHeight="1">
      <c r="E843" s="84"/>
      <c r="K843" s="84"/>
      <c r="M843" s="84"/>
      <c r="N843" s="84"/>
      <c r="P843" s="84"/>
      <c r="S843" s="84"/>
    </row>
    <row r="844" ht="15.75" customHeight="1">
      <c r="E844" s="84"/>
      <c r="K844" s="84"/>
      <c r="M844" s="84"/>
      <c r="N844" s="84"/>
      <c r="P844" s="84"/>
      <c r="S844" s="84"/>
    </row>
    <row r="845" ht="15.75" customHeight="1">
      <c r="E845" s="84"/>
      <c r="K845" s="84"/>
      <c r="M845" s="84"/>
      <c r="N845" s="84"/>
      <c r="P845" s="84"/>
      <c r="S845" s="84"/>
    </row>
    <row r="846" ht="15.75" customHeight="1">
      <c r="E846" s="84"/>
      <c r="K846" s="84"/>
      <c r="M846" s="84"/>
      <c r="N846" s="84"/>
      <c r="P846" s="84"/>
      <c r="S846" s="84"/>
    </row>
    <row r="847" ht="15.75" customHeight="1">
      <c r="E847" s="84"/>
      <c r="K847" s="84"/>
      <c r="M847" s="84"/>
      <c r="N847" s="84"/>
      <c r="P847" s="84"/>
      <c r="S847" s="84"/>
    </row>
    <row r="848" ht="15.75" customHeight="1">
      <c r="E848" s="84"/>
      <c r="K848" s="84"/>
      <c r="M848" s="84"/>
      <c r="N848" s="84"/>
      <c r="P848" s="84"/>
      <c r="S848" s="84"/>
    </row>
    <row r="849" ht="15.75" customHeight="1">
      <c r="E849" s="84"/>
      <c r="K849" s="84"/>
      <c r="M849" s="84"/>
      <c r="N849" s="84"/>
      <c r="P849" s="84"/>
      <c r="S849" s="84"/>
    </row>
    <row r="850" ht="15.75" customHeight="1">
      <c r="E850" s="84"/>
      <c r="K850" s="84"/>
      <c r="M850" s="84"/>
      <c r="N850" s="84"/>
      <c r="P850" s="84"/>
      <c r="S850" s="84"/>
    </row>
    <row r="851" ht="15.75" customHeight="1">
      <c r="E851" s="84"/>
      <c r="K851" s="84"/>
      <c r="M851" s="84"/>
      <c r="N851" s="84"/>
      <c r="P851" s="84"/>
      <c r="S851" s="84"/>
    </row>
    <row r="852" ht="15.75" customHeight="1">
      <c r="E852" s="84"/>
      <c r="K852" s="84"/>
      <c r="M852" s="84"/>
      <c r="N852" s="84"/>
      <c r="P852" s="84"/>
      <c r="S852" s="84"/>
    </row>
    <row r="853" ht="15.75" customHeight="1">
      <c r="E853" s="84"/>
      <c r="K853" s="84"/>
      <c r="M853" s="84"/>
      <c r="N853" s="84"/>
      <c r="P853" s="84"/>
      <c r="S853" s="84"/>
    </row>
    <row r="854" ht="15.75" customHeight="1">
      <c r="E854" s="84"/>
      <c r="K854" s="84"/>
      <c r="M854" s="84"/>
      <c r="N854" s="84"/>
      <c r="P854" s="84"/>
      <c r="S854" s="84"/>
    </row>
    <row r="855" ht="15.75" customHeight="1">
      <c r="E855" s="84"/>
      <c r="K855" s="84"/>
      <c r="M855" s="84"/>
      <c r="N855" s="84"/>
      <c r="P855" s="84"/>
      <c r="S855" s="84"/>
    </row>
    <row r="856" ht="15.75" customHeight="1">
      <c r="E856" s="84"/>
      <c r="K856" s="84"/>
      <c r="M856" s="84"/>
      <c r="N856" s="84"/>
      <c r="P856" s="84"/>
      <c r="S856" s="84"/>
    </row>
    <row r="857" ht="15.75" customHeight="1">
      <c r="E857" s="84"/>
      <c r="K857" s="84"/>
      <c r="M857" s="84"/>
      <c r="N857" s="84"/>
      <c r="P857" s="84"/>
      <c r="S857" s="84"/>
    </row>
    <row r="858" ht="15.75" customHeight="1">
      <c r="E858" s="84"/>
      <c r="K858" s="84"/>
      <c r="M858" s="84"/>
      <c r="N858" s="84"/>
      <c r="P858" s="84"/>
      <c r="S858" s="84"/>
    </row>
    <row r="859" ht="15.75" customHeight="1">
      <c r="E859" s="84"/>
      <c r="K859" s="84"/>
      <c r="M859" s="84"/>
      <c r="N859" s="84"/>
      <c r="P859" s="84"/>
      <c r="S859" s="84"/>
    </row>
    <row r="860" ht="15.75" customHeight="1">
      <c r="E860" s="84"/>
      <c r="K860" s="84"/>
      <c r="M860" s="84"/>
      <c r="N860" s="84"/>
      <c r="P860" s="84"/>
      <c r="S860" s="84"/>
    </row>
    <row r="861" ht="15.75" customHeight="1">
      <c r="E861" s="84"/>
      <c r="K861" s="84"/>
      <c r="M861" s="84"/>
      <c r="N861" s="84"/>
      <c r="P861" s="84"/>
      <c r="S861" s="84"/>
    </row>
    <row r="862" ht="15.75" customHeight="1">
      <c r="E862" s="84"/>
      <c r="K862" s="84"/>
      <c r="M862" s="84"/>
      <c r="N862" s="84"/>
      <c r="P862" s="84"/>
      <c r="S862" s="84"/>
    </row>
    <row r="863" ht="15.75" customHeight="1">
      <c r="E863" s="84"/>
      <c r="K863" s="84"/>
      <c r="M863" s="84"/>
      <c r="N863" s="84"/>
      <c r="P863" s="84"/>
      <c r="S863" s="84"/>
    </row>
    <row r="864" ht="15.75" customHeight="1">
      <c r="E864" s="84"/>
      <c r="K864" s="84"/>
      <c r="M864" s="84"/>
      <c r="N864" s="84"/>
      <c r="P864" s="84"/>
      <c r="S864" s="84"/>
    </row>
    <row r="865" ht="15.75" customHeight="1">
      <c r="E865" s="84"/>
      <c r="K865" s="84"/>
      <c r="M865" s="84"/>
      <c r="N865" s="84"/>
      <c r="P865" s="84"/>
      <c r="S865" s="84"/>
    </row>
    <row r="866" ht="15.75" customHeight="1">
      <c r="E866" s="84"/>
      <c r="K866" s="84"/>
      <c r="M866" s="84"/>
      <c r="N866" s="84"/>
      <c r="P866" s="84"/>
      <c r="S866" s="84"/>
    </row>
    <row r="867" ht="15.75" customHeight="1">
      <c r="E867" s="84"/>
      <c r="K867" s="84"/>
      <c r="M867" s="84"/>
      <c r="N867" s="84"/>
      <c r="P867" s="84"/>
      <c r="S867" s="84"/>
    </row>
    <row r="868" ht="15.75" customHeight="1">
      <c r="E868" s="84"/>
      <c r="K868" s="84"/>
      <c r="M868" s="84"/>
      <c r="N868" s="84"/>
      <c r="P868" s="84"/>
      <c r="S868" s="84"/>
    </row>
    <row r="869" ht="15.75" customHeight="1">
      <c r="E869" s="84"/>
      <c r="K869" s="84"/>
      <c r="M869" s="84"/>
      <c r="N869" s="84"/>
      <c r="P869" s="84"/>
      <c r="S869" s="84"/>
    </row>
    <row r="870" ht="15.75" customHeight="1">
      <c r="E870" s="84"/>
      <c r="K870" s="84"/>
      <c r="M870" s="84"/>
      <c r="N870" s="84"/>
      <c r="P870" s="84"/>
      <c r="S870" s="84"/>
    </row>
    <row r="871" ht="15.75" customHeight="1">
      <c r="E871" s="84"/>
      <c r="K871" s="84"/>
      <c r="M871" s="84"/>
      <c r="N871" s="84"/>
      <c r="P871" s="84"/>
      <c r="S871" s="84"/>
    </row>
    <row r="872" ht="15.75" customHeight="1">
      <c r="E872" s="84"/>
      <c r="K872" s="84"/>
      <c r="M872" s="84"/>
      <c r="N872" s="84"/>
      <c r="P872" s="84"/>
      <c r="S872" s="84"/>
    </row>
    <row r="873" ht="15.75" customHeight="1">
      <c r="E873" s="84"/>
      <c r="K873" s="84"/>
      <c r="M873" s="84"/>
      <c r="N873" s="84"/>
      <c r="P873" s="84"/>
      <c r="S873" s="84"/>
    </row>
    <row r="874" ht="15.75" customHeight="1">
      <c r="E874" s="84"/>
      <c r="K874" s="84"/>
      <c r="M874" s="84"/>
      <c r="N874" s="84"/>
      <c r="P874" s="84"/>
      <c r="S874" s="84"/>
    </row>
    <row r="875" ht="15.75" customHeight="1">
      <c r="E875" s="84"/>
      <c r="K875" s="84"/>
      <c r="M875" s="84"/>
      <c r="N875" s="84"/>
      <c r="P875" s="84"/>
      <c r="S875" s="84"/>
    </row>
    <row r="876" ht="15.75" customHeight="1">
      <c r="E876" s="84"/>
      <c r="K876" s="84"/>
      <c r="M876" s="84"/>
      <c r="N876" s="84"/>
      <c r="P876" s="84"/>
      <c r="S876" s="84"/>
    </row>
    <row r="877" ht="15.75" customHeight="1">
      <c r="E877" s="84"/>
      <c r="K877" s="84"/>
      <c r="M877" s="84"/>
      <c r="N877" s="84"/>
      <c r="P877" s="84"/>
      <c r="S877" s="84"/>
    </row>
    <row r="878" ht="15.75" customHeight="1">
      <c r="E878" s="84"/>
      <c r="K878" s="84"/>
      <c r="M878" s="84"/>
      <c r="N878" s="84"/>
      <c r="P878" s="84"/>
      <c r="S878" s="84"/>
    </row>
    <row r="879" ht="15.75" customHeight="1">
      <c r="E879" s="84"/>
      <c r="K879" s="84"/>
      <c r="M879" s="84"/>
      <c r="N879" s="84"/>
      <c r="P879" s="84"/>
      <c r="S879" s="84"/>
    </row>
    <row r="880" ht="15.75" customHeight="1">
      <c r="E880" s="84"/>
      <c r="K880" s="84"/>
      <c r="M880" s="84"/>
      <c r="N880" s="84"/>
      <c r="P880" s="84"/>
      <c r="S880" s="84"/>
    </row>
    <row r="881" ht="15.75" customHeight="1">
      <c r="E881" s="84"/>
      <c r="K881" s="84"/>
      <c r="M881" s="84"/>
      <c r="N881" s="84"/>
      <c r="P881" s="84"/>
      <c r="S881" s="84"/>
    </row>
    <row r="882" ht="15.75" customHeight="1">
      <c r="E882" s="84"/>
      <c r="K882" s="84"/>
      <c r="M882" s="84"/>
      <c r="N882" s="84"/>
      <c r="P882" s="84"/>
      <c r="S882" s="84"/>
    </row>
    <row r="883" ht="15.75" customHeight="1">
      <c r="E883" s="84"/>
      <c r="K883" s="84"/>
      <c r="M883" s="84"/>
      <c r="N883" s="84"/>
      <c r="P883" s="84"/>
      <c r="S883" s="84"/>
    </row>
    <row r="884" ht="15.75" customHeight="1">
      <c r="E884" s="84"/>
      <c r="K884" s="84"/>
      <c r="M884" s="84"/>
      <c r="N884" s="84"/>
      <c r="P884" s="84"/>
      <c r="S884" s="84"/>
    </row>
    <row r="885" ht="15.75" customHeight="1">
      <c r="E885" s="84"/>
      <c r="K885" s="84"/>
      <c r="M885" s="84"/>
      <c r="N885" s="84"/>
      <c r="P885" s="84"/>
      <c r="S885" s="84"/>
    </row>
    <row r="886" ht="15.75" customHeight="1">
      <c r="E886" s="84"/>
      <c r="K886" s="84"/>
      <c r="M886" s="84"/>
      <c r="N886" s="84"/>
      <c r="P886" s="84"/>
      <c r="S886" s="84"/>
    </row>
    <row r="887" ht="15.75" customHeight="1">
      <c r="E887" s="84"/>
      <c r="K887" s="84"/>
      <c r="M887" s="84"/>
      <c r="N887" s="84"/>
      <c r="P887" s="84"/>
      <c r="S887" s="84"/>
    </row>
    <row r="888" ht="15.75" customHeight="1">
      <c r="E888" s="84"/>
      <c r="K888" s="84"/>
      <c r="M888" s="84"/>
      <c r="N888" s="84"/>
      <c r="P888" s="84"/>
      <c r="S888" s="84"/>
    </row>
    <row r="889" ht="15.75" customHeight="1">
      <c r="E889" s="84"/>
      <c r="K889" s="84"/>
      <c r="M889" s="84"/>
      <c r="N889" s="84"/>
      <c r="P889" s="84"/>
      <c r="S889" s="84"/>
    </row>
    <row r="890" ht="15.75" customHeight="1">
      <c r="E890" s="84"/>
      <c r="K890" s="84"/>
      <c r="M890" s="84"/>
      <c r="N890" s="84"/>
      <c r="P890" s="84"/>
      <c r="S890" s="84"/>
    </row>
    <row r="891" ht="15.75" customHeight="1">
      <c r="E891" s="84"/>
      <c r="K891" s="84"/>
      <c r="M891" s="84"/>
      <c r="N891" s="84"/>
      <c r="P891" s="84"/>
      <c r="S891" s="84"/>
    </row>
    <row r="892" ht="15.75" customHeight="1">
      <c r="E892" s="84"/>
      <c r="K892" s="84"/>
      <c r="M892" s="84"/>
      <c r="N892" s="84"/>
      <c r="P892" s="84"/>
      <c r="S892" s="84"/>
    </row>
    <row r="893" ht="15.75" customHeight="1">
      <c r="E893" s="84"/>
      <c r="K893" s="84"/>
      <c r="M893" s="84"/>
      <c r="N893" s="84"/>
      <c r="P893" s="84"/>
      <c r="S893" s="84"/>
    </row>
    <row r="894" ht="15.75" customHeight="1">
      <c r="E894" s="84"/>
      <c r="K894" s="84"/>
      <c r="M894" s="84"/>
      <c r="N894" s="84"/>
      <c r="P894" s="84"/>
      <c r="S894" s="84"/>
    </row>
    <row r="895" ht="15.75" customHeight="1">
      <c r="E895" s="84"/>
      <c r="K895" s="84"/>
      <c r="M895" s="84"/>
      <c r="N895" s="84"/>
      <c r="P895" s="84"/>
      <c r="S895" s="84"/>
    </row>
    <row r="896" ht="15.75" customHeight="1">
      <c r="E896" s="84"/>
      <c r="K896" s="84"/>
      <c r="M896" s="84"/>
      <c r="N896" s="84"/>
      <c r="P896" s="84"/>
      <c r="S896" s="84"/>
    </row>
    <row r="897" ht="15.75" customHeight="1">
      <c r="E897" s="84"/>
      <c r="K897" s="84"/>
      <c r="M897" s="84"/>
      <c r="N897" s="84"/>
      <c r="P897" s="84"/>
      <c r="S897" s="84"/>
    </row>
    <row r="898" ht="15.75" customHeight="1">
      <c r="E898" s="84"/>
      <c r="K898" s="84"/>
      <c r="M898" s="84"/>
      <c r="N898" s="84"/>
      <c r="P898" s="84"/>
      <c r="S898" s="84"/>
    </row>
    <row r="899" ht="15.75" customHeight="1">
      <c r="E899" s="84"/>
      <c r="K899" s="84"/>
      <c r="M899" s="84"/>
      <c r="N899" s="84"/>
      <c r="P899" s="84"/>
      <c r="S899" s="84"/>
    </row>
    <row r="900" ht="15.75" customHeight="1">
      <c r="E900" s="84"/>
      <c r="K900" s="84"/>
      <c r="M900" s="84"/>
      <c r="N900" s="84"/>
      <c r="P900" s="84"/>
      <c r="S900" s="84"/>
    </row>
    <row r="901" ht="15.75" customHeight="1">
      <c r="E901" s="84"/>
      <c r="K901" s="84"/>
      <c r="M901" s="84"/>
      <c r="N901" s="84"/>
      <c r="P901" s="84"/>
      <c r="S901" s="84"/>
    </row>
    <row r="902" ht="15.75" customHeight="1">
      <c r="E902" s="84"/>
      <c r="K902" s="84"/>
      <c r="M902" s="84"/>
      <c r="N902" s="84"/>
      <c r="P902" s="84"/>
      <c r="S902" s="84"/>
    </row>
    <row r="903" ht="15.75" customHeight="1">
      <c r="E903" s="84"/>
      <c r="K903" s="84"/>
      <c r="M903" s="84"/>
      <c r="N903" s="84"/>
      <c r="P903" s="84"/>
      <c r="S903" s="84"/>
    </row>
    <row r="904" ht="15.75" customHeight="1">
      <c r="E904" s="84"/>
      <c r="K904" s="84"/>
      <c r="M904" s="84"/>
      <c r="N904" s="84"/>
      <c r="P904" s="84"/>
      <c r="S904" s="84"/>
    </row>
    <row r="905" ht="15.75" customHeight="1">
      <c r="E905" s="84"/>
      <c r="K905" s="84"/>
      <c r="M905" s="84"/>
      <c r="N905" s="84"/>
      <c r="P905" s="84"/>
      <c r="S905" s="84"/>
    </row>
    <row r="906" ht="15.75" customHeight="1">
      <c r="E906" s="84"/>
      <c r="K906" s="84"/>
      <c r="M906" s="84"/>
      <c r="N906" s="84"/>
      <c r="P906" s="84"/>
      <c r="S906" s="84"/>
    </row>
    <row r="907" ht="15.75" customHeight="1">
      <c r="E907" s="84"/>
      <c r="K907" s="84"/>
      <c r="M907" s="84"/>
      <c r="N907" s="84"/>
      <c r="P907" s="84"/>
      <c r="S907" s="84"/>
    </row>
    <row r="908" ht="15.75" customHeight="1">
      <c r="E908" s="84"/>
      <c r="K908" s="84"/>
      <c r="M908" s="84"/>
      <c r="N908" s="84"/>
      <c r="P908" s="84"/>
      <c r="S908" s="84"/>
    </row>
    <row r="909" ht="15.75" customHeight="1">
      <c r="E909" s="84"/>
      <c r="K909" s="84"/>
      <c r="M909" s="84"/>
      <c r="N909" s="84"/>
      <c r="P909" s="84"/>
      <c r="S909" s="84"/>
    </row>
    <row r="910" ht="15.75" customHeight="1">
      <c r="E910" s="84"/>
      <c r="K910" s="84"/>
      <c r="M910" s="84"/>
      <c r="N910" s="84"/>
      <c r="P910" s="84"/>
      <c r="S910" s="84"/>
    </row>
    <row r="911" ht="15.75" customHeight="1">
      <c r="E911" s="84"/>
      <c r="K911" s="84"/>
      <c r="M911" s="84"/>
      <c r="N911" s="84"/>
      <c r="P911" s="84"/>
      <c r="S911" s="84"/>
    </row>
    <row r="912" ht="15.75" customHeight="1">
      <c r="E912" s="84"/>
      <c r="K912" s="84"/>
      <c r="M912" s="84"/>
      <c r="N912" s="84"/>
      <c r="P912" s="84"/>
      <c r="S912" s="84"/>
    </row>
    <row r="913" ht="15.75" customHeight="1">
      <c r="E913" s="84"/>
      <c r="K913" s="84"/>
      <c r="M913" s="84"/>
      <c r="N913" s="84"/>
      <c r="P913" s="84"/>
      <c r="S913" s="84"/>
    </row>
    <row r="914" ht="15.75" customHeight="1">
      <c r="E914" s="84"/>
      <c r="K914" s="84"/>
      <c r="M914" s="84"/>
      <c r="N914" s="84"/>
      <c r="P914" s="84"/>
      <c r="S914" s="84"/>
    </row>
    <row r="915" ht="15.75" customHeight="1">
      <c r="E915" s="84"/>
      <c r="K915" s="84"/>
      <c r="M915" s="84"/>
      <c r="N915" s="84"/>
      <c r="P915" s="84"/>
      <c r="S915" s="84"/>
    </row>
    <row r="916" ht="15.75" customHeight="1">
      <c r="E916" s="84"/>
      <c r="K916" s="84"/>
      <c r="M916" s="84"/>
      <c r="N916" s="84"/>
      <c r="P916" s="84"/>
      <c r="S916" s="84"/>
    </row>
    <row r="917" ht="15.75" customHeight="1">
      <c r="E917" s="84"/>
      <c r="K917" s="84"/>
      <c r="M917" s="84"/>
      <c r="N917" s="84"/>
      <c r="P917" s="84"/>
      <c r="S917" s="84"/>
    </row>
    <row r="918" ht="15.75" customHeight="1">
      <c r="E918" s="84"/>
      <c r="K918" s="84"/>
      <c r="M918" s="84"/>
      <c r="N918" s="84"/>
      <c r="P918" s="84"/>
      <c r="S918" s="84"/>
    </row>
    <row r="919" ht="15.75" customHeight="1">
      <c r="E919" s="84"/>
      <c r="K919" s="84"/>
      <c r="M919" s="84"/>
      <c r="N919" s="84"/>
      <c r="P919" s="84"/>
      <c r="S919" s="84"/>
    </row>
    <row r="920" ht="15.75" customHeight="1">
      <c r="E920" s="84"/>
      <c r="K920" s="84"/>
      <c r="M920" s="84"/>
      <c r="N920" s="84"/>
      <c r="P920" s="84"/>
      <c r="S920" s="84"/>
    </row>
    <row r="921" ht="15.75" customHeight="1">
      <c r="E921" s="84"/>
      <c r="K921" s="84"/>
      <c r="M921" s="84"/>
      <c r="N921" s="84"/>
      <c r="P921" s="84"/>
      <c r="S921" s="84"/>
    </row>
    <row r="922" ht="15.75" customHeight="1">
      <c r="E922" s="84"/>
      <c r="K922" s="84"/>
      <c r="M922" s="84"/>
      <c r="N922" s="84"/>
      <c r="P922" s="84"/>
      <c r="S922" s="84"/>
    </row>
    <row r="923" ht="15.75" customHeight="1">
      <c r="E923" s="84"/>
      <c r="K923" s="84"/>
      <c r="M923" s="84"/>
      <c r="N923" s="84"/>
      <c r="P923" s="84"/>
      <c r="S923" s="84"/>
    </row>
    <row r="924" ht="15.75" customHeight="1">
      <c r="E924" s="84"/>
      <c r="K924" s="84"/>
      <c r="M924" s="84"/>
      <c r="N924" s="84"/>
      <c r="P924" s="84"/>
      <c r="S924" s="84"/>
    </row>
    <row r="925" ht="15.75" customHeight="1">
      <c r="E925" s="84"/>
      <c r="K925" s="84"/>
      <c r="M925" s="84"/>
      <c r="N925" s="84"/>
      <c r="P925" s="84"/>
      <c r="S925" s="84"/>
    </row>
    <row r="926" ht="15.75" customHeight="1">
      <c r="E926" s="84"/>
      <c r="K926" s="84"/>
      <c r="M926" s="84"/>
      <c r="N926" s="84"/>
      <c r="P926" s="84"/>
      <c r="S926" s="84"/>
    </row>
    <row r="927" ht="15.75" customHeight="1">
      <c r="E927" s="84"/>
      <c r="K927" s="84"/>
      <c r="M927" s="84"/>
      <c r="N927" s="84"/>
      <c r="P927" s="84"/>
      <c r="S927" s="84"/>
    </row>
    <row r="928" ht="15.75" customHeight="1">
      <c r="E928" s="84"/>
      <c r="K928" s="84"/>
      <c r="M928" s="84"/>
      <c r="N928" s="84"/>
      <c r="P928" s="84"/>
      <c r="S928" s="84"/>
    </row>
    <row r="929" ht="15.75" customHeight="1">
      <c r="E929" s="84"/>
      <c r="K929" s="84"/>
      <c r="M929" s="84"/>
      <c r="N929" s="84"/>
      <c r="P929" s="84"/>
      <c r="S929" s="84"/>
    </row>
    <row r="930" ht="15.75" customHeight="1">
      <c r="E930" s="84"/>
      <c r="K930" s="84"/>
      <c r="M930" s="84"/>
      <c r="N930" s="84"/>
      <c r="P930" s="84"/>
      <c r="S930" s="84"/>
    </row>
    <row r="931" ht="15.75" customHeight="1">
      <c r="E931" s="84"/>
      <c r="K931" s="84"/>
      <c r="M931" s="84"/>
      <c r="N931" s="84"/>
      <c r="P931" s="84"/>
      <c r="S931" s="84"/>
    </row>
    <row r="932" ht="15.75" customHeight="1">
      <c r="E932" s="84"/>
      <c r="K932" s="84"/>
      <c r="M932" s="84"/>
      <c r="N932" s="84"/>
      <c r="P932" s="84"/>
      <c r="S932" s="84"/>
    </row>
    <row r="933" ht="15.75" customHeight="1">
      <c r="E933" s="84"/>
      <c r="K933" s="84"/>
      <c r="M933" s="84"/>
      <c r="N933" s="84"/>
      <c r="P933" s="84"/>
      <c r="S933" s="84"/>
    </row>
    <row r="934" ht="15.75" customHeight="1">
      <c r="E934" s="84"/>
      <c r="K934" s="84"/>
      <c r="M934" s="84"/>
      <c r="N934" s="84"/>
      <c r="P934" s="84"/>
      <c r="S934" s="84"/>
    </row>
    <row r="935" ht="15.75" customHeight="1">
      <c r="E935" s="84"/>
      <c r="K935" s="84"/>
      <c r="M935" s="84"/>
      <c r="N935" s="84"/>
      <c r="P935" s="84"/>
      <c r="S935" s="84"/>
    </row>
    <row r="936" ht="15.75" customHeight="1">
      <c r="E936" s="84"/>
      <c r="K936" s="84"/>
      <c r="M936" s="84"/>
      <c r="N936" s="84"/>
      <c r="P936" s="84"/>
      <c r="S936" s="84"/>
    </row>
    <row r="937" ht="15.75" customHeight="1">
      <c r="E937" s="84"/>
      <c r="K937" s="84"/>
      <c r="M937" s="84"/>
      <c r="N937" s="84"/>
      <c r="P937" s="84"/>
      <c r="S937" s="84"/>
    </row>
    <row r="938" ht="15.75" customHeight="1">
      <c r="E938" s="84"/>
      <c r="K938" s="84"/>
      <c r="M938" s="84"/>
      <c r="N938" s="84"/>
      <c r="P938" s="84"/>
      <c r="S938" s="84"/>
    </row>
    <row r="939" ht="15.75" customHeight="1">
      <c r="E939" s="84"/>
      <c r="K939" s="84"/>
      <c r="M939" s="84"/>
      <c r="N939" s="84"/>
      <c r="P939" s="84"/>
      <c r="S939" s="84"/>
    </row>
    <row r="940" ht="15.75" customHeight="1">
      <c r="E940" s="84"/>
      <c r="K940" s="84"/>
      <c r="M940" s="84"/>
      <c r="N940" s="84"/>
      <c r="P940" s="84"/>
      <c r="S940" s="84"/>
    </row>
    <row r="941" ht="15.75" customHeight="1">
      <c r="E941" s="84"/>
      <c r="K941" s="84"/>
      <c r="M941" s="84"/>
      <c r="N941" s="84"/>
      <c r="P941" s="84"/>
      <c r="S941" s="84"/>
    </row>
    <row r="942" ht="15.75" customHeight="1">
      <c r="E942" s="84"/>
      <c r="K942" s="84"/>
      <c r="M942" s="84"/>
      <c r="N942" s="84"/>
      <c r="P942" s="84"/>
      <c r="S942" s="84"/>
    </row>
    <row r="943" ht="15.75" customHeight="1">
      <c r="E943" s="84"/>
      <c r="K943" s="84"/>
      <c r="M943" s="84"/>
      <c r="N943" s="84"/>
      <c r="P943" s="84"/>
      <c r="S943" s="84"/>
    </row>
    <row r="944" ht="15.75" customHeight="1">
      <c r="E944" s="84"/>
      <c r="K944" s="84"/>
      <c r="M944" s="84"/>
      <c r="N944" s="84"/>
      <c r="P944" s="84"/>
      <c r="S944" s="84"/>
    </row>
    <row r="945" ht="15.75" customHeight="1">
      <c r="E945" s="84"/>
      <c r="K945" s="84"/>
      <c r="M945" s="84"/>
      <c r="N945" s="84"/>
      <c r="P945" s="84"/>
      <c r="S945" s="84"/>
    </row>
    <row r="946" ht="15.75" customHeight="1">
      <c r="E946" s="84"/>
      <c r="K946" s="84"/>
      <c r="M946" s="84"/>
      <c r="N946" s="84"/>
      <c r="P946" s="84"/>
      <c r="S946" s="84"/>
    </row>
    <row r="947" ht="15.75" customHeight="1">
      <c r="E947" s="84"/>
      <c r="K947" s="84"/>
      <c r="M947" s="84"/>
      <c r="N947" s="84"/>
      <c r="P947" s="84"/>
      <c r="S947" s="84"/>
    </row>
    <row r="948" ht="15.75" customHeight="1">
      <c r="E948" s="84"/>
      <c r="K948" s="84"/>
      <c r="M948" s="84"/>
      <c r="N948" s="84"/>
      <c r="P948" s="84"/>
      <c r="S948" s="84"/>
    </row>
    <row r="949" ht="15.75" customHeight="1">
      <c r="E949" s="84"/>
      <c r="K949" s="84"/>
      <c r="M949" s="84"/>
      <c r="N949" s="84"/>
      <c r="P949" s="84"/>
      <c r="S949" s="84"/>
    </row>
    <row r="950" ht="15.75" customHeight="1">
      <c r="E950" s="84"/>
      <c r="K950" s="84"/>
      <c r="M950" s="84"/>
      <c r="N950" s="84"/>
      <c r="P950" s="84"/>
      <c r="S950" s="84"/>
    </row>
    <row r="951" ht="15.75" customHeight="1">
      <c r="E951" s="84"/>
      <c r="K951" s="84"/>
      <c r="M951" s="84"/>
      <c r="N951" s="84"/>
      <c r="P951" s="84"/>
      <c r="S951" s="84"/>
    </row>
    <row r="952" ht="15.75" customHeight="1">
      <c r="E952" s="84"/>
      <c r="K952" s="84"/>
      <c r="M952" s="84"/>
      <c r="N952" s="84"/>
      <c r="P952" s="84"/>
      <c r="S952" s="84"/>
    </row>
    <row r="953" ht="15.75" customHeight="1">
      <c r="E953" s="84"/>
      <c r="K953" s="84"/>
      <c r="M953" s="84"/>
      <c r="N953" s="84"/>
      <c r="P953" s="84"/>
      <c r="S953" s="84"/>
    </row>
    <row r="954" ht="15.75" customHeight="1">
      <c r="E954" s="84"/>
      <c r="K954" s="84"/>
      <c r="M954" s="84"/>
      <c r="N954" s="84"/>
      <c r="P954" s="84"/>
      <c r="S954" s="84"/>
    </row>
    <row r="955" ht="15.75" customHeight="1">
      <c r="E955" s="84"/>
      <c r="K955" s="84"/>
      <c r="M955" s="84"/>
      <c r="N955" s="84"/>
      <c r="P955" s="84"/>
      <c r="S955" s="84"/>
    </row>
    <row r="956" ht="15.75" customHeight="1">
      <c r="E956" s="84"/>
      <c r="K956" s="84"/>
      <c r="M956" s="84"/>
      <c r="N956" s="84"/>
      <c r="P956" s="84"/>
      <c r="S956" s="84"/>
    </row>
    <row r="957" ht="15.75" customHeight="1">
      <c r="E957" s="84"/>
      <c r="K957" s="84"/>
      <c r="M957" s="84"/>
      <c r="N957" s="84"/>
      <c r="P957" s="84"/>
      <c r="S957" s="84"/>
    </row>
    <row r="958" ht="15.75" customHeight="1">
      <c r="E958" s="84"/>
      <c r="K958" s="84"/>
      <c r="M958" s="84"/>
      <c r="N958" s="84"/>
      <c r="P958" s="84"/>
      <c r="S958" s="84"/>
    </row>
    <row r="959" ht="15.75" customHeight="1">
      <c r="E959" s="84"/>
      <c r="K959" s="84"/>
      <c r="M959" s="84"/>
      <c r="N959" s="84"/>
      <c r="P959" s="84"/>
      <c r="S959" s="84"/>
    </row>
    <row r="960" ht="15.75" customHeight="1">
      <c r="E960" s="84"/>
      <c r="K960" s="84"/>
      <c r="M960" s="84"/>
      <c r="N960" s="84"/>
      <c r="P960" s="84"/>
      <c r="S960" s="84"/>
    </row>
    <row r="961" ht="15.75" customHeight="1">
      <c r="E961" s="84"/>
      <c r="K961" s="84"/>
      <c r="M961" s="84"/>
      <c r="N961" s="84"/>
      <c r="P961" s="84"/>
      <c r="S961" s="84"/>
    </row>
    <row r="962" ht="15.75" customHeight="1">
      <c r="E962" s="84"/>
      <c r="K962" s="84"/>
      <c r="M962" s="84"/>
      <c r="N962" s="84"/>
      <c r="P962" s="84"/>
      <c r="S962" s="84"/>
    </row>
    <row r="963" ht="15.75" customHeight="1">
      <c r="E963" s="84"/>
      <c r="K963" s="84"/>
      <c r="M963" s="84"/>
      <c r="N963" s="84"/>
      <c r="P963" s="84"/>
      <c r="S963" s="84"/>
    </row>
    <row r="964" ht="15.75" customHeight="1">
      <c r="E964" s="84"/>
      <c r="K964" s="84"/>
      <c r="M964" s="84"/>
      <c r="N964" s="84"/>
      <c r="P964" s="84"/>
      <c r="S964" s="84"/>
    </row>
    <row r="965" ht="15.75" customHeight="1">
      <c r="E965" s="84"/>
      <c r="K965" s="84"/>
      <c r="M965" s="84"/>
      <c r="N965" s="84"/>
      <c r="P965" s="84"/>
      <c r="S965" s="84"/>
    </row>
    <row r="966" ht="15.75" customHeight="1">
      <c r="E966" s="84"/>
      <c r="K966" s="84"/>
      <c r="M966" s="84"/>
      <c r="N966" s="84"/>
      <c r="P966" s="84"/>
      <c r="S966" s="84"/>
    </row>
    <row r="967" ht="15.75" customHeight="1">
      <c r="E967" s="84"/>
      <c r="K967" s="84"/>
      <c r="M967" s="84"/>
      <c r="N967" s="84"/>
      <c r="P967" s="84"/>
      <c r="S967" s="84"/>
    </row>
    <row r="968" ht="15.75" customHeight="1">
      <c r="E968" s="84"/>
      <c r="K968" s="84"/>
      <c r="M968" s="84"/>
      <c r="N968" s="84"/>
      <c r="P968" s="84"/>
      <c r="S968" s="84"/>
    </row>
    <row r="969" ht="15.75" customHeight="1">
      <c r="E969" s="84"/>
      <c r="K969" s="84"/>
      <c r="M969" s="84"/>
      <c r="N969" s="84"/>
      <c r="P969" s="84"/>
      <c r="S969" s="84"/>
    </row>
    <row r="970" ht="15.75" customHeight="1">
      <c r="E970" s="84"/>
      <c r="K970" s="84"/>
      <c r="M970" s="84"/>
      <c r="N970" s="84"/>
      <c r="P970" s="84"/>
      <c r="S970" s="84"/>
    </row>
    <row r="971" ht="15.75" customHeight="1">
      <c r="E971" s="84"/>
      <c r="K971" s="84"/>
      <c r="M971" s="84"/>
      <c r="N971" s="84"/>
      <c r="P971" s="84"/>
      <c r="S971" s="84"/>
    </row>
    <row r="972" ht="15.75" customHeight="1">
      <c r="E972" s="84"/>
      <c r="K972" s="84"/>
      <c r="M972" s="84"/>
      <c r="N972" s="84"/>
      <c r="P972" s="84"/>
      <c r="S972" s="84"/>
    </row>
    <row r="973" ht="15.75" customHeight="1">
      <c r="E973" s="84"/>
      <c r="K973" s="84"/>
      <c r="M973" s="84"/>
      <c r="N973" s="84"/>
      <c r="P973" s="84"/>
      <c r="S973" s="84"/>
    </row>
    <row r="974" ht="15.75" customHeight="1">
      <c r="E974" s="84"/>
      <c r="K974" s="84"/>
      <c r="M974" s="84"/>
      <c r="N974" s="84"/>
      <c r="P974" s="84"/>
      <c r="S974" s="84"/>
    </row>
    <row r="975" ht="15.75" customHeight="1">
      <c r="E975" s="84"/>
      <c r="K975" s="84"/>
      <c r="M975" s="84"/>
      <c r="N975" s="84"/>
      <c r="P975" s="84"/>
      <c r="S975" s="84"/>
    </row>
    <row r="976" ht="15.75" customHeight="1">
      <c r="E976" s="84"/>
      <c r="K976" s="84"/>
      <c r="M976" s="84"/>
      <c r="N976" s="84"/>
      <c r="P976" s="84"/>
      <c r="S976" s="84"/>
    </row>
    <row r="977" ht="15.75" customHeight="1">
      <c r="E977" s="84"/>
      <c r="K977" s="84"/>
      <c r="M977" s="84"/>
      <c r="N977" s="84"/>
      <c r="P977" s="84"/>
      <c r="S977" s="84"/>
    </row>
    <row r="978" ht="15.75" customHeight="1">
      <c r="E978" s="84"/>
      <c r="K978" s="84"/>
      <c r="M978" s="84"/>
      <c r="N978" s="84"/>
      <c r="P978" s="84"/>
      <c r="S978" s="84"/>
    </row>
    <row r="979" ht="15.75" customHeight="1">
      <c r="E979" s="84"/>
      <c r="K979" s="84"/>
      <c r="M979" s="84"/>
      <c r="N979" s="84"/>
      <c r="P979" s="84"/>
      <c r="S979" s="84"/>
    </row>
    <row r="980" ht="15.75" customHeight="1">
      <c r="E980" s="84"/>
      <c r="K980" s="84"/>
      <c r="M980" s="84"/>
      <c r="N980" s="84"/>
      <c r="P980" s="84"/>
      <c r="S980" s="84"/>
    </row>
    <row r="981" ht="15.75" customHeight="1">
      <c r="E981" s="84"/>
      <c r="K981" s="84"/>
      <c r="M981" s="84"/>
      <c r="N981" s="84"/>
      <c r="P981" s="84"/>
      <c r="S981" s="84"/>
    </row>
    <row r="982" ht="15.75" customHeight="1">
      <c r="E982" s="84"/>
      <c r="K982" s="84"/>
      <c r="M982" s="84"/>
      <c r="N982" s="84"/>
      <c r="P982" s="84"/>
      <c r="S982" s="84"/>
    </row>
    <row r="983" ht="15.75" customHeight="1">
      <c r="E983" s="84"/>
      <c r="K983" s="84"/>
      <c r="M983" s="84"/>
      <c r="N983" s="84"/>
      <c r="P983" s="84"/>
      <c r="S983" s="84"/>
    </row>
    <row r="984" ht="15.75" customHeight="1">
      <c r="E984" s="84"/>
      <c r="K984" s="84"/>
      <c r="M984" s="84"/>
      <c r="N984" s="84"/>
      <c r="P984" s="84"/>
      <c r="S984" s="84"/>
    </row>
    <row r="985" ht="15.75" customHeight="1">
      <c r="E985" s="84"/>
      <c r="K985" s="84"/>
      <c r="M985" s="84"/>
      <c r="N985" s="84"/>
      <c r="P985" s="84"/>
      <c r="S985" s="84"/>
    </row>
    <row r="986" ht="15.75" customHeight="1">
      <c r="E986" s="84"/>
      <c r="K986" s="84"/>
      <c r="M986" s="84"/>
      <c r="N986" s="84"/>
      <c r="P986" s="84"/>
      <c r="S986" s="84"/>
    </row>
    <row r="987" ht="15.75" customHeight="1">
      <c r="E987" s="84"/>
      <c r="K987" s="84"/>
      <c r="M987" s="84"/>
      <c r="N987" s="84"/>
      <c r="P987" s="84"/>
      <c r="S987" s="84"/>
    </row>
    <row r="988" ht="15.75" customHeight="1">
      <c r="E988" s="84"/>
      <c r="K988" s="84"/>
      <c r="M988" s="84"/>
      <c r="N988" s="84"/>
      <c r="P988" s="84"/>
      <c r="S988" s="84"/>
    </row>
    <row r="989" ht="15.75" customHeight="1">
      <c r="E989" s="84"/>
      <c r="K989" s="84"/>
      <c r="M989" s="84"/>
      <c r="N989" s="84"/>
      <c r="P989" s="84"/>
      <c r="S989" s="84"/>
    </row>
    <row r="990" ht="15.75" customHeight="1">
      <c r="E990" s="84"/>
      <c r="K990" s="84"/>
      <c r="M990" s="84"/>
      <c r="N990" s="84"/>
      <c r="P990" s="84"/>
      <c r="S990" s="84"/>
    </row>
    <row r="991" ht="15.75" customHeight="1">
      <c r="E991" s="84"/>
      <c r="K991" s="84"/>
      <c r="M991" s="84"/>
      <c r="N991" s="84"/>
      <c r="P991" s="84"/>
      <c r="S991" s="84"/>
    </row>
    <row r="992" ht="15.75" customHeight="1">
      <c r="E992" s="84"/>
      <c r="K992" s="84"/>
      <c r="M992" s="84"/>
      <c r="N992" s="84"/>
      <c r="P992" s="84"/>
      <c r="S992" s="84"/>
    </row>
    <row r="993" ht="15.75" customHeight="1">
      <c r="E993" s="84"/>
      <c r="K993" s="84"/>
      <c r="M993" s="84"/>
      <c r="N993" s="84"/>
      <c r="P993" s="84"/>
      <c r="S993" s="84"/>
    </row>
    <row r="994" ht="15.75" customHeight="1">
      <c r="E994" s="84"/>
      <c r="K994" s="84"/>
      <c r="M994" s="84"/>
      <c r="N994" s="84"/>
      <c r="P994" s="84"/>
      <c r="S994" s="84"/>
    </row>
    <row r="995" ht="15.75" customHeight="1">
      <c r="E995" s="84"/>
      <c r="K995" s="84"/>
      <c r="M995" s="84"/>
      <c r="N995" s="84"/>
      <c r="P995" s="84"/>
      <c r="S995" s="84"/>
    </row>
    <row r="996" ht="15.75" customHeight="1">
      <c r="E996" s="84"/>
      <c r="K996" s="84"/>
      <c r="M996" s="84"/>
      <c r="N996" s="84"/>
      <c r="P996" s="84"/>
      <c r="S996" s="84"/>
    </row>
    <row r="997" ht="15.75" customHeight="1">
      <c r="E997" s="84"/>
      <c r="K997" s="84"/>
      <c r="M997" s="84"/>
      <c r="N997" s="84"/>
      <c r="P997" s="84"/>
      <c r="S997" s="84"/>
    </row>
    <row r="998" ht="15.75" customHeight="1">
      <c r="E998" s="84"/>
      <c r="K998" s="84"/>
      <c r="M998" s="84"/>
      <c r="N998" s="84"/>
      <c r="P998" s="84"/>
      <c r="S998" s="84"/>
    </row>
    <row r="999" ht="15.75" customHeight="1">
      <c r="E999" s="84"/>
      <c r="K999" s="84"/>
      <c r="M999" s="84"/>
      <c r="N999" s="84"/>
      <c r="P999" s="84"/>
      <c r="S999" s="84"/>
    </row>
    <row r="1000" ht="15.75" customHeight="1">
      <c r="E1000" s="84"/>
      <c r="K1000" s="84"/>
      <c r="M1000" s="84"/>
      <c r="N1000" s="84"/>
      <c r="P1000" s="84"/>
      <c r="S1000" s="84"/>
    </row>
  </sheetData>
  <mergeCells count="21">
    <mergeCell ref="Q1:R1"/>
    <mergeCell ref="Q2:R2"/>
    <mergeCell ref="Q3:R3"/>
    <mergeCell ref="Q4:R4"/>
    <mergeCell ref="Q5:R5"/>
    <mergeCell ref="A1:B1"/>
    <mergeCell ref="E1:F1"/>
    <mergeCell ref="K1:L1"/>
    <mergeCell ref="M1:N1"/>
    <mergeCell ref="O1:P1"/>
    <mergeCell ref="A2:B2"/>
    <mergeCell ref="A3:B3"/>
    <mergeCell ref="A7:A87"/>
    <mergeCell ref="B7:B87"/>
    <mergeCell ref="E2:F2"/>
    <mergeCell ref="E3:F3"/>
    <mergeCell ref="A4:B4"/>
    <mergeCell ref="E4:F4"/>
    <mergeCell ref="A5:B5"/>
    <mergeCell ref="E5:F5"/>
    <mergeCell ref="G5:J5"/>
  </mergeCells>
  <dataValidations>
    <dataValidation type="list" allowBlank="1" showErrorMessage="1" sqref="E7:E1000">
      <formula1>"UI,API,PL/SQL,DB"</formula1>
    </dataValidation>
    <dataValidation type="list" allowBlank="1" showErrorMessage="1" sqref="N7:N1000">
      <formula1>"High,Medium,Low"</formula1>
    </dataValidation>
    <dataValidation type="list" allowBlank="1" sqref="K88:K1000 S7:S1000">
      <formula1>"PASS,FAIL,NT"</formula1>
    </dataValidation>
    <dataValidation type="list" allowBlank="1" sqref="M7:M1000">
      <formula1>"Critical,High,Medium,Low"</formula1>
    </dataValidation>
    <dataValidation type="list" allowBlank="1" showErrorMessage="1" sqref="P7:P1000">
      <formula1>"Accepted,Rejected"</formula1>
    </dataValidation>
  </dataValidations>
  <hyperlinks>
    <hyperlink display="18363" location="'18363'!A1" ref="E5"/>
    <hyperlink r:id="rId1" ref="O7"/>
    <hyperlink r:id="rId2" ref="O8"/>
    <hyperlink r:id="rId3" ref="O9"/>
    <hyperlink r:id="rId4" ref="O10"/>
    <hyperlink r:id="rId5" ref="O11"/>
    <hyperlink r:id="rId6" ref="O12"/>
    <hyperlink r:id="rId7" ref="O13"/>
    <hyperlink r:id="rId8" ref="O14"/>
    <hyperlink r:id="rId9" ref="O15"/>
    <hyperlink r:id="rId10" ref="O16"/>
    <hyperlink r:id="rId11" ref="O17"/>
    <hyperlink r:id="rId12" ref="O18"/>
    <hyperlink r:id="rId13" ref="O19"/>
    <hyperlink r:id="rId14" ref="O21"/>
    <hyperlink r:id="rId15" ref="O22"/>
    <hyperlink r:id="rId16" ref="O23"/>
    <hyperlink r:id="rId17" ref="O24"/>
    <hyperlink r:id="rId18" ref="O25"/>
    <hyperlink r:id="rId19" ref="O26"/>
    <hyperlink r:id="rId20" ref="O27"/>
    <hyperlink r:id="rId21" ref="O28"/>
    <hyperlink r:id="rId22" ref="O29"/>
    <hyperlink r:id="rId23" ref="O30"/>
    <hyperlink r:id="rId24" ref="O31"/>
    <hyperlink r:id="rId25" ref="O32"/>
    <hyperlink r:id="rId26" ref="O33"/>
    <hyperlink r:id="rId27" ref="O34"/>
    <hyperlink r:id="rId28" ref="O35"/>
    <hyperlink r:id="rId29" ref="O36"/>
    <hyperlink r:id="rId30" ref="O37"/>
    <hyperlink r:id="rId31" ref="O38"/>
    <hyperlink r:id="rId32" ref="O39"/>
    <hyperlink r:id="rId33" ref="O40"/>
    <hyperlink r:id="rId34" ref="O41"/>
    <hyperlink r:id="rId35" ref="O42"/>
    <hyperlink r:id="rId36" ref="O43"/>
    <hyperlink r:id="rId37" ref="O44"/>
    <hyperlink r:id="rId38" ref="O45"/>
    <hyperlink r:id="rId39" ref="O46"/>
    <hyperlink r:id="rId40" ref="O47"/>
    <hyperlink r:id="rId41" ref="O48"/>
    <hyperlink r:id="rId42" ref="O49"/>
    <hyperlink r:id="rId43" ref="O50"/>
    <hyperlink r:id="rId44" ref="O51"/>
    <hyperlink r:id="rId45" ref="O52"/>
    <hyperlink r:id="rId46" ref="O53"/>
    <hyperlink r:id="rId47" ref="O54"/>
    <hyperlink r:id="rId48" ref="O55"/>
    <hyperlink r:id="rId49" ref="O56"/>
    <hyperlink r:id="rId50" ref="O57"/>
    <hyperlink r:id="rId51" ref="O58"/>
    <hyperlink r:id="rId52" ref="O59"/>
    <hyperlink r:id="rId53" ref="O60"/>
    <hyperlink r:id="rId54" ref="O61"/>
    <hyperlink r:id="rId55" ref="O62"/>
    <hyperlink r:id="rId56" ref="O63"/>
    <hyperlink r:id="rId57" ref="O64"/>
    <hyperlink r:id="rId58" ref="O65"/>
    <hyperlink r:id="rId59" ref="O66"/>
    <hyperlink r:id="rId60" ref="O67"/>
    <hyperlink r:id="rId61" ref="O68"/>
    <hyperlink r:id="rId62" ref="O69"/>
    <hyperlink r:id="rId63" ref="O70"/>
    <hyperlink r:id="rId64" ref="O71"/>
    <hyperlink r:id="rId65" ref="O72"/>
    <hyperlink r:id="rId66" ref="O73"/>
    <hyperlink r:id="rId67" ref="O74"/>
    <hyperlink r:id="rId68" ref="O75"/>
    <hyperlink r:id="rId69" ref="O76"/>
    <hyperlink r:id="rId70" ref="O77"/>
    <hyperlink r:id="rId71" ref="O78"/>
    <hyperlink r:id="rId72" ref="O79"/>
    <hyperlink r:id="rId73" ref="O80"/>
    <hyperlink r:id="rId74" ref="O81"/>
    <hyperlink r:id="rId75" ref="O82"/>
    <hyperlink r:id="rId76" ref="O83"/>
    <hyperlink r:id="rId77" ref="O84"/>
    <hyperlink r:id="rId78" ref="O85"/>
    <hyperlink r:id="rId79" ref="O86"/>
    <hyperlink r:id="rId80" ref="O87"/>
  </hyperlinks>
  <drawing r:id="rId8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12.63"/>
    <col customWidth="1" min="2" max="2" width="14.88"/>
    <col customWidth="1" min="3" max="3" width="14.63"/>
    <col customWidth="1" min="4" max="4" width="16.25"/>
    <col customWidth="1" min="5" max="5" width="16.63"/>
    <col customWidth="1" min="6" max="6" width="12.63"/>
  </cols>
  <sheetData>
    <row r="1" ht="15.75" customHeight="1"/>
    <row r="2" ht="15.75" customHeight="1"/>
    <row r="3" ht="15.75" customHeight="1"/>
    <row r="4" ht="15.75" customHeight="1"/>
    <row r="5" ht="15.75" customHeight="1">
      <c r="A5" s="1" t="s">
        <v>1</v>
      </c>
      <c r="B5" s="1" t="s">
        <v>2</v>
      </c>
      <c r="C5" s="1" t="s">
        <v>3</v>
      </c>
      <c r="D5" s="1" t="s">
        <v>4</v>
      </c>
      <c r="E5" s="1" t="s">
        <v>5</v>
      </c>
      <c r="F5" s="7"/>
      <c r="G5" s="7"/>
      <c r="H5" s="7"/>
      <c r="I5" s="7"/>
      <c r="J5" s="7"/>
      <c r="K5" s="7"/>
      <c r="L5" s="7"/>
      <c r="M5" s="7"/>
      <c r="N5" s="7"/>
      <c r="O5" s="7"/>
      <c r="P5" s="7"/>
      <c r="Q5" s="7"/>
      <c r="R5" s="7"/>
      <c r="S5" s="7"/>
      <c r="T5" s="7"/>
      <c r="U5" s="7"/>
      <c r="V5" s="7"/>
      <c r="W5" s="7"/>
      <c r="X5" s="7"/>
      <c r="Y5" s="7"/>
    </row>
    <row r="6" ht="15.75" customHeight="1">
      <c r="A6" s="11">
        <v>1.0</v>
      </c>
      <c r="B6" s="11" t="s">
        <v>10</v>
      </c>
      <c r="C6" s="11" t="s">
        <v>11</v>
      </c>
      <c r="D6" s="11" t="s">
        <v>12</v>
      </c>
      <c r="E6" s="11" t="s">
        <v>13</v>
      </c>
      <c r="F6" s="14"/>
      <c r="G6" s="14"/>
      <c r="H6" s="14"/>
      <c r="I6" s="14"/>
      <c r="J6" s="14"/>
      <c r="K6" s="14"/>
      <c r="L6" s="14"/>
      <c r="M6" s="14"/>
      <c r="N6" s="14"/>
      <c r="O6" s="14"/>
      <c r="P6" s="14"/>
      <c r="Q6" s="14"/>
      <c r="R6" s="14"/>
      <c r="S6" s="14"/>
      <c r="T6" s="14"/>
      <c r="U6" s="14"/>
      <c r="V6" s="14"/>
      <c r="W6" s="14"/>
      <c r="X6" s="14"/>
      <c r="Y6" s="14"/>
    </row>
    <row r="7" ht="15.75" customHeight="1">
      <c r="A7" s="11">
        <v>2.0</v>
      </c>
      <c r="B7" s="11" t="s">
        <v>10</v>
      </c>
      <c r="C7" s="11" t="s">
        <v>15</v>
      </c>
      <c r="D7" s="11" t="s">
        <v>17</v>
      </c>
      <c r="E7" s="11" t="s">
        <v>18</v>
      </c>
      <c r="F7" s="14"/>
      <c r="G7" s="14"/>
      <c r="H7" s="14"/>
      <c r="I7" s="14"/>
      <c r="J7" s="14"/>
      <c r="K7" s="14"/>
      <c r="L7" s="14"/>
      <c r="M7" s="14"/>
      <c r="N7" s="14"/>
      <c r="O7" s="14"/>
      <c r="P7" s="14"/>
      <c r="Q7" s="14"/>
      <c r="R7" s="14"/>
      <c r="S7" s="14"/>
      <c r="T7" s="14"/>
      <c r="U7" s="14"/>
      <c r="V7" s="14"/>
      <c r="W7" s="14"/>
      <c r="X7" s="14"/>
      <c r="Y7" s="14"/>
    </row>
    <row r="8" ht="15.75" customHeight="1">
      <c r="A8" s="11">
        <v>3.0</v>
      </c>
      <c r="B8" s="11" t="s">
        <v>10</v>
      </c>
      <c r="C8" s="11" t="s">
        <v>19</v>
      </c>
      <c r="D8" s="11" t="s">
        <v>12</v>
      </c>
      <c r="E8" s="11" t="s">
        <v>21</v>
      </c>
      <c r="F8" s="14"/>
      <c r="G8" s="14"/>
      <c r="H8" s="14"/>
      <c r="I8" s="14"/>
      <c r="J8" s="14"/>
      <c r="K8" s="14"/>
      <c r="L8" s="14"/>
      <c r="M8" s="14"/>
      <c r="N8" s="14"/>
      <c r="O8" s="14"/>
      <c r="P8" s="14"/>
      <c r="Q8" s="14"/>
      <c r="R8" s="14"/>
      <c r="S8" s="14"/>
      <c r="T8" s="14"/>
      <c r="U8" s="14"/>
      <c r="V8" s="14"/>
      <c r="W8" s="14"/>
      <c r="X8" s="14"/>
      <c r="Y8" s="14"/>
    </row>
    <row r="9" ht="15.75" customHeight="1">
      <c r="A9" s="11">
        <v>4.0</v>
      </c>
      <c r="B9" s="11" t="s">
        <v>10</v>
      </c>
      <c r="C9" s="11" t="s">
        <v>22</v>
      </c>
      <c r="D9" s="11" t="s">
        <v>17</v>
      </c>
      <c r="E9" s="11" t="s">
        <v>23</v>
      </c>
      <c r="F9" s="14"/>
      <c r="G9" s="14"/>
      <c r="H9" s="14"/>
      <c r="I9" s="14"/>
      <c r="J9" s="14"/>
      <c r="K9" s="14"/>
      <c r="L9" s="14"/>
      <c r="M9" s="14"/>
      <c r="N9" s="14"/>
      <c r="O9" s="14"/>
      <c r="P9" s="14"/>
      <c r="Q9" s="14"/>
      <c r="R9" s="14"/>
      <c r="S9" s="14"/>
      <c r="T9" s="14"/>
      <c r="U9" s="14"/>
      <c r="V9" s="14"/>
      <c r="W9" s="14"/>
      <c r="X9" s="14"/>
      <c r="Y9" s="14"/>
    </row>
    <row r="10" ht="15.75" customHeight="1">
      <c r="A10" s="11">
        <v>5.0</v>
      </c>
      <c r="B10" s="11" t="s">
        <v>10</v>
      </c>
      <c r="C10" s="11" t="s">
        <v>24</v>
      </c>
      <c r="D10" s="11" t="s">
        <v>25</v>
      </c>
      <c r="E10" s="11" t="s">
        <v>26</v>
      </c>
      <c r="F10" s="14"/>
      <c r="G10" s="14"/>
      <c r="H10" s="14"/>
      <c r="I10" s="14"/>
      <c r="J10" s="14"/>
      <c r="K10" s="14"/>
      <c r="L10" s="14"/>
      <c r="M10" s="14"/>
      <c r="N10" s="14"/>
      <c r="O10" s="14"/>
      <c r="P10" s="14"/>
      <c r="Q10" s="14"/>
      <c r="R10" s="14"/>
      <c r="S10" s="14"/>
      <c r="T10" s="14"/>
      <c r="U10" s="14"/>
      <c r="V10" s="14"/>
      <c r="W10" s="14"/>
      <c r="X10" s="14"/>
      <c r="Y10" s="14"/>
    </row>
    <row r="11" ht="15.75" customHeight="1">
      <c r="A11" s="25">
        <v>6.0</v>
      </c>
      <c r="B11" s="25" t="s">
        <v>28</v>
      </c>
      <c r="C11" s="25" t="s">
        <v>11</v>
      </c>
      <c r="D11" s="25" t="s">
        <v>29</v>
      </c>
      <c r="E11" s="25" t="s">
        <v>30</v>
      </c>
      <c r="F11" s="14"/>
      <c r="G11" s="14"/>
      <c r="H11" s="14"/>
      <c r="I11" s="14"/>
      <c r="J11" s="14"/>
      <c r="K11" s="14"/>
      <c r="L11" s="14"/>
      <c r="M11" s="14"/>
      <c r="N11" s="14"/>
      <c r="O11" s="14"/>
      <c r="P11" s="14"/>
      <c r="Q11" s="14"/>
      <c r="R11" s="14"/>
      <c r="S11" s="14"/>
      <c r="T11" s="14"/>
      <c r="U11" s="14"/>
      <c r="V11" s="14"/>
      <c r="W11" s="14"/>
      <c r="X11" s="14"/>
      <c r="Y11" s="14"/>
    </row>
    <row r="12" ht="15.75" customHeight="1">
      <c r="A12" s="25">
        <v>7.0</v>
      </c>
      <c r="B12" s="25" t="s">
        <v>28</v>
      </c>
      <c r="C12" s="25" t="s">
        <v>15</v>
      </c>
      <c r="D12" s="25" t="s">
        <v>33</v>
      </c>
      <c r="E12" s="25" t="s">
        <v>34</v>
      </c>
      <c r="F12" s="14"/>
      <c r="G12" s="14"/>
      <c r="H12" s="14"/>
      <c r="I12" s="14"/>
      <c r="J12" s="14"/>
      <c r="K12" s="14"/>
      <c r="L12" s="14"/>
      <c r="M12" s="14"/>
      <c r="N12" s="14"/>
      <c r="O12" s="14"/>
      <c r="P12" s="14"/>
      <c r="Q12" s="14"/>
      <c r="R12" s="14"/>
      <c r="S12" s="14"/>
      <c r="T12" s="14"/>
      <c r="U12" s="14"/>
      <c r="V12" s="14"/>
      <c r="W12" s="14"/>
      <c r="X12" s="14"/>
      <c r="Y12" s="14"/>
    </row>
    <row r="13" ht="15.75" customHeight="1">
      <c r="A13" s="25">
        <v>8.0</v>
      </c>
      <c r="B13" s="25" t="s">
        <v>28</v>
      </c>
      <c r="C13" s="25" t="s">
        <v>19</v>
      </c>
      <c r="D13" s="25" t="s">
        <v>36</v>
      </c>
      <c r="E13" s="25" t="s">
        <v>37</v>
      </c>
      <c r="F13" s="14"/>
      <c r="G13" s="14"/>
      <c r="H13" s="14"/>
      <c r="I13" s="14"/>
      <c r="J13" s="14"/>
      <c r="K13" s="14"/>
      <c r="L13" s="14"/>
      <c r="M13" s="14"/>
      <c r="N13" s="14"/>
      <c r="O13" s="14"/>
      <c r="P13" s="14"/>
      <c r="Q13" s="14"/>
      <c r="R13" s="14"/>
      <c r="S13" s="14"/>
      <c r="T13" s="14"/>
      <c r="U13" s="14"/>
      <c r="V13" s="14"/>
      <c r="W13" s="14"/>
      <c r="X13" s="14"/>
      <c r="Y13" s="14"/>
    </row>
    <row r="14" ht="15.75" customHeight="1">
      <c r="A14" s="25">
        <v>9.0</v>
      </c>
      <c r="B14" s="25" t="s">
        <v>28</v>
      </c>
      <c r="C14" s="25" t="s">
        <v>22</v>
      </c>
      <c r="D14" s="25" t="s">
        <v>33</v>
      </c>
      <c r="E14" s="25" t="s">
        <v>38</v>
      </c>
      <c r="F14" s="14"/>
      <c r="G14" s="14"/>
      <c r="H14" s="14"/>
      <c r="I14" s="14"/>
      <c r="J14" s="14"/>
      <c r="K14" s="14"/>
      <c r="L14" s="14"/>
      <c r="M14" s="14"/>
      <c r="N14" s="14"/>
      <c r="O14" s="14"/>
      <c r="P14" s="14"/>
      <c r="Q14" s="14"/>
      <c r="R14" s="14"/>
      <c r="S14" s="14"/>
      <c r="T14" s="14"/>
      <c r="U14" s="14"/>
      <c r="V14" s="14"/>
      <c r="W14" s="14"/>
      <c r="X14" s="14"/>
      <c r="Y14" s="14"/>
    </row>
    <row r="15" ht="15.75" customHeight="1">
      <c r="A15" s="25">
        <v>10.0</v>
      </c>
      <c r="B15" s="25" t="s">
        <v>28</v>
      </c>
      <c r="C15" s="25" t="s">
        <v>24</v>
      </c>
      <c r="D15" s="25" t="s">
        <v>39</v>
      </c>
      <c r="E15" s="25" t="s">
        <v>40</v>
      </c>
      <c r="F15" s="14"/>
      <c r="G15" s="14"/>
      <c r="H15" s="14"/>
      <c r="I15" s="14"/>
      <c r="J15" s="14"/>
      <c r="K15" s="14"/>
      <c r="L15" s="14"/>
      <c r="M15" s="14"/>
      <c r="N15" s="14"/>
      <c r="O15" s="14"/>
      <c r="P15" s="14"/>
      <c r="Q15" s="14"/>
      <c r="R15" s="14"/>
      <c r="S15" s="14"/>
      <c r="T15" s="14"/>
      <c r="U15" s="14"/>
      <c r="V15" s="14"/>
      <c r="W15" s="14"/>
      <c r="X15" s="14"/>
      <c r="Y15" s="14"/>
    </row>
    <row r="16" ht="15.75" customHeight="1">
      <c r="A16" s="32">
        <v>11.0</v>
      </c>
      <c r="B16" s="32" t="s">
        <v>42</v>
      </c>
      <c r="C16" s="32" t="s">
        <v>11</v>
      </c>
      <c r="D16" s="32" t="s">
        <v>43</v>
      </c>
      <c r="E16" s="32" t="s">
        <v>44</v>
      </c>
      <c r="F16" s="14"/>
      <c r="G16" s="14"/>
      <c r="H16" s="14"/>
      <c r="I16" s="14"/>
      <c r="J16" s="14"/>
      <c r="K16" s="14"/>
      <c r="L16" s="14"/>
      <c r="M16" s="14"/>
      <c r="N16" s="14"/>
      <c r="O16" s="14"/>
      <c r="P16" s="14"/>
      <c r="Q16" s="14"/>
      <c r="R16" s="14"/>
      <c r="S16" s="14"/>
      <c r="T16" s="14"/>
      <c r="U16" s="14"/>
      <c r="V16" s="14"/>
      <c r="W16" s="14"/>
      <c r="X16" s="14"/>
      <c r="Y16" s="14"/>
    </row>
    <row r="17" ht="15.75" customHeight="1">
      <c r="A17" s="32">
        <v>12.0</v>
      </c>
      <c r="B17" s="32" t="s">
        <v>42</v>
      </c>
      <c r="C17" s="32" t="s">
        <v>15</v>
      </c>
      <c r="D17" s="32" t="s">
        <v>33</v>
      </c>
      <c r="E17" s="32" t="s">
        <v>45</v>
      </c>
      <c r="F17" s="14"/>
      <c r="G17" s="14"/>
      <c r="H17" s="14"/>
      <c r="I17" s="14"/>
      <c r="J17" s="14"/>
      <c r="K17" s="14"/>
      <c r="L17" s="14"/>
      <c r="M17" s="14"/>
      <c r="N17" s="14"/>
      <c r="O17" s="14"/>
      <c r="P17" s="14"/>
      <c r="Q17" s="14"/>
      <c r="R17" s="14"/>
      <c r="S17" s="14"/>
      <c r="T17" s="14"/>
      <c r="U17" s="14"/>
      <c r="V17" s="14"/>
      <c r="W17" s="14"/>
      <c r="X17" s="14"/>
      <c r="Y17" s="14"/>
    </row>
    <row r="18" ht="15.75" customHeight="1">
      <c r="A18" s="32">
        <v>13.0</v>
      </c>
      <c r="B18" s="32" t="s">
        <v>42</v>
      </c>
      <c r="C18" s="32" t="s">
        <v>19</v>
      </c>
      <c r="D18" s="32" t="s">
        <v>12</v>
      </c>
      <c r="E18" s="32" t="s">
        <v>46</v>
      </c>
      <c r="F18" s="14"/>
      <c r="G18" s="14"/>
      <c r="H18" s="14"/>
      <c r="I18" s="14"/>
      <c r="J18" s="14"/>
      <c r="K18" s="14"/>
      <c r="L18" s="14"/>
      <c r="M18" s="14"/>
      <c r="N18" s="14"/>
      <c r="O18" s="14"/>
      <c r="P18" s="14"/>
      <c r="Q18" s="14"/>
      <c r="R18" s="14"/>
      <c r="S18" s="14"/>
      <c r="T18" s="14"/>
      <c r="U18" s="14"/>
      <c r="V18" s="14"/>
      <c r="W18" s="14"/>
      <c r="X18" s="14"/>
      <c r="Y18" s="14"/>
    </row>
    <row r="19" ht="15.75" customHeight="1">
      <c r="A19" s="32">
        <v>14.0</v>
      </c>
      <c r="B19" s="32" t="s">
        <v>42</v>
      </c>
      <c r="C19" s="32" t="s">
        <v>22</v>
      </c>
      <c r="D19" s="32" t="s">
        <v>47</v>
      </c>
      <c r="E19" s="32" t="s">
        <v>48</v>
      </c>
      <c r="F19" s="14"/>
      <c r="G19" s="14"/>
      <c r="H19" s="14"/>
      <c r="I19" s="14"/>
      <c r="J19" s="14"/>
      <c r="K19" s="14"/>
      <c r="L19" s="14"/>
      <c r="M19" s="14"/>
      <c r="N19" s="14"/>
      <c r="O19" s="14"/>
      <c r="P19" s="14"/>
      <c r="Q19" s="14"/>
      <c r="R19" s="14"/>
      <c r="S19" s="14"/>
      <c r="T19" s="14"/>
      <c r="U19" s="14"/>
      <c r="V19" s="14"/>
      <c r="W19" s="14"/>
      <c r="X19" s="14"/>
      <c r="Y19" s="14"/>
    </row>
    <row r="20" ht="15.75" customHeight="1">
      <c r="A20" s="32">
        <v>15.0</v>
      </c>
      <c r="B20" s="32" t="s">
        <v>42</v>
      </c>
      <c r="C20" s="32" t="s">
        <v>24</v>
      </c>
      <c r="D20" s="32" t="s">
        <v>49</v>
      </c>
      <c r="E20" s="32" t="s">
        <v>50</v>
      </c>
      <c r="F20" s="14"/>
      <c r="G20" s="14"/>
      <c r="H20" s="14"/>
      <c r="I20" s="14"/>
      <c r="J20" s="14"/>
      <c r="K20" s="14"/>
      <c r="L20" s="14"/>
      <c r="M20" s="14"/>
      <c r="N20" s="14"/>
      <c r="O20" s="14"/>
      <c r="P20" s="14"/>
      <c r="Q20" s="14"/>
      <c r="R20" s="14"/>
      <c r="S20" s="14"/>
      <c r="T20" s="14"/>
      <c r="U20" s="14"/>
      <c r="V20" s="14"/>
      <c r="W20" s="14"/>
      <c r="X20" s="14"/>
      <c r="Y20" s="14"/>
    </row>
    <row r="21" ht="15.75" customHeight="1">
      <c r="A21" s="35">
        <v>16.0</v>
      </c>
      <c r="B21" s="35" t="s">
        <v>51</v>
      </c>
      <c r="C21" s="36" t="s">
        <v>11</v>
      </c>
      <c r="D21" s="35"/>
      <c r="E21" s="35" t="s">
        <v>52</v>
      </c>
      <c r="F21" s="14"/>
      <c r="G21" s="14"/>
      <c r="H21" s="14"/>
      <c r="I21" s="14"/>
      <c r="J21" s="14"/>
      <c r="K21" s="14"/>
      <c r="L21" s="14"/>
      <c r="M21" s="14"/>
      <c r="N21" s="14"/>
      <c r="O21" s="14"/>
      <c r="P21" s="14"/>
      <c r="Q21" s="14"/>
      <c r="R21" s="14"/>
      <c r="S21" s="14"/>
      <c r="T21" s="14"/>
      <c r="U21" s="14"/>
      <c r="V21" s="14"/>
      <c r="W21" s="14"/>
      <c r="X21" s="14"/>
      <c r="Y21" s="14"/>
    </row>
    <row r="22" ht="15.75" customHeight="1">
      <c r="A22" s="35">
        <v>17.0</v>
      </c>
      <c r="B22" s="35" t="s">
        <v>51</v>
      </c>
      <c r="C22" s="36" t="s">
        <v>15</v>
      </c>
      <c r="D22" s="35"/>
      <c r="E22" s="35" t="s">
        <v>53</v>
      </c>
      <c r="F22" s="14"/>
      <c r="G22" s="14"/>
      <c r="H22" s="14"/>
      <c r="I22" s="14"/>
      <c r="J22" s="14"/>
      <c r="K22" s="14"/>
      <c r="L22" s="14"/>
      <c r="M22" s="14"/>
      <c r="N22" s="14"/>
      <c r="O22" s="14"/>
      <c r="P22" s="14"/>
      <c r="Q22" s="14"/>
      <c r="R22" s="14"/>
      <c r="S22" s="14"/>
      <c r="T22" s="14"/>
      <c r="U22" s="14"/>
      <c r="V22" s="14"/>
      <c r="W22" s="14"/>
      <c r="X22" s="14"/>
      <c r="Y22" s="14"/>
    </row>
    <row r="23" ht="15.75" customHeight="1">
      <c r="A23" s="35">
        <v>18.0</v>
      </c>
      <c r="B23" s="35" t="s">
        <v>51</v>
      </c>
      <c r="C23" s="35" t="s">
        <v>19</v>
      </c>
      <c r="D23" s="35"/>
      <c r="E23" s="35" t="s">
        <v>54</v>
      </c>
      <c r="F23" s="14"/>
      <c r="G23" s="14"/>
      <c r="H23" s="14"/>
      <c r="I23" s="14"/>
      <c r="J23" s="14"/>
      <c r="K23" s="14"/>
      <c r="L23" s="14"/>
      <c r="M23" s="14"/>
      <c r="N23" s="14"/>
      <c r="O23" s="14"/>
      <c r="P23" s="14"/>
      <c r="Q23" s="14"/>
      <c r="R23" s="14"/>
      <c r="S23" s="14"/>
      <c r="T23" s="14"/>
      <c r="U23" s="14"/>
      <c r="V23" s="14"/>
      <c r="W23" s="14"/>
      <c r="X23" s="14"/>
      <c r="Y23" s="14"/>
    </row>
    <row r="24" ht="15.75" customHeight="1">
      <c r="A24" s="35">
        <v>19.0</v>
      </c>
      <c r="B24" s="35" t="s">
        <v>51</v>
      </c>
      <c r="C24" s="36" t="s">
        <v>22</v>
      </c>
      <c r="D24" s="35"/>
      <c r="E24" s="35" t="s">
        <v>55</v>
      </c>
      <c r="F24" s="14"/>
      <c r="G24" s="14"/>
      <c r="H24" s="14"/>
      <c r="I24" s="14"/>
      <c r="J24" s="14"/>
      <c r="K24" s="14"/>
      <c r="L24" s="14"/>
      <c r="M24" s="14"/>
      <c r="N24" s="14"/>
      <c r="O24" s="14"/>
      <c r="P24" s="14"/>
      <c r="Q24" s="14"/>
      <c r="R24" s="14"/>
      <c r="S24" s="14"/>
      <c r="T24" s="14"/>
      <c r="U24" s="14"/>
      <c r="V24" s="14"/>
      <c r="W24" s="14"/>
      <c r="X24" s="14"/>
      <c r="Y24" s="14"/>
    </row>
    <row r="25" ht="15.75" customHeight="1">
      <c r="A25" s="35">
        <v>20.0</v>
      </c>
      <c r="B25" s="35" t="s">
        <v>51</v>
      </c>
      <c r="C25" s="36" t="s">
        <v>24</v>
      </c>
      <c r="D25" s="35"/>
      <c r="E25" s="35" t="s">
        <v>56</v>
      </c>
      <c r="F25" s="14"/>
      <c r="G25" s="14"/>
      <c r="H25" s="14"/>
      <c r="I25" s="14"/>
      <c r="J25" s="14"/>
      <c r="K25" s="14"/>
      <c r="L25" s="14"/>
      <c r="M25" s="14"/>
      <c r="N25" s="14"/>
      <c r="O25" s="14"/>
      <c r="P25" s="14"/>
      <c r="Q25" s="14"/>
      <c r="R25" s="14"/>
      <c r="S25" s="14"/>
      <c r="T25" s="14"/>
      <c r="U25" s="14"/>
      <c r="V25" s="14"/>
      <c r="W25" s="14"/>
      <c r="X25" s="14"/>
      <c r="Y25" s="14"/>
    </row>
    <row r="26" ht="15.75" customHeight="1">
      <c r="A26" s="41">
        <v>21.0</v>
      </c>
      <c r="B26" s="41" t="s">
        <v>58</v>
      </c>
      <c r="C26" s="41" t="s">
        <v>15</v>
      </c>
      <c r="D26" s="41" t="s">
        <v>59</v>
      </c>
      <c r="E26" s="41" t="s">
        <v>60</v>
      </c>
      <c r="F26" s="14"/>
      <c r="G26" s="14"/>
      <c r="H26" s="14"/>
      <c r="I26" s="14"/>
      <c r="J26" s="14"/>
      <c r="K26" s="14"/>
      <c r="L26" s="14"/>
      <c r="M26" s="14"/>
      <c r="N26" s="14"/>
      <c r="O26" s="14"/>
      <c r="P26" s="14"/>
      <c r="Q26" s="14"/>
      <c r="R26" s="14"/>
      <c r="S26" s="14"/>
      <c r="T26" s="14"/>
      <c r="U26" s="14"/>
      <c r="V26" s="14"/>
      <c r="W26" s="14"/>
      <c r="X26" s="14"/>
      <c r="Y26" s="14"/>
    </row>
    <row r="27" ht="15.75" customHeight="1">
      <c r="A27" s="41">
        <v>22.0</v>
      </c>
      <c r="B27" s="41" t="s">
        <v>58</v>
      </c>
      <c r="C27" s="41" t="s">
        <v>22</v>
      </c>
      <c r="D27" s="41" t="s">
        <v>61</v>
      </c>
      <c r="E27" s="41" t="s">
        <v>62</v>
      </c>
      <c r="F27" s="14"/>
      <c r="G27" s="14"/>
      <c r="H27" s="14"/>
      <c r="I27" s="14"/>
      <c r="J27" s="14"/>
      <c r="K27" s="14"/>
      <c r="L27" s="14"/>
      <c r="M27" s="14"/>
      <c r="N27" s="14"/>
      <c r="O27" s="14"/>
      <c r="P27" s="14"/>
      <c r="Q27" s="14"/>
      <c r="R27" s="14"/>
      <c r="S27" s="14"/>
      <c r="T27" s="14"/>
      <c r="U27" s="14"/>
      <c r="V27" s="14"/>
      <c r="W27" s="14"/>
      <c r="X27" s="14"/>
      <c r="Y27" s="14"/>
    </row>
    <row r="28" ht="15.75" customHeight="1">
      <c r="A28" s="41">
        <v>23.0</v>
      </c>
      <c r="B28" s="41" t="s">
        <v>58</v>
      </c>
      <c r="C28" s="41" t="s">
        <v>24</v>
      </c>
      <c r="D28" s="41" t="s">
        <v>64</v>
      </c>
      <c r="E28" s="41" t="s">
        <v>65</v>
      </c>
      <c r="F28" s="14"/>
      <c r="G28" s="14"/>
      <c r="H28" s="14"/>
      <c r="I28" s="14"/>
      <c r="J28" s="14"/>
      <c r="K28" s="14"/>
      <c r="L28" s="14"/>
      <c r="M28" s="14"/>
      <c r="N28" s="14"/>
      <c r="O28" s="14"/>
      <c r="P28" s="14"/>
      <c r="Q28" s="14"/>
      <c r="R28" s="14"/>
      <c r="S28" s="14"/>
      <c r="T28" s="14"/>
      <c r="U28" s="14"/>
      <c r="V28" s="14"/>
      <c r="W28" s="14"/>
      <c r="X28" s="14"/>
      <c r="Y28" s="14"/>
    </row>
    <row r="29" ht="15.75" customHeight="1">
      <c r="A29" s="41">
        <v>24.0</v>
      </c>
      <c r="B29" s="41" t="s">
        <v>58</v>
      </c>
      <c r="C29" s="41" t="s">
        <v>11</v>
      </c>
      <c r="D29" s="41" t="s">
        <v>64</v>
      </c>
      <c r="E29" s="41" t="s">
        <v>66</v>
      </c>
      <c r="F29" s="14"/>
      <c r="G29" s="14"/>
      <c r="H29" s="14"/>
      <c r="I29" s="14"/>
      <c r="J29" s="14"/>
      <c r="K29" s="14"/>
      <c r="L29" s="14"/>
      <c r="M29" s="14"/>
      <c r="N29" s="14"/>
      <c r="O29" s="14"/>
      <c r="P29" s="14"/>
      <c r="Q29" s="14"/>
      <c r="R29" s="14"/>
      <c r="S29" s="14"/>
      <c r="T29" s="14"/>
      <c r="U29" s="14"/>
      <c r="V29" s="14"/>
      <c r="W29" s="14"/>
      <c r="X29" s="14"/>
      <c r="Y29" s="14"/>
    </row>
    <row r="30" ht="15.75" customHeight="1">
      <c r="A30" s="43">
        <v>24.0</v>
      </c>
      <c r="B30" s="43" t="s">
        <v>68</v>
      </c>
      <c r="C30" s="43" t="s">
        <v>11</v>
      </c>
      <c r="D30" s="43" t="s">
        <v>12</v>
      </c>
      <c r="E30" s="43" t="s">
        <v>70</v>
      </c>
      <c r="F30" s="45"/>
      <c r="G30" s="14"/>
      <c r="H30" s="14"/>
      <c r="I30" s="14"/>
      <c r="J30" s="14"/>
      <c r="K30" s="14"/>
      <c r="L30" s="14"/>
      <c r="M30" s="14"/>
      <c r="N30" s="14"/>
      <c r="O30" s="14"/>
      <c r="P30" s="14"/>
      <c r="Q30" s="14"/>
      <c r="R30" s="14"/>
      <c r="S30" s="14"/>
      <c r="T30" s="14"/>
      <c r="U30" s="14"/>
      <c r="V30" s="14"/>
      <c r="W30" s="14"/>
      <c r="X30" s="14"/>
      <c r="Y30" s="14"/>
    </row>
    <row r="31" ht="15.75" customHeight="1">
      <c r="A31" s="43">
        <v>25.0</v>
      </c>
      <c r="B31" s="43" t="s">
        <v>73</v>
      </c>
      <c r="C31" s="43" t="s">
        <v>15</v>
      </c>
      <c r="D31" s="43" t="s">
        <v>74</v>
      </c>
      <c r="E31" s="43" t="s">
        <v>75</v>
      </c>
      <c r="F31" s="45"/>
      <c r="G31" s="14"/>
      <c r="H31" s="14"/>
      <c r="I31" s="14"/>
      <c r="J31" s="14"/>
      <c r="K31" s="14"/>
      <c r="L31" s="14"/>
      <c r="M31" s="14"/>
      <c r="N31" s="14"/>
      <c r="O31" s="14"/>
      <c r="P31" s="14"/>
      <c r="Q31" s="14"/>
      <c r="R31" s="14"/>
      <c r="S31" s="14"/>
      <c r="T31" s="14"/>
      <c r="U31" s="14"/>
      <c r="V31" s="14"/>
      <c r="W31" s="14"/>
      <c r="X31" s="14"/>
      <c r="Y31" s="14"/>
    </row>
    <row r="32" ht="15.75" customHeight="1">
      <c r="A32" s="43">
        <v>26.0</v>
      </c>
      <c r="B32" s="43" t="s">
        <v>73</v>
      </c>
      <c r="C32" s="43" t="s">
        <v>19</v>
      </c>
      <c r="D32" s="43" t="s">
        <v>78</v>
      </c>
      <c r="E32" s="43" t="s">
        <v>79</v>
      </c>
      <c r="F32" s="45"/>
      <c r="G32" s="14"/>
      <c r="H32" s="14"/>
      <c r="I32" s="14"/>
      <c r="J32" s="14"/>
      <c r="K32" s="14"/>
      <c r="L32" s="14"/>
      <c r="M32" s="14"/>
      <c r="N32" s="14"/>
      <c r="O32" s="14"/>
      <c r="P32" s="14"/>
      <c r="Q32" s="14"/>
      <c r="R32" s="14"/>
      <c r="S32" s="14"/>
      <c r="T32" s="14"/>
      <c r="U32" s="14"/>
      <c r="V32" s="14"/>
      <c r="W32" s="14"/>
      <c r="X32" s="14"/>
      <c r="Y32" s="14"/>
    </row>
    <row r="33" ht="15.75" customHeight="1">
      <c r="A33" s="43">
        <v>27.0</v>
      </c>
      <c r="B33" s="43" t="s">
        <v>73</v>
      </c>
      <c r="C33" s="47" t="s">
        <v>22</v>
      </c>
      <c r="D33" s="43" t="s">
        <v>12</v>
      </c>
      <c r="E33" s="47" t="s">
        <v>80</v>
      </c>
      <c r="F33" s="45"/>
      <c r="G33" s="48"/>
      <c r="H33" s="48"/>
      <c r="I33" s="48"/>
      <c r="J33" s="48"/>
      <c r="K33" s="48"/>
      <c r="L33" s="48"/>
      <c r="M33" s="48"/>
      <c r="N33" s="48"/>
      <c r="O33" s="48"/>
      <c r="P33" s="48"/>
      <c r="Q33" s="48"/>
      <c r="R33" s="48"/>
      <c r="S33" s="48"/>
      <c r="T33" s="48"/>
      <c r="U33" s="48"/>
      <c r="V33" s="48"/>
      <c r="W33" s="48"/>
      <c r="X33" s="48"/>
      <c r="Y33" s="48"/>
    </row>
    <row r="34" ht="15.75" customHeight="1">
      <c r="A34" s="43">
        <v>28.0</v>
      </c>
      <c r="B34" s="43" t="s">
        <v>73</v>
      </c>
      <c r="C34" s="47" t="s">
        <v>24</v>
      </c>
      <c r="D34" s="43" t="s">
        <v>12</v>
      </c>
      <c r="E34" s="47" t="s">
        <v>82</v>
      </c>
      <c r="F34" s="45"/>
      <c r="G34" s="48"/>
      <c r="H34" s="48"/>
      <c r="I34" s="48"/>
      <c r="J34" s="48"/>
      <c r="K34" s="48"/>
      <c r="L34" s="48"/>
      <c r="M34" s="48"/>
      <c r="N34" s="48"/>
      <c r="O34" s="48"/>
      <c r="P34" s="48"/>
      <c r="Q34" s="48"/>
      <c r="R34" s="48"/>
      <c r="S34" s="48"/>
      <c r="T34" s="48"/>
      <c r="U34" s="48"/>
      <c r="V34" s="48"/>
      <c r="W34" s="48"/>
      <c r="X34" s="48"/>
      <c r="Y34" s="48"/>
    </row>
    <row r="35" ht="15.75" customHeight="1">
      <c r="A35" s="47">
        <v>29.0</v>
      </c>
      <c r="B35" s="43" t="s">
        <v>83</v>
      </c>
      <c r="C35" s="47" t="s">
        <v>11</v>
      </c>
      <c r="D35" s="47" t="s">
        <v>84</v>
      </c>
      <c r="E35" s="43" t="s">
        <v>85</v>
      </c>
      <c r="F35" s="48"/>
      <c r="G35" s="48"/>
      <c r="H35" s="48"/>
      <c r="I35" s="48"/>
      <c r="J35" s="48"/>
      <c r="K35" s="48"/>
      <c r="L35" s="48"/>
      <c r="M35" s="48"/>
      <c r="N35" s="48"/>
      <c r="O35" s="48"/>
      <c r="P35" s="48"/>
      <c r="Q35" s="48"/>
      <c r="R35" s="48"/>
      <c r="S35" s="48"/>
      <c r="T35" s="48"/>
      <c r="U35" s="48"/>
      <c r="V35" s="48"/>
      <c r="W35" s="48"/>
      <c r="X35" s="48"/>
      <c r="Y35" s="48"/>
    </row>
    <row r="36" ht="15.75" customHeight="1">
      <c r="A36" s="47">
        <v>30.0</v>
      </c>
      <c r="B36" s="47"/>
      <c r="C36" s="43" t="s">
        <v>15</v>
      </c>
      <c r="D36" s="47" t="s">
        <v>86</v>
      </c>
      <c r="E36" s="47" t="s">
        <v>87</v>
      </c>
      <c r="F36" s="48"/>
      <c r="G36" s="48"/>
      <c r="H36" s="48"/>
      <c r="I36" s="48"/>
      <c r="J36" s="48"/>
      <c r="K36" s="48"/>
      <c r="L36" s="48"/>
      <c r="M36" s="48"/>
      <c r="N36" s="48"/>
      <c r="O36" s="48"/>
      <c r="P36" s="48"/>
      <c r="Q36" s="48"/>
      <c r="R36" s="48"/>
      <c r="S36" s="48"/>
      <c r="T36" s="48"/>
      <c r="U36" s="48"/>
      <c r="V36" s="48"/>
      <c r="W36" s="48"/>
      <c r="X36" s="48"/>
      <c r="Y36" s="48"/>
    </row>
    <row r="37" ht="15.75" customHeight="1">
      <c r="A37" s="47">
        <v>31.0</v>
      </c>
      <c r="B37" s="47"/>
      <c r="C37" s="47" t="s">
        <v>19</v>
      </c>
      <c r="D37" s="47"/>
      <c r="E37" s="47" t="s">
        <v>88</v>
      </c>
      <c r="F37" s="48"/>
      <c r="G37" s="48"/>
      <c r="H37" s="48"/>
      <c r="I37" s="48"/>
      <c r="J37" s="48"/>
      <c r="K37" s="48"/>
      <c r="L37" s="48"/>
      <c r="M37" s="48"/>
      <c r="N37" s="48"/>
      <c r="O37" s="48"/>
      <c r="P37" s="48"/>
      <c r="Q37" s="48"/>
      <c r="R37" s="48"/>
      <c r="S37" s="48"/>
      <c r="T37" s="48"/>
      <c r="U37" s="48"/>
      <c r="V37" s="48"/>
      <c r="W37" s="48"/>
      <c r="X37" s="48"/>
      <c r="Y37" s="48"/>
    </row>
    <row r="38" ht="15.75" customHeight="1">
      <c r="A38" s="47">
        <v>32.0</v>
      </c>
      <c r="B38" s="47"/>
      <c r="C38" s="47" t="s">
        <v>22</v>
      </c>
      <c r="D38" s="47"/>
      <c r="E38" s="47" t="s">
        <v>90</v>
      </c>
      <c r="F38" s="48"/>
      <c r="G38" s="48"/>
      <c r="H38" s="48"/>
      <c r="I38" s="48"/>
      <c r="J38" s="48"/>
      <c r="K38" s="48"/>
      <c r="L38" s="48"/>
      <c r="M38" s="48"/>
      <c r="N38" s="48"/>
      <c r="O38" s="48"/>
      <c r="P38" s="48"/>
      <c r="Q38" s="48"/>
      <c r="R38" s="48"/>
      <c r="S38" s="48"/>
      <c r="T38" s="48"/>
      <c r="U38" s="48"/>
      <c r="V38" s="48"/>
      <c r="W38" s="48"/>
      <c r="X38" s="48"/>
      <c r="Y38" s="48"/>
    </row>
    <row r="39" ht="15.75" customHeight="1">
      <c r="A39" s="47">
        <v>33.0</v>
      </c>
      <c r="B39" s="47"/>
      <c r="C39" s="47" t="s">
        <v>24</v>
      </c>
      <c r="D39" s="47"/>
      <c r="E39" s="47" t="s">
        <v>92</v>
      </c>
      <c r="F39" s="48"/>
      <c r="G39" s="48"/>
      <c r="H39" s="48"/>
      <c r="I39" s="48"/>
      <c r="J39" s="48"/>
      <c r="K39" s="48"/>
      <c r="L39" s="48"/>
      <c r="M39" s="48"/>
      <c r="N39" s="48"/>
      <c r="O39" s="48"/>
      <c r="P39" s="48"/>
      <c r="Q39" s="48"/>
      <c r="R39" s="48"/>
      <c r="S39" s="48"/>
      <c r="T39" s="48"/>
      <c r="U39" s="48"/>
      <c r="V39" s="48"/>
      <c r="W39" s="48"/>
      <c r="X39" s="48"/>
      <c r="Y39" s="48"/>
    </row>
    <row r="40" ht="15.75" customHeight="1">
      <c r="A40" s="47"/>
      <c r="B40" s="47"/>
      <c r="C40" s="47"/>
      <c r="D40" s="47"/>
      <c r="E40" s="47" t="s">
        <v>94</v>
      </c>
      <c r="F40" s="48"/>
      <c r="G40" s="48"/>
      <c r="H40" s="48"/>
      <c r="I40" s="48"/>
      <c r="J40" s="48"/>
      <c r="K40" s="48"/>
      <c r="L40" s="48"/>
      <c r="M40" s="48"/>
      <c r="N40" s="48"/>
      <c r="O40" s="48"/>
      <c r="P40" s="48"/>
      <c r="Q40" s="48"/>
      <c r="R40" s="48"/>
      <c r="S40" s="48"/>
      <c r="T40" s="48"/>
      <c r="U40" s="48"/>
      <c r="V40" s="48"/>
      <c r="W40" s="48"/>
      <c r="X40" s="48"/>
      <c r="Y40" s="48"/>
    </row>
    <row r="41" ht="15.75" customHeight="1">
      <c r="A41" s="47"/>
      <c r="B41" s="47"/>
      <c r="C41" s="47"/>
      <c r="D41" s="47"/>
      <c r="E41" s="47" t="s">
        <v>96</v>
      </c>
      <c r="F41" s="48"/>
      <c r="G41" s="48"/>
      <c r="H41" s="48"/>
      <c r="I41" s="48"/>
      <c r="J41" s="48"/>
      <c r="K41" s="48"/>
      <c r="L41" s="48"/>
      <c r="M41" s="48"/>
      <c r="N41" s="48"/>
      <c r="O41" s="48"/>
      <c r="P41" s="48"/>
      <c r="Q41" s="48"/>
      <c r="R41" s="48"/>
      <c r="S41" s="48"/>
      <c r="T41" s="48"/>
      <c r="U41" s="48"/>
      <c r="V41" s="48"/>
      <c r="W41" s="48"/>
      <c r="X41" s="48"/>
      <c r="Y41" s="48"/>
    </row>
    <row r="42" ht="15.75" customHeight="1">
      <c r="A42" s="47"/>
      <c r="B42" s="47"/>
      <c r="C42" s="47" t="s">
        <v>97</v>
      </c>
      <c r="D42" s="47"/>
      <c r="E42" s="47" t="s">
        <v>98</v>
      </c>
      <c r="F42" s="48"/>
      <c r="G42" s="48"/>
      <c r="H42" s="48"/>
      <c r="I42" s="48"/>
      <c r="J42" s="48"/>
      <c r="K42" s="48"/>
      <c r="L42" s="48"/>
      <c r="M42" s="48"/>
      <c r="N42" s="48"/>
      <c r="O42" s="48"/>
      <c r="P42" s="48"/>
      <c r="Q42" s="48"/>
      <c r="R42" s="48"/>
      <c r="S42" s="48"/>
      <c r="T42" s="48"/>
      <c r="U42" s="48"/>
      <c r="V42" s="48"/>
      <c r="W42" s="48"/>
      <c r="X42" s="48"/>
      <c r="Y42" s="48"/>
    </row>
    <row r="43" ht="15.75" customHeight="1">
      <c r="A43" s="47"/>
      <c r="B43" s="47"/>
      <c r="C43" s="47" t="s">
        <v>99</v>
      </c>
      <c r="D43" s="47"/>
      <c r="E43" s="47" t="s">
        <v>100</v>
      </c>
      <c r="F43" s="48"/>
      <c r="G43" s="48"/>
      <c r="H43" s="48"/>
      <c r="I43" s="48"/>
      <c r="J43" s="48"/>
      <c r="K43" s="48"/>
      <c r="L43" s="48"/>
      <c r="M43" s="48"/>
      <c r="N43" s="48"/>
      <c r="O43" s="48"/>
      <c r="P43" s="48"/>
      <c r="Q43" s="48"/>
      <c r="R43" s="48"/>
      <c r="S43" s="48"/>
      <c r="T43" s="48"/>
      <c r="U43" s="48"/>
      <c r="V43" s="48"/>
      <c r="W43" s="48"/>
      <c r="X43" s="48"/>
      <c r="Y43" s="48"/>
    </row>
    <row r="44" ht="15.75" customHeight="1">
      <c r="A44" s="47"/>
      <c r="B44" s="47"/>
      <c r="C44" s="47" t="s">
        <v>19</v>
      </c>
      <c r="D44" s="47"/>
      <c r="E44" s="47" t="s">
        <v>102</v>
      </c>
      <c r="F44" s="48"/>
      <c r="G44" s="48"/>
      <c r="H44" s="48"/>
      <c r="I44" s="48"/>
      <c r="J44" s="48"/>
      <c r="K44" s="48"/>
      <c r="L44" s="48"/>
      <c r="M44" s="48"/>
      <c r="N44" s="48"/>
      <c r="O44" s="48"/>
      <c r="P44" s="48"/>
      <c r="Q44" s="48"/>
      <c r="R44" s="48"/>
      <c r="S44" s="48"/>
      <c r="T44" s="48"/>
      <c r="U44" s="48"/>
      <c r="V44" s="48"/>
      <c r="W44" s="48"/>
      <c r="X44" s="48"/>
      <c r="Y44" s="48"/>
    </row>
    <row r="45" ht="15.75" customHeight="1">
      <c r="A45" s="47"/>
      <c r="B45" s="47"/>
      <c r="C45" s="47" t="s">
        <v>15</v>
      </c>
      <c r="D45" s="47"/>
      <c r="E45" s="47" t="s">
        <v>103</v>
      </c>
      <c r="F45" s="48"/>
      <c r="G45" s="48"/>
      <c r="H45" s="48"/>
      <c r="I45" s="48"/>
      <c r="J45" s="48"/>
      <c r="K45" s="48"/>
      <c r="L45" s="48"/>
      <c r="M45" s="48"/>
      <c r="N45" s="48"/>
      <c r="O45" s="48"/>
      <c r="P45" s="48"/>
      <c r="Q45" s="48"/>
      <c r="R45" s="48"/>
      <c r="S45" s="48"/>
      <c r="T45" s="48"/>
      <c r="U45" s="48"/>
      <c r="V45" s="48"/>
      <c r="W45" s="48"/>
      <c r="X45" s="48"/>
      <c r="Y45" s="48"/>
    </row>
    <row r="46" ht="15.75" customHeight="1">
      <c r="A46" s="47"/>
      <c r="B46" s="47"/>
      <c r="C46" s="47" t="s">
        <v>11</v>
      </c>
      <c r="D46" s="47"/>
      <c r="E46" s="58" t="s">
        <v>104</v>
      </c>
      <c r="F46" s="48"/>
      <c r="G46" s="48"/>
      <c r="H46" s="48"/>
      <c r="I46" s="48"/>
      <c r="J46" s="48"/>
      <c r="K46" s="48"/>
      <c r="L46" s="48"/>
      <c r="M46" s="48"/>
      <c r="N46" s="48"/>
      <c r="O46" s="48"/>
      <c r="P46" s="48"/>
      <c r="Q46" s="48"/>
      <c r="R46" s="48"/>
      <c r="S46" s="48"/>
      <c r="T46" s="48"/>
      <c r="U46" s="48"/>
      <c r="V46" s="48"/>
      <c r="W46" s="48"/>
      <c r="X46" s="48"/>
      <c r="Y46" s="48"/>
    </row>
    <row r="47" ht="15.75" customHeight="1">
      <c r="A47" s="47"/>
      <c r="B47" s="47"/>
      <c r="C47" s="47"/>
      <c r="D47" s="47"/>
      <c r="E47" s="47"/>
      <c r="F47" s="48"/>
      <c r="G47" s="48"/>
      <c r="H47" s="48"/>
      <c r="I47" s="48"/>
      <c r="J47" s="48"/>
      <c r="K47" s="48"/>
      <c r="L47" s="48"/>
      <c r="M47" s="48"/>
      <c r="N47" s="48"/>
      <c r="O47" s="48"/>
      <c r="P47" s="48"/>
      <c r="Q47" s="48"/>
      <c r="R47" s="48"/>
      <c r="S47" s="48"/>
      <c r="T47" s="48"/>
      <c r="U47" s="48"/>
      <c r="V47" s="48"/>
      <c r="W47" s="48"/>
      <c r="X47" s="48"/>
      <c r="Y47" s="48"/>
    </row>
    <row r="48" ht="15.75" customHeight="1">
      <c r="A48" s="59"/>
      <c r="B48" s="59"/>
      <c r="C48" s="59"/>
      <c r="D48" s="59"/>
      <c r="E48" s="59"/>
      <c r="F48" s="48"/>
      <c r="G48" s="48"/>
      <c r="H48" s="48"/>
      <c r="I48" s="48"/>
      <c r="J48" s="48"/>
      <c r="K48" s="48"/>
      <c r="L48" s="48"/>
      <c r="M48" s="48"/>
      <c r="N48" s="48"/>
      <c r="O48" s="48"/>
      <c r="P48" s="48"/>
      <c r="Q48" s="48"/>
      <c r="R48" s="48"/>
      <c r="S48" s="48"/>
      <c r="T48" s="48"/>
      <c r="U48" s="48"/>
      <c r="V48" s="48"/>
      <c r="W48" s="48"/>
      <c r="X48" s="48"/>
      <c r="Y48" s="48"/>
    </row>
    <row r="49" ht="15.75" customHeight="1">
      <c r="A49" s="59"/>
      <c r="B49" s="59"/>
      <c r="C49" s="59"/>
      <c r="D49" s="59"/>
      <c r="E49" s="59"/>
      <c r="F49" s="48"/>
      <c r="G49" s="48"/>
      <c r="H49" s="48"/>
      <c r="I49" s="48"/>
      <c r="J49" s="48"/>
      <c r="K49" s="48"/>
      <c r="L49" s="48"/>
      <c r="M49" s="48"/>
      <c r="N49" s="48"/>
      <c r="O49" s="48"/>
      <c r="P49" s="48"/>
      <c r="Q49" s="48"/>
      <c r="R49" s="48"/>
      <c r="S49" s="48"/>
      <c r="T49" s="48"/>
      <c r="U49" s="48"/>
      <c r="V49" s="48"/>
      <c r="W49" s="48"/>
      <c r="X49" s="48"/>
      <c r="Y49" s="48"/>
    </row>
    <row r="50" ht="15.75" customHeight="1">
      <c r="A50" s="59"/>
      <c r="B50" s="59"/>
      <c r="C50" s="59"/>
      <c r="D50" s="59"/>
      <c r="E50" s="59"/>
      <c r="F50" s="48"/>
      <c r="G50" s="48"/>
      <c r="H50" s="48"/>
      <c r="I50" s="48"/>
      <c r="J50" s="48"/>
      <c r="K50" s="48"/>
      <c r="L50" s="48"/>
      <c r="M50" s="48"/>
      <c r="N50" s="48"/>
      <c r="O50" s="48"/>
      <c r="P50" s="48"/>
      <c r="Q50" s="48"/>
      <c r="R50" s="48"/>
      <c r="S50" s="48"/>
      <c r="T50" s="48"/>
      <c r="U50" s="48"/>
      <c r="V50" s="48"/>
      <c r="W50" s="48"/>
      <c r="X50" s="48"/>
      <c r="Y50" s="48"/>
    </row>
    <row r="51" ht="15.75" customHeight="1">
      <c r="A51" s="59"/>
      <c r="B51" s="59"/>
      <c r="C51" s="59"/>
      <c r="D51" s="59"/>
      <c r="E51" s="59"/>
      <c r="F51" s="48"/>
      <c r="G51" s="48"/>
      <c r="H51" s="48"/>
      <c r="I51" s="48"/>
      <c r="J51" s="48"/>
      <c r="K51" s="48"/>
      <c r="L51" s="48"/>
      <c r="M51" s="48"/>
      <c r="N51" s="48"/>
      <c r="O51" s="48"/>
      <c r="P51" s="48"/>
      <c r="Q51" s="48"/>
      <c r="R51" s="48"/>
      <c r="S51" s="48"/>
      <c r="T51" s="48"/>
      <c r="U51" s="48"/>
      <c r="V51" s="48"/>
      <c r="W51" s="48"/>
      <c r="X51" s="48"/>
      <c r="Y51" s="48"/>
    </row>
    <row r="52" ht="15.75" customHeight="1">
      <c r="A52" s="59"/>
      <c r="B52" s="59"/>
      <c r="C52" s="59"/>
      <c r="D52" s="59"/>
      <c r="E52" s="59"/>
      <c r="F52" s="48"/>
      <c r="G52" s="48"/>
      <c r="H52" s="48"/>
      <c r="I52" s="48"/>
      <c r="J52" s="48"/>
      <c r="K52" s="48"/>
      <c r="L52" s="48"/>
      <c r="M52" s="48"/>
      <c r="N52" s="48"/>
      <c r="O52" s="48"/>
      <c r="P52" s="48"/>
      <c r="Q52" s="48"/>
      <c r="R52" s="48"/>
      <c r="S52" s="48"/>
      <c r="T52" s="48"/>
      <c r="U52" s="48"/>
      <c r="V52" s="48"/>
      <c r="W52" s="48"/>
      <c r="X52" s="48"/>
      <c r="Y52" s="48"/>
    </row>
    <row r="53" ht="15.75" customHeight="1">
      <c r="A53" s="48"/>
      <c r="B53" s="48"/>
      <c r="C53" s="48"/>
      <c r="D53" s="48"/>
      <c r="E53" s="48"/>
      <c r="F53" s="48"/>
      <c r="G53" s="48"/>
      <c r="H53" s="48"/>
      <c r="I53" s="48"/>
      <c r="J53" s="48"/>
      <c r="K53" s="48"/>
      <c r="L53" s="48"/>
      <c r="M53" s="48"/>
      <c r="N53" s="48"/>
      <c r="O53" s="48"/>
      <c r="P53" s="48"/>
      <c r="Q53" s="48"/>
      <c r="R53" s="48"/>
      <c r="S53" s="48"/>
      <c r="T53" s="48"/>
      <c r="U53" s="48"/>
      <c r="V53" s="48"/>
      <c r="W53" s="48"/>
      <c r="X53" s="48"/>
      <c r="Y53" s="48"/>
    </row>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drawing r:id="rId1"/>
</worksheet>
</file>